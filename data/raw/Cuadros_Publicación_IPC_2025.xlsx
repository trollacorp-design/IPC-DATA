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cuneco\Division_Precios\PUBLICACIONES\PUBLICACION RESULTADOS IPC 2025\"/>
    </mc:Choice>
  </mc:AlternateContent>
  <xr:revisionPtr revIDLastSave="0" documentId="13_ncr:1_{E6132725-1E9D-4958-808B-427A4D3EA814}" xr6:coauthVersionLast="47" xr6:coauthVersionMax="47" xr10:uidLastSave="{00000000-0000-0000-0000-000000000000}"/>
  <bookViews>
    <workbookView xWindow="-28920" yWindow="-1065" windowWidth="29040" windowHeight="15720" tabRatio="873" xr2:uid="{00000000-000D-0000-FFFF-FFFF00000000}"/>
  </bookViews>
  <sheets>
    <sheet name="Portada" sheetId="52" r:id="rId1"/>
    <sheet name="CUADRO 3.1" sheetId="28" r:id="rId2"/>
    <sheet name="CUADRO 3.2" sheetId="53" r:id="rId3"/>
    <sheet name="CUADRO 3.3" sheetId="3" r:id="rId4"/>
    <sheet name="CUADRO 3.4" sheetId="5" r:id="rId5"/>
    <sheet name="CUADRO 3.5" sheetId="43" r:id="rId6"/>
    <sheet name="CUADRO 3.6" sheetId="7" r:id="rId7"/>
    <sheet name="CUADRO 3.7" sheetId="10" r:id="rId8"/>
    <sheet name="CUADRO 3.8" sheetId="9" r:id="rId9"/>
    <sheet name="CUADRO 3.9" sheetId="46" r:id="rId10"/>
    <sheet name="CUADRO 3.10" sheetId="38" r:id="rId11"/>
    <sheet name="CUADRO 3.11" sheetId="39" r:id="rId12"/>
    <sheet name="CUADRO 3.12" sheetId="40" r:id="rId13"/>
    <sheet name="CUADRO 3.13" sheetId="41" r:id="rId14"/>
    <sheet name="CUADRO 3.14.1 " sheetId="50" r:id="rId15"/>
    <sheet name="CUADRO 3.14.2" sheetId="51" r:id="rId16"/>
    <sheet name="CUADRO 3.15" sheetId="25" r:id="rId17"/>
    <sheet name="CUADRO 3.16" sheetId="17" r:id="rId18"/>
    <sheet name="CUADRO 3.17" sheetId="48" r:id="rId19"/>
    <sheet name="CUADRO 3.18" sheetId="4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asd1">#N/A</definedName>
    <definedName name="________tnt1">#N/A</definedName>
    <definedName name="______asd1">#N/A</definedName>
    <definedName name="______tAB4">'[1]shared data'!$A$1:$G$71</definedName>
    <definedName name="______tnt1">#N/A</definedName>
    <definedName name="_____asd1">#N/A</definedName>
    <definedName name="_____tAB4">'[1]shared data'!$A$1:$G$71</definedName>
    <definedName name="_____tnt1">#N/A</definedName>
    <definedName name="____asd1">#N/A</definedName>
    <definedName name="____tAB4">'[1]shared data'!$A$1:$G$71</definedName>
    <definedName name="____tnt1">#N/A</definedName>
    <definedName name="___asd1">#N/A</definedName>
    <definedName name="___tAB4">'[1]shared data'!$A$1:$G$71</definedName>
    <definedName name="___tnt1">#N/A</definedName>
    <definedName name="__123Graph_A" localSheetId="10" hidden="1">'[2]shared data'!#REF!</definedName>
    <definedName name="__123Graph_A" localSheetId="11" hidden="1">'[2]shared data'!#REF!</definedName>
    <definedName name="__123Graph_A" localSheetId="12" hidden="1">'[2]shared data'!#REF!</definedName>
    <definedName name="__123Graph_A" localSheetId="13" hidden="1">'[2]shared data'!#REF!</definedName>
    <definedName name="__123Graph_A" localSheetId="14" hidden="1">'[2]shared data'!#REF!</definedName>
    <definedName name="__123Graph_A" localSheetId="15" hidden="1">'[2]shared data'!#REF!</definedName>
    <definedName name="__123Graph_A" localSheetId="18" hidden="1">'[2]shared data'!#REF!</definedName>
    <definedName name="__123Graph_A" localSheetId="19" hidden="1">'[2]shared data'!#REF!</definedName>
    <definedName name="__123Graph_A" localSheetId="2" hidden="1">'[2]shared data'!#REF!</definedName>
    <definedName name="__123Graph_A" localSheetId="5" hidden="1">'[2]shared data'!#REF!</definedName>
    <definedName name="__123Graph_A" localSheetId="9" hidden="1">'[2]shared data'!#REF!</definedName>
    <definedName name="__123Graph_A" hidden="1">'[2]shared data'!#REF!</definedName>
    <definedName name="__123Graph_AChart1" localSheetId="10" hidden="1">[3]Cable!#REF!</definedName>
    <definedName name="__123Graph_AChart1" localSheetId="11" hidden="1">[3]Cable!#REF!</definedName>
    <definedName name="__123Graph_AChart1" localSheetId="12" hidden="1">[3]Cable!#REF!</definedName>
    <definedName name="__123Graph_AChart1" localSheetId="13" hidden="1">[3]Cable!#REF!</definedName>
    <definedName name="__123Graph_AChart1" localSheetId="14" hidden="1">[3]Cable!#REF!</definedName>
    <definedName name="__123Graph_AChart1" localSheetId="15" hidden="1">[3]Cable!#REF!</definedName>
    <definedName name="__123Graph_AChart1" localSheetId="18" hidden="1">[3]Cable!#REF!</definedName>
    <definedName name="__123Graph_AChart1" localSheetId="19" hidden="1">[3]Cable!#REF!</definedName>
    <definedName name="__123Graph_AChart1" localSheetId="2" hidden="1">[3]Cable!#REF!</definedName>
    <definedName name="__123Graph_AChart1" localSheetId="5" hidden="1">[3]Cable!#REF!</definedName>
    <definedName name="__123Graph_AChart1" localSheetId="9" hidden="1">[3]Cable!#REF!</definedName>
    <definedName name="__123Graph_AChart1" hidden="1">[3]Cable!#REF!</definedName>
    <definedName name="__123Graph_AChart2" localSheetId="10" hidden="1">[3]Cable!#REF!</definedName>
    <definedName name="__123Graph_AChart2" localSheetId="11" hidden="1">[3]Cable!#REF!</definedName>
    <definedName name="__123Graph_AChart2" localSheetId="12" hidden="1">[3]Cable!#REF!</definedName>
    <definedName name="__123Graph_AChart2" localSheetId="13" hidden="1">[3]Cable!#REF!</definedName>
    <definedName name="__123Graph_AChart2" localSheetId="14" hidden="1">[3]Cable!#REF!</definedName>
    <definedName name="__123Graph_AChart2" localSheetId="15" hidden="1">[3]Cable!#REF!</definedName>
    <definedName name="__123Graph_AChart2" localSheetId="18" hidden="1">[3]Cable!#REF!</definedName>
    <definedName name="__123Graph_AChart2" localSheetId="19" hidden="1">[3]Cable!#REF!</definedName>
    <definedName name="__123Graph_AChart2" localSheetId="2" hidden="1">[3]Cable!#REF!</definedName>
    <definedName name="__123Graph_AChart2" localSheetId="5" hidden="1">[3]Cable!#REF!</definedName>
    <definedName name="__123Graph_AChart2" localSheetId="9" hidden="1">[3]Cable!#REF!</definedName>
    <definedName name="__123Graph_AChart2" hidden="1">[3]Cable!#REF!</definedName>
    <definedName name="__123Graph_AChart3" localSheetId="10" hidden="1">[3]Cable!#REF!</definedName>
    <definedName name="__123Graph_AChart3" localSheetId="11" hidden="1">[3]Cable!#REF!</definedName>
    <definedName name="__123Graph_AChart3" localSheetId="12" hidden="1">[3]Cable!#REF!</definedName>
    <definedName name="__123Graph_AChart3" localSheetId="13" hidden="1">[3]Cable!#REF!</definedName>
    <definedName name="__123Graph_AChart3" localSheetId="14" hidden="1">[3]Cable!#REF!</definedName>
    <definedName name="__123Graph_AChart3" localSheetId="15" hidden="1">[3]Cable!#REF!</definedName>
    <definedName name="__123Graph_AChart3" localSheetId="18" hidden="1">[3]Cable!#REF!</definedName>
    <definedName name="__123Graph_AChart3" localSheetId="19" hidden="1">[3]Cable!#REF!</definedName>
    <definedName name="__123Graph_AChart3" localSheetId="2" hidden="1">[3]Cable!#REF!</definedName>
    <definedName name="__123Graph_AChart3" localSheetId="5" hidden="1">[3]Cable!#REF!</definedName>
    <definedName name="__123Graph_AChart3" localSheetId="9" hidden="1">[3]Cable!#REF!</definedName>
    <definedName name="__123Graph_AChart3" hidden="1">[3]Cable!#REF!</definedName>
    <definedName name="__123Graph_AChart4" localSheetId="10" hidden="1">[3]Cable!#REF!</definedName>
    <definedName name="__123Graph_AChart4" localSheetId="11" hidden="1">[3]Cable!#REF!</definedName>
    <definedName name="__123Graph_AChart4" localSheetId="12" hidden="1">[3]Cable!#REF!</definedName>
    <definedName name="__123Graph_AChart4" localSheetId="13" hidden="1">[3]Cable!#REF!</definedName>
    <definedName name="__123Graph_AChart4" localSheetId="14" hidden="1">[3]Cable!#REF!</definedName>
    <definedName name="__123Graph_AChart4" localSheetId="15" hidden="1">[3]Cable!#REF!</definedName>
    <definedName name="__123Graph_AChart4" localSheetId="18" hidden="1">[3]Cable!#REF!</definedName>
    <definedName name="__123Graph_AChart4" localSheetId="19" hidden="1">[3]Cable!#REF!</definedName>
    <definedName name="__123Graph_AChart4" localSheetId="5" hidden="1">[3]Cable!#REF!</definedName>
    <definedName name="__123Graph_AChart4" localSheetId="9" hidden="1">[3]Cable!#REF!</definedName>
    <definedName name="__123Graph_AChart4" hidden="1">[3]Cable!#REF!</definedName>
    <definedName name="__123Graph_AChart5" localSheetId="10" hidden="1">[3]Cable!#REF!</definedName>
    <definedName name="__123Graph_AChart5" localSheetId="11" hidden="1">[3]Cable!#REF!</definedName>
    <definedName name="__123Graph_AChart5" localSheetId="12" hidden="1">[3]Cable!#REF!</definedName>
    <definedName name="__123Graph_AChart5" localSheetId="13" hidden="1">[3]Cable!#REF!</definedName>
    <definedName name="__123Graph_AChart5" localSheetId="14" hidden="1">[3]Cable!#REF!</definedName>
    <definedName name="__123Graph_AChart5" localSheetId="15" hidden="1">[3]Cable!#REF!</definedName>
    <definedName name="__123Graph_AChart5" localSheetId="18" hidden="1">[3]Cable!#REF!</definedName>
    <definedName name="__123Graph_AChart5" localSheetId="19" hidden="1">[3]Cable!#REF!</definedName>
    <definedName name="__123Graph_AChart5" localSheetId="5" hidden="1">[3]Cable!#REF!</definedName>
    <definedName name="__123Graph_AChart5" localSheetId="9" hidden="1">[3]Cable!#REF!</definedName>
    <definedName name="__123Graph_AChart5" hidden="1">[3]Cable!#REF!</definedName>
    <definedName name="__123Graph_AChart6" localSheetId="10" hidden="1">[3]Cable!#REF!</definedName>
    <definedName name="__123Graph_AChart6" localSheetId="11" hidden="1">[3]Cable!#REF!</definedName>
    <definedName name="__123Graph_AChart6" localSheetId="12" hidden="1">[3]Cable!#REF!</definedName>
    <definedName name="__123Graph_AChart6" localSheetId="13" hidden="1">[3]Cable!#REF!</definedName>
    <definedName name="__123Graph_AChart6" localSheetId="14" hidden="1">[3]Cable!#REF!</definedName>
    <definedName name="__123Graph_AChart6" localSheetId="15" hidden="1">[3]Cable!#REF!</definedName>
    <definedName name="__123Graph_AChart6" localSheetId="18" hidden="1">[3]Cable!#REF!</definedName>
    <definedName name="__123Graph_AChart6" localSheetId="19" hidden="1">[3]Cable!#REF!</definedName>
    <definedName name="__123Graph_AChart6" localSheetId="5" hidden="1">[3]Cable!#REF!</definedName>
    <definedName name="__123Graph_AChart6" localSheetId="9" hidden="1">[3]Cable!#REF!</definedName>
    <definedName name="__123Graph_AChart6" hidden="1">[3]Cable!#REF!</definedName>
    <definedName name="__123Graph_AChart7" localSheetId="10" hidden="1">[3]Cable!#REF!</definedName>
    <definedName name="__123Graph_AChart7" localSheetId="11" hidden="1">[3]Cable!#REF!</definedName>
    <definedName name="__123Graph_AChart7" localSheetId="12" hidden="1">[3]Cable!#REF!</definedName>
    <definedName name="__123Graph_AChart7" localSheetId="13" hidden="1">[3]Cable!#REF!</definedName>
    <definedName name="__123Graph_AChart7" localSheetId="14" hidden="1">[3]Cable!#REF!</definedName>
    <definedName name="__123Graph_AChart7" localSheetId="15" hidden="1">[3]Cable!#REF!</definedName>
    <definedName name="__123Graph_AChart7" localSheetId="18" hidden="1">[3]Cable!#REF!</definedName>
    <definedName name="__123Graph_AChart7" localSheetId="19" hidden="1">[3]Cable!#REF!</definedName>
    <definedName name="__123Graph_AChart7" localSheetId="5" hidden="1">[3]Cable!#REF!</definedName>
    <definedName name="__123Graph_AChart7" localSheetId="9" hidden="1">[3]Cable!#REF!</definedName>
    <definedName name="__123Graph_AChart7" hidden="1">[3]Cable!#REF!</definedName>
    <definedName name="__123Graph_ACurrent" localSheetId="10" hidden="1">'[4]Base Original'!#REF!</definedName>
    <definedName name="__123Graph_ACurrent" localSheetId="11" hidden="1">'[4]Base Original'!#REF!</definedName>
    <definedName name="__123Graph_ACurrent" localSheetId="12" hidden="1">'[4]Base Original'!#REF!</definedName>
    <definedName name="__123Graph_ACurrent" localSheetId="13" hidden="1">'[4]Base Original'!#REF!</definedName>
    <definedName name="__123Graph_ACurrent" localSheetId="14" hidden="1">'[4]Base Original'!#REF!</definedName>
    <definedName name="__123Graph_ACurrent" localSheetId="15" hidden="1">'[4]Base Original'!#REF!</definedName>
    <definedName name="__123Graph_ACurrent" localSheetId="18" hidden="1">'[4]Base Original'!#REF!</definedName>
    <definedName name="__123Graph_ACurrent" localSheetId="19" hidden="1">'[4]Base Original'!#REF!</definedName>
    <definedName name="__123Graph_ACurrent" localSheetId="5" hidden="1">'[4]Base Original'!#REF!</definedName>
    <definedName name="__123Graph_ACurrent" localSheetId="9" hidden="1">'[4]Base Original'!#REF!</definedName>
    <definedName name="__123Graph_ACurrent" hidden="1">'[4]Base Original'!#REF!</definedName>
    <definedName name="__123Graph_ADEBT" localSheetId="10" hidden="1">#REF!</definedName>
    <definedName name="__123Graph_ADEBT" localSheetId="11" hidden="1">#REF!</definedName>
    <definedName name="__123Graph_ADEBT" localSheetId="12" hidden="1">#REF!</definedName>
    <definedName name="__123Graph_ADEBT" localSheetId="13" hidden="1">#REF!</definedName>
    <definedName name="__123Graph_ADEBT" localSheetId="14" hidden="1">#REF!</definedName>
    <definedName name="__123Graph_ADEBT" localSheetId="15" hidden="1">#REF!</definedName>
    <definedName name="__123Graph_ADEBT" localSheetId="18" hidden="1">#REF!</definedName>
    <definedName name="__123Graph_ADEBT" localSheetId="19" hidden="1">#REF!</definedName>
    <definedName name="__123Graph_ADEBT" localSheetId="2" hidden="1">#REF!</definedName>
    <definedName name="__123Graph_ADEBT" localSheetId="5" hidden="1">#REF!</definedName>
    <definedName name="__123Graph_ADEBT" localSheetId="9" hidden="1">#REF!</definedName>
    <definedName name="__123Graph_ADEBT" hidden="1">#REF!</definedName>
    <definedName name="__123Graph_ADIFFERENTIAL" localSheetId="10" hidden="1">[5]TAB25b!#REF!</definedName>
    <definedName name="__123Graph_ADIFFERENTIAL" localSheetId="11" hidden="1">[5]TAB25b!#REF!</definedName>
    <definedName name="__123Graph_ADIFFERENTIAL" localSheetId="12" hidden="1">[5]TAB25b!#REF!</definedName>
    <definedName name="__123Graph_ADIFFERENTIAL" localSheetId="13" hidden="1">[5]TAB25b!#REF!</definedName>
    <definedName name="__123Graph_ADIFFERENTIAL" localSheetId="14" hidden="1">[5]TAB25b!#REF!</definedName>
    <definedName name="__123Graph_ADIFFERENTIAL" localSheetId="15" hidden="1">[5]TAB25b!#REF!</definedName>
    <definedName name="__123Graph_ADIFFERENTIAL" localSheetId="18" hidden="1">[5]TAB25b!#REF!</definedName>
    <definedName name="__123Graph_ADIFFERENTIAL" localSheetId="19" hidden="1">[5]TAB25b!#REF!</definedName>
    <definedName name="__123Graph_ADIFFERENTIAL" localSheetId="2" hidden="1">[5]TAB25b!#REF!</definedName>
    <definedName name="__123Graph_ADIFFERENTIAL" localSheetId="5" hidden="1">[5]TAB25b!#REF!</definedName>
    <definedName name="__123Graph_ADIFFERENTIAL" localSheetId="9" hidden="1">[5]TAB25b!#REF!</definedName>
    <definedName name="__123Graph_ADIFFERENTIAL" hidden="1">[5]TAB25b!#REF!</definedName>
    <definedName name="__123Graph_AINTEREST" localSheetId="10" hidden="1">[5]TAB25b!#REF!</definedName>
    <definedName name="__123Graph_AINTEREST" localSheetId="11" hidden="1">[5]TAB25b!#REF!</definedName>
    <definedName name="__123Graph_AINTEREST" localSheetId="12" hidden="1">[5]TAB25b!#REF!</definedName>
    <definedName name="__123Graph_AINTEREST" localSheetId="13" hidden="1">[5]TAB25b!#REF!</definedName>
    <definedName name="__123Graph_AINTEREST" localSheetId="14" hidden="1">[5]TAB25b!#REF!</definedName>
    <definedName name="__123Graph_AINTEREST" localSheetId="15" hidden="1">[5]TAB25b!#REF!</definedName>
    <definedName name="__123Graph_AINTEREST" localSheetId="18" hidden="1">[5]TAB25b!#REF!</definedName>
    <definedName name="__123Graph_AINTEREST" localSheetId="19" hidden="1">[5]TAB25b!#REF!</definedName>
    <definedName name="__123Graph_AINTEREST" localSheetId="5" hidden="1">[5]TAB25b!#REF!</definedName>
    <definedName name="__123Graph_AINTEREST" localSheetId="9" hidden="1">[5]TAB25b!#REF!</definedName>
    <definedName name="__123Graph_AINTEREST" hidden="1">[5]TAB25b!#REF!</definedName>
    <definedName name="__123Graph_ASPREAD" localSheetId="10" hidden="1">[5]TAB25b!#REF!</definedName>
    <definedName name="__123Graph_ASPREAD" localSheetId="11" hidden="1">[5]TAB25b!#REF!</definedName>
    <definedName name="__123Graph_ASPREAD" localSheetId="12" hidden="1">[5]TAB25b!#REF!</definedName>
    <definedName name="__123Graph_ASPREAD" localSheetId="13" hidden="1">[5]TAB25b!#REF!</definedName>
    <definedName name="__123Graph_ASPREAD" localSheetId="14" hidden="1">[5]TAB25b!#REF!</definedName>
    <definedName name="__123Graph_ASPREAD" localSheetId="15" hidden="1">[5]TAB25b!#REF!</definedName>
    <definedName name="__123Graph_ASPREAD" localSheetId="18" hidden="1">[5]TAB25b!#REF!</definedName>
    <definedName name="__123Graph_ASPREAD" localSheetId="19" hidden="1">[5]TAB25b!#REF!</definedName>
    <definedName name="__123Graph_ASPREAD" localSheetId="5" hidden="1">[5]TAB25b!#REF!</definedName>
    <definedName name="__123Graph_ASPREAD" localSheetId="9" hidden="1">[5]TAB25b!#REF!</definedName>
    <definedName name="__123Graph_ASPREAD" hidden="1">[5]TAB25b!#REF!</definedName>
    <definedName name="__123Graph_B" localSheetId="10" hidden="1">'[2]shared data'!#REF!</definedName>
    <definedName name="__123Graph_B" localSheetId="11" hidden="1">'[2]shared data'!#REF!</definedName>
    <definedName name="__123Graph_B" localSheetId="12" hidden="1">'[2]shared data'!#REF!</definedName>
    <definedName name="__123Graph_B" localSheetId="13" hidden="1">'[2]shared data'!#REF!</definedName>
    <definedName name="__123Graph_B" localSheetId="14" hidden="1">'[2]shared data'!#REF!</definedName>
    <definedName name="__123Graph_B" localSheetId="15" hidden="1">'[2]shared data'!#REF!</definedName>
    <definedName name="__123Graph_B" localSheetId="18" hidden="1">'[2]shared data'!#REF!</definedName>
    <definedName name="__123Graph_B" localSheetId="19" hidden="1">'[2]shared data'!#REF!</definedName>
    <definedName name="__123Graph_B" localSheetId="5" hidden="1">'[2]shared data'!#REF!</definedName>
    <definedName name="__123Graph_B" localSheetId="9" hidden="1">'[2]shared data'!#REF!</definedName>
    <definedName name="__123Graph_B" hidden="1">'[2]shared data'!#REF!</definedName>
    <definedName name="__123Graph_BCurrent" localSheetId="10" hidden="1">'[4]Base Original'!#REF!</definedName>
    <definedName name="__123Graph_BCurrent" localSheetId="11" hidden="1">'[4]Base Original'!#REF!</definedName>
    <definedName name="__123Graph_BCurrent" localSheetId="12" hidden="1">'[4]Base Original'!#REF!</definedName>
    <definedName name="__123Graph_BCurrent" localSheetId="13" hidden="1">'[4]Base Original'!#REF!</definedName>
    <definedName name="__123Graph_BCurrent" localSheetId="14" hidden="1">'[4]Base Original'!#REF!</definedName>
    <definedName name="__123Graph_BCurrent" localSheetId="15" hidden="1">'[4]Base Original'!#REF!</definedName>
    <definedName name="__123Graph_BCurrent" localSheetId="18" hidden="1">'[4]Base Original'!#REF!</definedName>
    <definedName name="__123Graph_BCurrent" localSheetId="19" hidden="1">'[4]Base Original'!#REF!</definedName>
    <definedName name="__123Graph_BCurrent" localSheetId="5" hidden="1">'[4]Base Original'!#REF!</definedName>
    <definedName name="__123Graph_BCurrent" localSheetId="9" hidden="1">'[4]Base Original'!#REF!</definedName>
    <definedName name="__123Graph_BCurrent" hidden="1">'[4]Base Original'!#REF!</definedName>
    <definedName name="__123Graph_BDEBT" localSheetId="10" hidden="1">#REF!</definedName>
    <definedName name="__123Graph_BDEBT" localSheetId="11" hidden="1">#REF!</definedName>
    <definedName name="__123Graph_BDEBT" localSheetId="12" hidden="1">#REF!</definedName>
    <definedName name="__123Graph_BDEBT" localSheetId="13" hidden="1">#REF!</definedName>
    <definedName name="__123Graph_BDEBT" localSheetId="14" hidden="1">#REF!</definedName>
    <definedName name="__123Graph_BDEBT" localSheetId="15" hidden="1">#REF!</definedName>
    <definedName name="__123Graph_BDEBT" localSheetId="18" hidden="1">#REF!</definedName>
    <definedName name="__123Graph_BDEBT" localSheetId="19" hidden="1">#REF!</definedName>
    <definedName name="__123Graph_BDEBT" localSheetId="2" hidden="1">#REF!</definedName>
    <definedName name="__123Graph_BDEBT" localSheetId="5" hidden="1">#REF!</definedName>
    <definedName name="__123Graph_BDEBT" localSheetId="9" hidden="1">#REF!</definedName>
    <definedName name="__123Graph_BDEBT" hidden="1">#REF!</definedName>
    <definedName name="__123Graph_BINTEREST" localSheetId="10" hidden="1">[5]TAB25b!#REF!</definedName>
    <definedName name="__123Graph_BINTEREST" localSheetId="11" hidden="1">[5]TAB25b!#REF!</definedName>
    <definedName name="__123Graph_BINTEREST" localSheetId="12" hidden="1">[5]TAB25b!#REF!</definedName>
    <definedName name="__123Graph_BINTEREST" localSheetId="13" hidden="1">[5]TAB25b!#REF!</definedName>
    <definedName name="__123Graph_BINTEREST" localSheetId="14" hidden="1">[5]TAB25b!#REF!</definedName>
    <definedName name="__123Graph_BINTEREST" localSheetId="15" hidden="1">[5]TAB25b!#REF!</definedName>
    <definedName name="__123Graph_BINTEREST" localSheetId="18" hidden="1">[5]TAB25b!#REF!</definedName>
    <definedName name="__123Graph_BINTEREST" localSheetId="19" hidden="1">[5]TAB25b!#REF!</definedName>
    <definedName name="__123Graph_BINTEREST" localSheetId="2" hidden="1">[5]TAB25b!#REF!</definedName>
    <definedName name="__123Graph_BINTEREST" localSheetId="5" hidden="1">[5]TAB25b!#REF!</definedName>
    <definedName name="__123Graph_BINTEREST" localSheetId="9" hidden="1">[5]TAB25b!#REF!</definedName>
    <definedName name="__123Graph_BINTEREST" hidden="1">[5]TAB25b!#REF!</definedName>
    <definedName name="__123Graph_C" localSheetId="10" hidden="1">'[2]shared data'!#REF!</definedName>
    <definedName name="__123Graph_C" localSheetId="11" hidden="1">'[2]shared data'!#REF!</definedName>
    <definedName name="__123Graph_C" localSheetId="12" hidden="1">'[2]shared data'!#REF!</definedName>
    <definedName name="__123Graph_C" localSheetId="13" hidden="1">'[2]shared data'!#REF!</definedName>
    <definedName name="__123Graph_C" localSheetId="14" hidden="1">'[2]shared data'!#REF!</definedName>
    <definedName name="__123Graph_C" localSheetId="15" hidden="1">'[2]shared data'!#REF!</definedName>
    <definedName name="__123Graph_C" localSheetId="18" hidden="1">'[2]shared data'!#REF!</definedName>
    <definedName name="__123Graph_C" localSheetId="19" hidden="1">'[2]shared data'!#REF!</definedName>
    <definedName name="__123Graph_C" localSheetId="5" hidden="1">'[2]shared data'!#REF!</definedName>
    <definedName name="__123Graph_C" localSheetId="9" hidden="1">'[2]shared data'!#REF!</definedName>
    <definedName name="__123Graph_C" hidden="1">'[2]shared data'!#REF!</definedName>
    <definedName name="__123Graph_CCurrent" localSheetId="10" hidden="1">'[4]Base Original'!#REF!</definedName>
    <definedName name="__123Graph_CCurrent" localSheetId="11" hidden="1">'[4]Base Original'!#REF!</definedName>
    <definedName name="__123Graph_CCurrent" localSheetId="12" hidden="1">'[4]Base Original'!#REF!</definedName>
    <definedName name="__123Graph_CCurrent" localSheetId="13" hidden="1">'[4]Base Original'!#REF!</definedName>
    <definedName name="__123Graph_CCurrent" localSheetId="14" hidden="1">'[4]Base Original'!#REF!</definedName>
    <definedName name="__123Graph_CCurrent" localSheetId="15" hidden="1">'[4]Base Original'!#REF!</definedName>
    <definedName name="__123Graph_CCurrent" localSheetId="18" hidden="1">'[4]Base Original'!#REF!</definedName>
    <definedName name="__123Graph_CCurrent" localSheetId="19" hidden="1">'[4]Base Original'!#REF!</definedName>
    <definedName name="__123Graph_CCurrent" localSheetId="5" hidden="1">'[4]Base Original'!#REF!</definedName>
    <definedName name="__123Graph_CCurrent" localSheetId="9" hidden="1">'[4]Base Original'!#REF!</definedName>
    <definedName name="__123Graph_CCurrent" hidden="1">'[4]Base Original'!#REF!</definedName>
    <definedName name="__123Graph_D" hidden="1">'[6]shared data'!$B$7937:$C$7937</definedName>
    <definedName name="__123Graph_DCurrent" localSheetId="10" hidden="1">'[4]Base Original'!#REF!</definedName>
    <definedName name="__123Graph_DCurrent" localSheetId="11" hidden="1">'[4]Base Original'!#REF!</definedName>
    <definedName name="__123Graph_DCurrent" localSheetId="12" hidden="1">'[4]Base Original'!#REF!</definedName>
    <definedName name="__123Graph_DCurrent" localSheetId="13" hidden="1">'[4]Base Original'!#REF!</definedName>
    <definedName name="__123Graph_DCurrent" localSheetId="14" hidden="1">'[4]Base Original'!#REF!</definedName>
    <definedName name="__123Graph_DCurrent" localSheetId="15" hidden="1">'[4]Base Original'!#REF!</definedName>
    <definedName name="__123Graph_DCurrent" localSheetId="2" hidden="1">'[4]Base Original'!#REF!</definedName>
    <definedName name="__123Graph_DCurrent" localSheetId="5" hidden="1">'[4]Base Original'!#REF!</definedName>
    <definedName name="__123Graph_DCurrent" localSheetId="9" hidden="1">'[4]Base Original'!#REF!</definedName>
    <definedName name="__123Graph_DCurrent" hidden="1">'[4]Base Original'!#REF!</definedName>
    <definedName name="__123Graph_E" localSheetId="10" hidden="1">'[2]shared data'!#REF!</definedName>
    <definedName name="__123Graph_E" localSheetId="11" hidden="1">'[2]shared data'!#REF!</definedName>
    <definedName name="__123Graph_E" localSheetId="12" hidden="1">'[2]shared data'!#REF!</definedName>
    <definedName name="__123Graph_E" localSheetId="13" hidden="1">'[2]shared data'!#REF!</definedName>
    <definedName name="__123Graph_E" localSheetId="14" hidden="1">'[2]shared data'!#REF!</definedName>
    <definedName name="__123Graph_E" localSheetId="15" hidden="1">'[2]shared data'!#REF!</definedName>
    <definedName name="__123Graph_E" localSheetId="2" hidden="1">'[2]shared data'!#REF!</definedName>
    <definedName name="__123Graph_E" localSheetId="5" hidden="1">'[2]shared data'!#REF!</definedName>
    <definedName name="__123Graph_E" localSheetId="9" hidden="1">'[2]shared data'!#REF!</definedName>
    <definedName name="__123Graph_E" hidden="1">'[2]shared data'!#REF!</definedName>
    <definedName name="__123Graph_ECurrent" localSheetId="10" hidden="1">'[4]Base Original'!#REF!</definedName>
    <definedName name="__123Graph_ECurrent" localSheetId="11" hidden="1">'[4]Base Original'!#REF!</definedName>
    <definedName name="__123Graph_ECurrent" localSheetId="12" hidden="1">'[4]Base Original'!#REF!</definedName>
    <definedName name="__123Graph_ECurrent" localSheetId="13" hidden="1">'[4]Base Original'!#REF!</definedName>
    <definedName name="__123Graph_ECurrent" localSheetId="14" hidden="1">'[4]Base Original'!#REF!</definedName>
    <definedName name="__123Graph_ECurrent" localSheetId="15" hidden="1">'[4]Base Original'!#REF!</definedName>
    <definedName name="__123Graph_ECurrent" localSheetId="2" hidden="1">'[4]Base Original'!#REF!</definedName>
    <definedName name="__123Graph_ECurrent" localSheetId="5" hidden="1">'[4]Base Original'!#REF!</definedName>
    <definedName name="__123Graph_ECurrent" localSheetId="9" hidden="1">'[4]Base Original'!#REF!</definedName>
    <definedName name="__123Graph_ECurrent" hidden="1">'[4]Base Original'!#REF!</definedName>
    <definedName name="__123Graph_F" localSheetId="10" hidden="1">'[2]shared data'!#REF!</definedName>
    <definedName name="__123Graph_F" localSheetId="11" hidden="1">'[2]shared data'!#REF!</definedName>
    <definedName name="__123Graph_F" localSheetId="12" hidden="1">'[2]shared data'!#REF!</definedName>
    <definedName name="__123Graph_F" localSheetId="13" hidden="1">'[2]shared data'!#REF!</definedName>
    <definedName name="__123Graph_F" localSheetId="14" hidden="1">'[2]shared data'!#REF!</definedName>
    <definedName name="__123Graph_F" localSheetId="15" hidden="1">'[2]shared data'!#REF!</definedName>
    <definedName name="__123Graph_F" localSheetId="2" hidden="1">'[2]shared data'!#REF!</definedName>
    <definedName name="__123Graph_F" localSheetId="5" hidden="1">'[2]shared data'!#REF!</definedName>
    <definedName name="__123Graph_F" localSheetId="9" hidden="1">'[2]shared data'!#REF!</definedName>
    <definedName name="__123Graph_F" hidden="1">'[2]shared data'!#REF!</definedName>
    <definedName name="__123Graph_FCurrent" localSheetId="10" hidden="1">[7]Base!#REF!</definedName>
    <definedName name="__123Graph_FCurrent" localSheetId="11" hidden="1">[7]Base!#REF!</definedName>
    <definedName name="__123Graph_FCurrent" localSheetId="12" hidden="1">[7]Base!#REF!</definedName>
    <definedName name="__123Graph_FCurrent" localSheetId="13" hidden="1">[7]Base!#REF!</definedName>
    <definedName name="__123Graph_FCurrent" localSheetId="14" hidden="1">[7]Base!#REF!</definedName>
    <definedName name="__123Graph_FCurrent" localSheetId="15" hidden="1">[7]Base!#REF!</definedName>
    <definedName name="__123Graph_FCurrent" localSheetId="2" hidden="1">[7]Base!#REF!</definedName>
    <definedName name="__123Graph_FCurrent" localSheetId="5" hidden="1">[7]Base!#REF!</definedName>
    <definedName name="__123Graph_FCurrent" localSheetId="9" hidden="1">[7]Base!#REF!</definedName>
    <definedName name="__123Graph_FCurrent" hidden="1">[7]Base!#REF!</definedName>
    <definedName name="__123Graph_X" hidden="1">'[1]shared data'!$B$7901:$C$7901</definedName>
    <definedName name="__123Graph_XDIFFERENTIAL" localSheetId="10" hidden="1">[5]TAB25b!#REF!</definedName>
    <definedName name="__123Graph_XDIFFERENTIAL" localSheetId="11" hidden="1">[5]TAB25b!#REF!</definedName>
    <definedName name="__123Graph_XDIFFERENTIAL" localSheetId="12" hidden="1">[5]TAB25b!#REF!</definedName>
    <definedName name="__123Graph_XDIFFERENTIAL" localSheetId="13" hidden="1">[5]TAB25b!#REF!</definedName>
    <definedName name="__123Graph_XDIFFERENTIAL" localSheetId="14" hidden="1">[5]TAB25b!#REF!</definedName>
    <definedName name="__123Graph_XDIFFERENTIAL" localSheetId="15" hidden="1">[5]TAB25b!#REF!</definedName>
    <definedName name="__123Graph_XDIFFERENTIAL" localSheetId="2" hidden="1">[5]TAB25b!#REF!</definedName>
    <definedName name="__123Graph_XDIFFERENTIAL" localSheetId="5" hidden="1">[5]TAB25b!#REF!</definedName>
    <definedName name="__123Graph_XDIFFERENTIAL" localSheetId="9" hidden="1">[5]TAB25b!#REF!</definedName>
    <definedName name="__123Graph_XDIFFERENTIAL" hidden="1">[5]TAB25b!#REF!</definedName>
    <definedName name="__123Graph_XSPREAD" localSheetId="10" hidden="1">[5]TAB25b!#REF!</definedName>
    <definedName name="__123Graph_XSPREAD" localSheetId="11" hidden="1">[5]TAB25b!#REF!</definedName>
    <definedName name="__123Graph_XSPREAD" localSheetId="12" hidden="1">[5]TAB25b!#REF!</definedName>
    <definedName name="__123Graph_XSPREAD" localSheetId="13" hidden="1">[5]TAB25b!#REF!</definedName>
    <definedName name="__123Graph_XSPREAD" localSheetId="14" hidden="1">[5]TAB25b!#REF!</definedName>
    <definedName name="__123Graph_XSPREAD" localSheetId="15" hidden="1">[5]TAB25b!#REF!</definedName>
    <definedName name="__123Graph_XSPREAD" localSheetId="2" hidden="1">[5]TAB25b!#REF!</definedName>
    <definedName name="__123Graph_XSPREAD" localSheetId="5" hidden="1">[5]TAB25b!#REF!</definedName>
    <definedName name="__123Graph_XSPREAD" localSheetId="9" hidden="1">[5]TAB25b!#REF!</definedName>
    <definedName name="__123Graph_XSPREAD" hidden="1">[5]TAB25b!#REF!</definedName>
    <definedName name="__asd1">#N/A</definedName>
    <definedName name="__tAB4">'[1]shared data'!$A$1:$G$71</definedName>
    <definedName name="__tnt1">#N/A</definedName>
    <definedName name="_2__123Graph_AFIG_D" localSheetId="10" hidden="1">#REF!</definedName>
    <definedName name="_2__123Graph_AFIG_D" localSheetId="11" hidden="1">#REF!</definedName>
    <definedName name="_2__123Graph_AFIG_D" localSheetId="12" hidden="1">#REF!</definedName>
    <definedName name="_2__123Graph_AFIG_D" localSheetId="13" hidden="1">#REF!</definedName>
    <definedName name="_2__123Graph_AFIG_D" localSheetId="14" hidden="1">#REF!</definedName>
    <definedName name="_2__123Graph_AFIG_D" localSheetId="15" hidden="1">#REF!</definedName>
    <definedName name="_2__123Graph_AFIG_D" localSheetId="18" hidden="1">#REF!</definedName>
    <definedName name="_2__123Graph_AFIG_D" localSheetId="19" hidden="1">#REF!</definedName>
    <definedName name="_2__123Graph_AFIG_D" localSheetId="2" hidden="1">#REF!</definedName>
    <definedName name="_2__123Graph_AFIG_D" localSheetId="5" hidden="1">#REF!</definedName>
    <definedName name="_2__123Graph_AFIG_D" localSheetId="9" hidden="1">#REF!</definedName>
    <definedName name="_2__123Graph_AFIG_D" hidden="1">#REF!</definedName>
    <definedName name="_3__123Graph_ATERMS_OF_TRADE" localSheetId="10" hidden="1">#REF!</definedName>
    <definedName name="_3__123Graph_ATERMS_OF_TRADE" localSheetId="11" hidden="1">#REF!</definedName>
    <definedName name="_3__123Graph_ATERMS_OF_TRADE" localSheetId="12" hidden="1">#REF!</definedName>
    <definedName name="_3__123Graph_ATERMS_OF_TRADE" localSheetId="13" hidden="1">#REF!</definedName>
    <definedName name="_3__123Graph_ATERMS_OF_TRADE" localSheetId="14" hidden="1">#REF!</definedName>
    <definedName name="_3__123Graph_ATERMS_OF_TRADE" localSheetId="15" hidden="1">#REF!</definedName>
    <definedName name="_3__123Graph_ATERMS_OF_TRADE" localSheetId="18" hidden="1">#REF!</definedName>
    <definedName name="_3__123Graph_ATERMS_OF_TRADE" localSheetId="19" hidden="1">#REF!</definedName>
    <definedName name="_3__123Graph_ATERMS_OF_TRADE" localSheetId="5" hidden="1">#REF!</definedName>
    <definedName name="_3__123Graph_ATERMS_OF_TRADE" localSheetId="9" hidden="1">#REF!</definedName>
    <definedName name="_3__123Graph_ATERMS_OF_TRADE" hidden="1">#REF!</definedName>
    <definedName name="_4__123Graph_BTERMS_OF_TRADE" localSheetId="10" hidden="1">#REF!</definedName>
    <definedName name="_4__123Graph_BTERMS_OF_TRADE" localSheetId="11" hidden="1">#REF!</definedName>
    <definedName name="_4__123Graph_BTERMS_OF_TRADE" localSheetId="12" hidden="1">#REF!</definedName>
    <definedName name="_4__123Graph_BTERMS_OF_TRADE" localSheetId="13" hidden="1">#REF!</definedName>
    <definedName name="_4__123Graph_BTERMS_OF_TRADE" localSheetId="14" hidden="1">#REF!</definedName>
    <definedName name="_4__123Graph_BTERMS_OF_TRADE" localSheetId="15" hidden="1">#REF!</definedName>
    <definedName name="_4__123Graph_BTERMS_OF_TRADE" localSheetId="18" hidden="1">#REF!</definedName>
    <definedName name="_4__123Graph_BTERMS_OF_TRADE" localSheetId="19" hidden="1">#REF!</definedName>
    <definedName name="_4__123Graph_BTERMS_OF_TRADE" localSheetId="5" hidden="1">#REF!</definedName>
    <definedName name="_4__123Graph_BTERMS_OF_TRADE" localSheetId="9" hidden="1">#REF!</definedName>
    <definedName name="_4__123Graph_BTERMS_OF_TRADE" hidden="1">#REF!</definedName>
    <definedName name="_5__123Graph_XFIG_D" localSheetId="10" hidden="1">#REF!</definedName>
    <definedName name="_5__123Graph_XFIG_D" localSheetId="11" hidden="1">#REF!</definedName>
    <definedName name="_5__123Graph_XFIG_D" localSheetId="12" hidden="1">#REF!</definedName>
    <definedName name="_5__123Graph_XFIG_D" localSheetId="13" hidden="1">#REF!</definedName>
    <definedName name="_5__123Graph_XFIG_D" localSheetId="14" hidden="1">#REF!</definedName>
    <definedName name="_5__123Graph_XFIG_D" localSheetId="15" hidden="1">#REF!</definedName>
    <definedName name="_5__123Graph_XFIG_D" localSheetId="18" hidden="1">#REF!</definedName>
    <definedName name="_5__123Graph_XFIG_D" localSheetId="19" hidden="1">#REF!</definedName>
    <definedName name="_5__123Graph_XFIG_D" localSheetId="5" hidden="1">#REF!</definedName>
    <definedName name="_5__123Graph_XFIG_D" localSheetId="9" hidden="1">#REF!</definedName>
    <definedName name="_5__123Graph_XFIG_D" hidden="1">#REF!</definedName>
    <definedName name="_6__123Graph_XTERMS_OF_TRADE" localSheetId="10" hidden="1">#REF!</definedName>
    <definedName name="_6__123Graph_XTERMS_OF_TRADE" localSheetId="11" hidden="1">#REF!</definedName>
    <definedName name="_6__123Graph_XTERMS_OF_TRADE" localSheetId="12" hidden="1">#REF!</definedName>
    <definedName name="_6__123Graph_XTERMS_OF_TRADE" localSheetId="13" hidden="1">#REF!</definedName>
    <definedName name="_6__123Graph_XTERMS_OF_TRADE" localSheetId="14" hidden="1">#REF!</definedName>
    <definedName name="_6__123Graph_XTERMS_OF_TRADE" localSheetId="15" hidden="1">#REF!</definedName>
    <definedName name="_6__123Graph_XTERMS_OF_TRADE" localSheetId="18" hidden="1">#REF!</definedName>
    <definedName name="_6__123Graph_XTERMS_OF_TRADE" localSheetId="19" hidden="1">#REF!</definedName>
    <definedName name="_6__123Graph_XTERMS_OF_TRADE" localSheetId="5" hidden="1">#REF!</definedName>
    <definedName name="_6__123Graph_XTERMS_OF_TRADE" localSheetId="9" hidden="1">#REF!</definedName>
    <definedName name="_6__123Graph_XTERMS_OF_TRADE" hidden="1">#REF!</definedName>
    <definedName name="_asd1">#N/A</definedName>
    <definedName name="_Fill" hidden="1">'[1]shared data'!$A$4:$A$642</definedName>
    <definedName name="_Fill1" localSheetId="10" hidden="1">#REF!</definedName>
    <definedName name="_Fill1" localSheetId="11" hidden="1">#REF!</definedName>
    <definedName name="_Fill1" localSheetId="12" hidden="1">#REF!</definedName>
    <definedName name="_Fill1" localSheetId="13" hidden="1">#REF!</definedName>
    <definedName name="_Fill1" localSheetId="14" hidden="1">#REF!</definedName>
    <definedName name="_Fill1" localSheetId="15" hidden="1">#REF!</definedName>
    <definedName name="_Fill1" localSheetId="18" hidden="1">#REF!</definedName>
    <definedName name="_Fill1" localSheetId="19" hidden="1">#REF!</definedName>
    <definedName name="_Fill1" localSheetId="2" hidden="1">#REF!</definedName>
    <definedName name="_Fill1" localSheetId="5" hidden="1">#REF!</definedName>
    <definedName name="_Fill1" localSheetId="9" hidden="1">#REF!</definedName>
    <definedName name="_Fill1" hidden="1">#REF!</definedName>
    <definedName name="_xlnm._FilterDatabase" localSheetId="10" hidden="1">'CUADRO 3.10'!$A$5:$H$121</definedName>
    <definedName name="_xlnm._FilterDatabase" localSheetId="11" hidden="1">'CUADRO 3.11'!$A$5:$H$121</definedName>
    <definedName name="_xlnm._FilterDatabase" localSheetId="12" hidden="1">'CUADRO 3.12'!$A$5:$H$121</definedName>
    <definedName name="_xlnm._FilterDatabase" localSheetId="13" hidden="1">'CUADRO 3.13'!$A$5:$H$121</definedName>
    <definedName name="_xlnm._FilterDatabase" localSheetId="7" hidden="1">'CUADRO 3.7'!$B$31:$K$276</definedName>
    <definedName name="_xlnm._FilterDatabase" hidden="1">[8]C!$P$428:$T$428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13" hidden="1">#REF!</definedName>
    <definedName name="_Key1" localSheetId="14" hidden="1">#REF!</definedName>
    <definedName name="_Key1" localSheetId="15" hidden="1">#REF!</definedName>
    <definedName name="_Key1" localSheetId="18" hidden="1">#REF!</definedName>
    <definedName name="_Key1" localSheetId="19" hidden="1">#REF!</definedName>
    <definedName name="_Key1" localSheetId="2" hidden="1">#REF!</definedName>
    <definedName name="_Key1" localSheetId="5" hidden="1">#REF!</definedName>
    <definedName name="_Key1" localSheetId="9" hidden="1">#REF!</definedName>
    <definedName name="_Key1" hidden="1">#REF!</definedName>
    <definedName name="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10" hidden="1">#REF!</definedName>
    <definedName name="_Parse_Out" localSheetId="11" hidden="1">#REF!</definedName>
    <definedName name="_Parse_Out" localSheetId="12" hidden="1">#REF!</definedName>
    <definedName name="_Parse_Out" localSheetId="13" hidden="1">#REF!</definedName>
    <definedName name="_Parse_Out" localSheetId="14" hidden="1">#REF!</definedName>
    <definedName name="_Parse_Out" localSheetId="15" hidden="1">#REF!</definedName>
    <definedName name="_Parse_Out" localSheetId="18" hidden="1">#REF!</definedName>
    <definedName name="_Parse_Out" localSheetId="19" hidden="1">#REF!</definedName>
    <definedName name="_Parse_Out" localSheetId="2" hidden="1">#REF!</definedName>
    <definedName name="_Parse_Out" localSheetId="5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1" hidden="1">#REF!</definedName>
    <definedName name="_Regression_Out" localSheetId="10" hidden="1">#REF!</definedName>
    <definedName name="_Regression_Out" localSheetId="11" hidden="1">#REF!</definedName>
    <definedName name="_Regression_Out" localSheetId="12" hidden="1">#REF!</definedName>
    <definedName name="_Regression_Out" localSheetId="13" hidden="1">#REF!</definedName>
    <definedName name="_Regression_Out" localSheetId="14" hidden="1">#REF!</definedName>
    <definedName name="_Regression_Out" localSheetId="15" hidden="1">#REF!</definedName>
    <definedName name="_Regression_Out" localSheetId="18" hidden="1">#REF!</definedName>
    <definedName name="_Regression_Out" localSheetId="19" hidden="1">#REF!</definedName>
    <definedName name="_Regression_Out" localSheetId="2" hidden="1">#REF!</definedName>
    <definedName name="_Regression_Out" localSheetId="5" hidden="1">#REF!</definedName>
    <definedName name="_Regression_Out" localSheetId="7" hidden="1">#REF!</definedName>
    <definedName name="_Regression_Out" localSheetId="9" hidden="1">#REF!</definedName>
    <definedName name="_Regression_Out" localSheetId="0" hidden="1">#REF!</definedName>
    <definedName name="_Regression_Out" hidden="1">#REF!</definedName>
    <definedName name="_Regression_X" localSheetId="1" hidden="1">#REF!</definedName>
    <definedName name="_Regression_X" localSheetId="10" hidden="1">#REF!</definedName>
    <definedName name="_Regression_X" localSheetId="11" hidden="1">#REF!</definedName>
    <definedName name="_Regression_X" localSheetId="12" hidden="1">#REF!</definedName>
    <definedName name="_Regression_X" localSheetId="13" hidden="1">#REF!</definedName>
    <definedName name="_Regression_X" localSheetId="14" hidden="1">#REF!</definedName>
    <definedName name="_Regression_X" localSheetId="15" hidden="1">#REF!</definedName>
    <definedName name="_Regression_X" localSheetId="18" hidden="1">#REF!</definedName>
    <definedName name="_Regression_X" localSheetId="19" hidden="1">#REF!</definedName>
    <definedName name="_Regression_X" localSheetId="2" hidden="1">#REF!</definedName>
    <definedName name="_Regression_X" localSheetId="5" hidden="1">#REF!</definedName>
    <definedName name="_Regression_X" localSheetId="7" hidden="1">#REF!</definedName>
    <definedName name="_Regression_X" localSheetId="9" hidden="1">#REF!</definedName>
    <definedName name="_Regression_X" localSheetId="0" hidden="1">#REF!</definedName>
    <definedName name="_Regression_X" hidden="1">#REF!</definedName>
    <definedName name="_Regression_Y" localSheetId="1" hidden="1">#REF!</definedName>
    <definedName name="_Regression_Y" localSheetId="10" hidden="1">#REF!</definedName>
    <definedName name="_Regression_Y" localSheetId="11" hidden="1">#REF!</definedName>
    <definedName name="_Regression_Y" localSheetId="12" hidden="1">#REF!</definedName>
    <definedName name="_Regression_Y" localSheetId="13" hidden="1">#REF!</definedName>
    <definedName name="_Regression_Y" localSheetId="14" hidden="1">#REF!</definedName>
    <definedName name="_Regression_Y" localSheetId="15" hidden="1">#REF!</definedName>
    <definedName name="_Regression_Y" localSheetId="18" hidden="1">#REF!</definedName>
    <definedName name="_Regression_Y" localSheetId="19" hidden="1">#REF!</definedName>
    <definedName name="_Regression_Y" localSheetId="2" hidden="1">#REF!</definedName>
    <definedName name="_Regression_Y" localSheetId="5" hidden="1">#REF!</definedName>
    <definedName name="_Regression_Y" localSheetId="7" hidden="1">#REF!</definedName>
    <definedName name="_Regression_Y" localSheetId="9" hidden="1">#REF!</definedName>
    <definedName name="_Regression_Y" localSheetId="0" hidden="1">#REF!</definedName>
    <definedName name="_Regression_Y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13" hidden="1">#REF!</definedName>
    <definedName name="_Sort" localSheetId="14" hidden="1">#REF!</definedName>
    <definedName name="_Sort" localSheetId="15" hidden="1">#REF!</definedName>
    <definedName name="_Sort" localSheetId="18" hidden="1">#REF!</definedName>
    <definedName name="_Sort" localSheetId="19" hidden="1">#REF!</definedName>
    <definedName name="_Sort" localSheetId="5" hidden="1">#REF!</definedName>
    <definedName name="_Sort" localSheetId="9" hidden="1">#REF!</definedName>
    <definedName name="_Sort" hidden="1">#REF!</definedName>
    <definedName name="_SRT11" localSheetId="10" hidden="1">{"Minpmon",#N/A,FALSE,"Monthinput"}</definedName>
    <definedName name="_SRT11" localSheetId="11" hidden="1">{"Minpmon",#N/A,FALSE,"Monthinput"}</definedName>
    <definedName name="_SRT11" localSheetId="12" hidden="1">{"Minpmon",#N/A,FALSE,"Monthinput"}</definedName>
    <definedName name="_SRT11" localSheetId="13" hidden="1">{"Minpmon",#N/A,FALSE,"Monthinput"}</definedName>
    <definedName name="_SRT11" localSheetId="18" hidden="1">{"Minpmon",#N/A,FALSE,"Monthinput"}</definedName>
    <definedName name="_SRT11" localSheetId="19" hidden="1">{"Minpmon",#N/A,FALSE,"Monthinput"}</definedName>
    <definedName name="_SRT11" localSheetId="2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_tAB4">'[1]shared data'!$A$1:$G$71</definedName>
    <definedName name="_tnt1">#N/A</definedName>
    <definedName name="aa" localSheetId="10" hidden="1">{"Main Economic Indicators",#N/A,FALSE,"C"}</definedName>
    <definedName name="aa" localSheetId="11" hidden="1">{"Main Economic Indicators",#N/A,FALSE,"C"}</definedName>
    <definedName name="aa" localSheetId="12" hidden="1">{"Main Economic Indicators",#N/A,FALSE,"C"}</definedName>
    <definedName name="aa" localSheetId="13" hidden="1">{"Main Economic Indicators",#N/A,FALSE,"C"}</definedName>
    <definedName name="aa" localSheetId="18" hidden="1">{"Main Economic Indicators",#N/A,FALSE,"C"}</definedName>
    <definedName name="aa" localSheetId="19" hidden="1">{"Main Economic Indicators",#N/A,FALSE,"C"}</definedName>
    <definedName name="aa" localSheetId="2" hidden="1">{"Main Economic Indicators",#N/A,FALSE,"C"}</definedName>
    <definedName name="aa" localSheetId="9" hidden="1">{"Main Economic Indicators",#N/A,FALSE,"C"}</definedName>
    <definedName name="aa" hidden="1">{"Main Economic Indicators",#N/A,FALSE,"C"}</definedName>
    <definedName name="aaa" localSheetId="10" hidden="1">{"Riqfin97",#N/A,FALSE,"Tran";"Riqfinpro",#N/A,FALSE,"Tran"}</definedName>
    <definedName name="aaa" localSheetId="11" hidden="1">{"Riqfin97",#N/A,FALSE,"Tran";"Riqfinpro",#N/A,FALSE,"Tran"}</definedName>
    <definedName name="aaa" localSheetId="12" hidden="1">{"Riqfin97",#N/A,FALSE,"Tran";"Riqfinpro",#N/A,FALSE,"Tran"}</definedName>
    <definedName name="aaa" localSheetId="13" hidden="1">{"Riqfin97",#N/A,FALSE,"Tran";"Riqfinpro",#N/A,FALSE,"Tran"}</definedName>
    <definedName name="aaa" localSheetId="18" hidden="1">{"Riqfin97",#N/A,FALSE,"Tran";"Riqfinpro",#N/A,FALSE,"Tran"}</definedName>
    <definedName name="aaa" localSheetId="19" hidden="1">{"Riqfin97",#N/A,FALSE,"Tran";"Riqfinpro",#N/A,FALSE,"Tran"}</definedName>
    <definedName name="aaa" localSheetId="2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bu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wvu.PLA1." localSheetId="10" hidden="1">'[9]COP FED'!#REF!</definedName>
    <definedName name="ACwvu.PLA1." localSheetId="11" hidden="1">'[9]COP FED'!#REF!</definedName>
    <definedName name="ACwvu.PLA1." localSheetId="12" hidden="1">'[9]COP FED'!#REF!</definedName>
    <definedName name="ACwvu.PLA1." localSheetId="13" hidden="1">'[9]COP FED'!#REF!</definedName>
    <definedName name="ACwvu.PLA1." localSheetId="14" hidden="1">'[9]COP FED'!#REF!</definedName>
    <definedName name="ACwvu.PLA1." localSheetId="15" hidden="1">'[9]COP FED'!#REF!</definedName>
    <definedName name="ACwvu.PLA1." localSheetId="2" hidden="1">'[9]COP FED'!#REF!</definedName>
    <definedName name="ACwvu.PLA1." localSheetId="5" hidden="1">'[9]COP FED'!#REF!</definedName>
    <definedName name="ACwvu.PLA1." localSheetId="9" hidden="1">'[9]COP FED'!#REF!</definedName>
    <definedName name="ACwvu.PLA1." hidden="1">'[9]COP FED'!#REF!</definedName>
    <definedName name="ACwvu.PLA2." hidden="1">'[9]COP FED'!$A$1:$N$49</definedName>
    <definedName name="ad" localSheetId="10" hidden="1">{"Riqfin97",#N/A,FALSE,"Tran";"Riqfinpro",#N/A,FALSE,"Tran"}</definedName>
    <definedName name="ad" localSheetId="11" hidden="1">{"Riqfin97",#N/A,FALSE,"Tran";"Riqfinpro",#N/A,FALSE,"Tran"}</definedName>
    <definedName name="ad" localSheetId="12" hidden="1">{"Riqfin97",#N/A,FALSE,"Tran";"Riqfinpro",#N/A,FALSE,"Tran"}</definedName>
    <definedName name="ad" localSheetId="13" hidden="1">{"Riqfin97",#N/A,FALSE,"Tran";"Riqfinpro",#N/A,FALSE,"Tran"}</definedName>
    <definedName name="ad" localSheetId="18" hidden="1">{"Riqfin97",#N/A,FALSE,"Tran";"Riqfinpro",#N/A,FALSE,"Tran"}</definedName>
    <definedName name="ad" localSheetId="19" hidden="1">{"Riqfin97",#N/A,FALSE,"Tran";"Riqfinpro",#N/A,FALSE,"Tran"}</definedName>
    <definedName name="ad" localSheetId="2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10" hidden="1">{"Tab1",#N/A,FALSE,"P";"Tab2",#N/A,FALSE,"P"}</definedName>
    <definedName name="af" localSheetId="11" hidden="1">{"Tab1",#N/A,FALSE,"P";"Tab2",#N/A,FALSE,"P"}</definedName>
    <definedName name="af" localSheetId="12" hidden="1">{"Tab1",#N/A,FALSE,"P";"Tab2",#N/A,FALSE,"P"}</definedName>
    <definedName name="af" localSheetId="13" hidden="1">{"Tab1",#N/A,FALSE,"P";"Tab2",#N/A,FALSE,"P"}</definedName>
    <definedName name="af" localSheetId="18" hidden="1">{"Tab1",#N/A,FALSE,"P";"Tab2",#N/A,FALSE,"P"}</definedName>
    <definedName name="af" localSheetId="19" hidden="1">{"Tab1",#N/A,FALSE,"P";"Tab2",#N/A,FALSE,"P"}</definedName>
    <definedName name="af" localSheetId="2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10" hidden="1">{"Tab1",#N/A,FALSE,"P";"Tab2",#N/A,FALSE,"P"}</definedName>
    <definedName name="ag" localSheetId="11" hidden="1">{"Tab1",#N/A,FALSE,"P";"Tab2",#N/A,FALSE,"P"}</definedName>
    <definedName name="ag" localSheetId="12" hidden="1">{"Tab1",#N/A,FALSE,"P";"Tab2",#N/A,FALSE,"P"}</definedName>
    <definedName name="ag" localSheetId="13" hidden="1">{"Tab1",#N/A,FALSE,"P";"Tab2",#N/A,FALSE,"P"}</definedName>
    <definedName name="ag" localSheetId="18" hidden="1">{"Tab1",#N/A,FALSE,"P";"Tab2",#N/A,FALSE,"P"}</definedName>
    <definedName name="ag" localSheetId="19" hidden="1">{"Tab1",#N/A,FALSE,"P";"Tab2",#N/A,FALSE,"P"}</definedName>
    <definedName name="ag" localSheetId="2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10" hidden="1">{"Riqfin97",#N/A,FALSE,"Tran";"Riqfinpro",#N/A,FALSE,"Tran"}</definedName>
    <definedName name="ah" localSheetId="11" hidden="1">{"Riqfin97",#N/A,FALSE,"Tran";"Riqfinpro",#N/A,FALSE,"Tran"}</definedName>
    <definedName name="ah" localSheetId="12" hidden="1">{"Riqfin97",#N/A,FALSE,"Tran";"Riqfinpro",#N/A,FALSE,"Tran"}</definedName>
    <definedName name="ah" localSheetId="13" hidden="1">{"Riqfin97",#N/A,FALSE,"Tran";"Riqfinpro",#N/A,FALSE,"Tran"}</definedName>
    <definedName name="ah" localSheetId="18" hidden="1">{"Riqfin97",#N/A,FALSE,"Tran";"Riqfinpro",#N/A,FALSE,"Tran"}</definedName>
    <definedName name="ah" localSheetId="19" hidden="1">{"Riqfin97",#N/A,FALSE,"Tran";"Riqfinpro",#N/A,FALSE,"Tran"}</definedName>
    <definedName name="ah" localSheetId="2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10" hidden="1">{"Riqfin97",#N/A,FALSE,"Tran";"Riqfinpro",#N/A,FALSE,"Tran"}</definedName>
    <definedName name="aj" localSheetId="11" hidden="1">{"Riqfin97",#N/A,FALSE,"Tran";"Riqfinpro",#N/A,FALSE,"Tran"}</definedName>
    <definedName name="aj" localSheetId="12" hidden="1">{"Riqfin97",#N/A,FALSE,"Tran";"Riqfinpro",#N/A,FALSE,"Tran"}</definedName>
    <definedName name="aj" localSheetId="13" hidden="1">{"Riqfin97",#N/A,FALSE,"Tran";"Riqfinpro",#N/A,FALSE,"Tran"}</definedName>
    <definedName name="aj" localSheetId="18" hidden="1">{"Riqfin97",#N/A,FALSE,"Tran";"Riqfinpro",#N/A,FALSE,"Tran"}</definedName>
    <definedName name="aj" localSheetId="19" hidden="1">{"Riqfin97",#N/A,FALSE,"Tran";"Riqfinpro",#N/A,FALSE,"Tran"}</definedName>
    <definedName name="aj" localSheetId="2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10" hidden="1">{"Riqfin97",#N/A,FALSE,"Tran";"Riqfinpro",#N/A,FALSE,"Tran"}</definedName>
    <definedName name="al" localSheetId="11" hidden="1">{"Riqfin97",#N/A,FALSE,"Tran";"Riqfinpro",#N/A,FALSE,"Tran"}</definedName>
    <definedName name="al" localSheetId="12" hidden="1">{"Riqfin97",#N/A,FALSE,"Tran";"Riqfinpro",#N/A,FALSE,"Tran"}</definedName>
    <definedName name="al" localSheetId="13" hidden="1">{"Riqfin97",#N/A,FALSE,"Tran";"Riqfinpro",#N/A,FALSE,"Tran"}</definedName>
    <definedName name="al" localSheetId="18" hidden="1">{"Riqfin97",#N/A,FALSE,"Tran";"Riqfinpro",#N/A,FALSE,"Tran"}</definedName>
    <definedName name="al" localSheetId="19" hidden="1">{"Riqfin97",#N/A,FALSE,"Tran";"Riqfinpro",#N/A,FALSE,"Tran"}</definedName>
    <definedName name="al" localSheetId="2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limento">#N/A</definedName>
    <definedName name="anual1">#N/A</definedName>
    <definedName name="as" localSheetId="10" hidden="1">{"Minpmon",#N/A,FALSE,"Monthinput"}</definedName>
    <definedName name="as" localSheetId="11" hidden="1">{"Minpmon",#N/A,FALSE,"Monthinput"}</definedName>
    <definedName name="as" localSheetId="12" hidden="1">{"Minpmon",#N/A,FALSE,"Monthinput"}</definedName>
    <definedName name="as" localSheetId="13" hidden="1">{"Minpmon",#N/A,FALSE,"Monthinput"}</definedName>
    <definedName name="as" localSheetId="18" hidden="1">{"Minpmon",#N/A,FALSE,"Monthinput"}</definedName>
    <definedName name="as" localSheetId="19" hidden="1">{"Minpmon",#N/A,FALSE,"Monthinput"}</definedName>
    <definedName name="as" localSheetId="2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d">#N/A</definedName>
    <definedName name="ba">#N/A</definedName>
    <definedName name="baron" localSheetId="1" hidden="1">#REF!</definedName>
    <definedName name="baron" localSheetId="10" hidden="1">#REF!</definedName>
    <definedName name="baron" localSheetId="11" hidden="1">#REF!</definedName>
    <definedName name="baron" localSheetId="12" hidden="1">#REF!</definedName>
    <definedName name="baron" localSheetId="13" hidden="1">#REF!</definedName>
    <definedName name="baron" localSheetId="14" hidden="1">#REF!</definedName>
    <definedName name="baron" localSheetId="15" hidden="1">#REF!</definedName>
    <definedName name="baron" localSheetId="16" hidden="1">#REF!</definedName>
    <definedName name="baron" localSheetId="18" hidden="1">#REF!</definedName>
    <definedName name="baron" localSheetId="19" hidden="1">#REF!</definedName>
    <definedName name="baron" localSheetId="5" hidden="1">#REF!</definedName>
    <definedName name="baron" localSheetId="7" hidden="1">#REF!</definedName>
    <definedName name="baron" localSheetId="9" hidden="1">#REF!</definedName>
    <definedName name="baron" localSheetId="0" hidden="1">#REF!</definedName>
    <definedName name="baron" hidden="1">#REF!</definedName>
    <definedName name="bb" localSheetId="10" hidden="1">{"Riqfin97",#N/A,FALSE,"Tran";"Riqfinpro",#N/A,FALSE,"Tran"}</definedName>
    <definedName name="bb" localSheetId="11" hidden="1">{"Riqfin97",#N/A,FALSE,"Tran";"Riqfinpro",#N/A,FALSE,"Tran"}</definedName>
    <definedName name="bb" localSheetId="12" hidden="1">{"Riqfin97",#N/A,FALSE,"Tran";"Riqfinpro",#N/A,FALSE,"Tran"}</definedName>
    <definedName name="bb" localSheetId="13" hidden="1">{"Riqfin97",#N/A,FALSE,"Tran";"Riqfinpro",#N/A,FALSE,"Tran"}</definedName>
    <definedName name="bb" localSheetId="18" hidden="1">{"Riqfin97",#N/A,FALSE,"Tran";"Riqfinpro",#N/A,FALSE,"Tran"}</definedName>
    <definedName name="bb" localSheetId="19" hidden="1">{"Riqfin97",#N/A,FALSE,"Tran";"Riqfinpro",#N/A,FALSE,"Tran"}</definedName>
    <definedName name="bb" localSheetId="2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10" hidden="1">{"Minpmon",#N/A,FALSE,"Monthinput"}</definedName>
    <definedName name="bbbb" localSheetId="11" hidden="1">{"Minpmon",#N/A,FALSE,"Monthinput"}</definedName>
    <definedName name="bbbb" localSheetId="12" hidden="1">{"Minpmon",#N/A,FALSE,"Monthinput"}</definedName>
    <definedName name="bbbb" localSheetId="13" hidden="1">{"Minpmon",#N/A,FALSE,"Monthinput"}</definedName>
    <definedName name="bbbb" localSheetId="18" hidden="1">{"Minpmon",#N/A,FALSE,"Monthinput"}</definedName>
    <definedName name="bbbb" localSheetId="19" hidden="1">{"Minpmon",#N/A,FALSE,"Monthinput"}</definedName>
    <definedName name="bbbb" localSheetId="2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10" hidden="1">{"Tab1",#N/A,FALSE,"P";"Tab2",#N/A,FALSE,"P"}</definedName>
    <definedName name="bbbbbbbbbbbbb" localSheetId="11" hidden="1">{"Tab1",#N/A,FALSE,"P";"Tab2",#N/A,FALSE,"P"}</definedName>
    <definedName name="bbbbbbbbbbbbb" localSheetId="12" hidden="1">{"Tab1",#N/A,FALSE,"P";"Tab2",#N/A,FALSE,"P"}</definedName>
    <definedName name="bbbbbbbbbbbbb" localSheetId="13" hidden="1">{"Tab1",#N/A,FALSE,"P";"Tab2",#N/A,FALSE,"P"}</definedName>
    <definedName name="bbbbbbbbbbbbb" localSheetId="18" hidden="1">{"Tab1",#N/A,FALSE,"P";"Tab2",#N/A,FALSE,"P"}</definedName>
    <definedName name="bbbbbbbbbbbbb" localSheetId="19" hidden="1">{"Tab1",#N/A,FALSE,"P";"Tab2",#N/A,FALSE,"P"}</definedName>
    <definedName name="bbbbbbbbbbbbb" localSheetId="2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hidden="1">'[10]Ex rate bloom'!$A$4</definedName>
    <definedName name="BLPH2" hidden="1">'[10]Ex rate bloom'!$D$4</definedName>
    <definedName name="BLPH3" hidden="1">'[10]Ex rate bloom'!$G$4</definedName>
    <definedName name="BLPH4" hidden="1">'[10]Ex rate bloom'!$J$4</definedName>
    <definedName name="BLPH5" hidden="1">'[10]Ex rate bloom'!$M$4</definedName>
    <definedName name="BLPH6" hidden="1">'[10]Ex rate bloom'!$P$4</definedName>
    <definedName name="BLPH7" hidden="1">'[10]Ex rate bloom'!$S$4</definedName>
    <definedName name="BLPH8" hidden="1">'[10]Ex rate bloom'!$V$4</definedName>
    <definedName name="Caja1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ulo" localSheetId="1" hidden="1">#REF!</definedName>
    <definedName name="calculo" localSheetId="10" hidden="1">#REF!</definedName>
    <definedName name="calculo" localSheetId="11" hidden="1">#REF!</definedName>
    <definedName name="calculo" localSheetId="12" hidden="1">#REF!</definedName>
    <definedName name="calculo" localSheetId="13" hidden="1">#REF!</definedName>
    <definedName name="calculo" localSheetId="14" hidden="1">#REF!</definedName>
    <definedName name="calculo" localSheetId="15" hidden="1">#REF!</definedName>
    <definedName name="calculo" localSheetId="18" hidden="1">#REF!</definedName>
    <definedName name="calculo" localSheetId="19" hidden="1">#REF!</definedName>
    <definedName name="calculo" localSheetId="2" hidden="1">#REF!</definedName>
    <definedName name="calculo" localSheetId="5" hidden="1">#REF!</definedName>
    <definedName name="calculo" localSheetId="7" hidden="1">#REF!</definedName>
    <definedName name="calculo" localSheetId="9" hidden="1">#REF!</definedName>
    <definedName name="calculo" localSheetId="0" hidden="1">#REF!</definedName>
    <definedName name="calculo" hidden="1">#REF!</definedName>
    <definedName name="cc" localSheetId="10" hidden="1">{"Riqfin97",#N/A,FALSE,"Tran";"Riqfinpro",#N/A,FALSE,"Tran"}</definedName>
    <definedName name="cc" localSheetId="11" hidden="1">{"Riqfin97",#N/A,FALSE,"Tran";"Riqfinpro",#N/A,FALSE,"Tran"}</definedName>
    <definedName name="cc" localSheetId="12" hidden="1">{"Riqfin97",#N/A,FALSE,"Tran";"Riqfinpro",#N/A,FALSE,"Tran"}</definedName>
    <definedName name="cc" localSheetId="13" hidden="1">{"Riqfin97",#N/A,FALSE,"Tran";"Riqfinpro",#N/A,FALSE,"Tran"}</definedName>
    <definedName name="cc" localSheetId="18" hidden="1">{"Riqfin97",#N/A,FALSE,"Tran";"Riqfinpro",#N/A,FALSE,"Tran"}</definedName>
    <definedName name="cc" localSheetId="19" hidden="1">{"Riqfin97",#N/A,FALSE,"Tran";"Riqfinpro",#N/A,FALSE,"Tran"}</definedName>
    <definedName name="cc" localSheetId="2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cc" localSheetId="10" hidden="1">{"Minpmon",#N/A,FALSE,"Monthinput"}</definedName>
    <definedName name="ccccc" localSheetId="11" hidden="1">{"Minpmon",#N/A,FALSE,"Monthinput"}</definedName>
    <definedName name="ccccc" localSheetId="12" hidden="1">{"Minpmon",#N/A,FALSE,"Monthinput"}</definedName>
    <definedName name="ccccc" localSheetId="13" hidden="1">{"Minpmon",#N/A,FALSE,"Monthinput"}</definedName>
    <definedName name="ccccc" localSheetId="18" hidden="1">{"Minpmon",#N/A,FALSE,"Monthinput"}</definedName>
    <definedName name="ccccc" localSheetId="19" hidden="1">{"Minpmon",#N/A,FALSE,"Monthinput"}</definedName>
    <definedName name="ccccc" localSheetId="2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10" hidden="1">{"Tab1",#N/A,FALSE,"P";"Tab2",#N/A,FALSE,"P"}</definedName>
    <definedName name="cccccccccccccc" localSheetId="11" hidden="1">{"Tab1",#N/A,FALSE,"P";"Tab2",#N/A,FALSE,"P"}</definedName>
    <definedName name="cccccccccccccc" localSheetId="12" hidden="1">{"Tab1",#N/A,FALSE,"P";"Tab2",#N/A,FALSE,"P"}</definedName>
    <definedName name="cccccccccccccc" localSheetId="13" hidden="1">{"Tab1",#N/A,FALSE,"P";"Tab2",#N/A,FALSE,"P"}</definedName>
    <definedName name="cccccccccccccc" localSheetId="18" hidden="1">{"Tab1",#N/A,FALSE,"P";"Tab2",#N/A,FALSE,"P"}</definedName>
    <definedName name="cccccccccccccc" localSheetId="19" hidden="1">{"Tab1",#N/A,FALSE,"P";"Tab2",#N/A,FALSE,"P"}</definedName>
    <definedName name="cccccccccccccc" localSheetId="2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10" hidden="1">{"Riqfin97",#N/A,FALSE,"Tran";"Riqfinpro",#N/A,FALSE,"Tran"}</definedName>
    <definedName name="cccm" localSheetId="11" hidden="1">{"Riqfin97",#N/A,FALSE,"Tran";"Riqfinpro",#N/A,FALSE,"Tran"}</definedName>
    <definedName name="cccm" localSheetId="12" hidden="1">{"Riqfin97",#N/A,FALSE,"Tran";"Riqfinpro",#N/A,FALSE,"Tran"}</definedName>
    <definedName name="cccm" localSheetId="13" hidden="1">{"Riqfin97",#N/A,FALSE,"Tran";"Riqfinpro",#N/A,FALSE,"Tran"}</definedName>
    <definedName name="cccm" localSheetId="18" hidden="1">{"Riqfin97",#N/A,FALSE,"Tran";"Riqfinpro",#N/A,FALSE,"Tran"}</definedName>
    <definedName name="cccm" localSheetId="19" hidden="1">{"Riqfin97",#N/A,FALSE,"Tran";"Riqfinpro",#N/A,FALSE,"Tran"}</definedName>
    <definedName name="cccm" localSheetId="2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de" localSheetId="10" hidden="1">{"Riqfin97",#N/A,FALSE,"Tran";"Riqfinpro",#N/A,FALSE,"Tran"}</definedName>
    <definedName name="cde" localSheetId="11" hidden="1">{"Riqfin97",#N/A,FALSE,"Tran";"Riqfinpro",#N/A,FALSE,"Tran"}</definedName>
    <definedName name="cde" localSheetId="12" hidden="1">{"Riqfin97",#N/A,FALSE,"Tran";"Riqfinpro",#N/A,FALSE,"Tran"}</definedName>
    <definedName name="cde" localSheetId="13" hidden="1">{"Riqfin97",#N/A,FALSE,"Tran";"Riqfinpro",#N/A,FALSE,"Tran"}</definedName>
    <definedName name="cde" localSheetId="18" hidden="1">{"Riqfin97",#N/A,FALSE,"Tran";"Riqfinpro",#N/A,FALSE,"Tran"}</definedName>
    <definedName name="cde" localSheetId="19" hidden="1">{"Riqfin97",#N/A,FALSE,"Tran";"Riqfinpro",#N/A,FALSE,"Tran"}</definedName>
    <definedName name="cde" localSheetId="2" hidden="1">{"Riqfin97",#N/A,FALSE,"Tran";"Riqfinpro",#N/A,FALSE,"Tran"}</definedName>
    <definedName name="cde" localSheetId="9" hidden="1">{"Riqfin97",#N/A,FALSE,"Tran";"Riqfinpro",#N/A,FALSE,"Tran"}</definedName>
    <definedName name="cde" hidden="1">{"Riqfin97",#N/A,FALSE,"Tran";"Riqfinpro",#N/A,FALSE,"Tran"}</definedName>
    <definedName name="cp" localSheetId="10" hidden="1">'[11]C Summary'!#REF!</definedName>
    <definedName name="cp" localSheetId="11" hidden="1">'[11]C Summary'!#REF!</definedName>
    <definedName name="cp" localSheetId="12" hidden="1">'[11]C Summary'!#REF!</definedName>
    <definedName name="cp" localSheetId="13" hidden="1">'[11]C Summary'!#REF!</definedName>
    <definedName name="cp" localSheetId="14" hidden="1">'[11]C Summary'!#REF!</definedName>
    <definedName name="cp" localSheetId="15" hidden="1">'[11]C Summary'!#REF!</definedName>
    <definedName name="cp" localSheetId="2" hidden="1">'[11]C Summary'!#REF!</definedName>
    <definedName name="cp" localSheetId="5" hidden="1">'[11]C Summary'!#REF!</definedName>
    <definedName name="cp" localSheetId="9" hidden="1">'[11]C Summary'!#REF!</definedName>
    <definedName name="cp" hidden="1">'[11]C Summary'!#REF!</definedName>
    <definedName name="dates">'[12]shared data'!$S$8:$S$155</definedName>
    <definedName name="DATES_A">'[12]shared data'!$D$2:$AC$2</definedName>
    <definedName name="dd" localSheetId="10" hidden="1">{"Riqfin97",#N/A,FALSE,"Tran";"Riqfinpro",#N/A,FALSE,"Tran"}</definedName>
    <definedName name="dd" localSheetId="11" hidden="1">{"Riqfin97",#N/A,FALSE,"Tran";"Riqfinpro",#N/A,FALSE,"Tran"}</definedName>
    <definedName name="dd" localSheetId="12" hidden="1">{"Riqfin97",#N/A,FALSE,"Tran";"Riqfinpro",#N/A,FALSE,"Tran"}</definedName>
    <definedName name="dd" localSheetId="13" hidden="1">{"Riqfin97",#N/A,FALSE,"Tran";"Riqfinpro",#N/A,FALSE,"Tran"}</definedName>
    <definedName name="dd" localSheetId="18" hidden="1">{"Riqfin97",#N/A,FALSE,"Tran";"Riqfinpro",#N/A,FALSE,"Tran"}</definedName>
    <definedName name="dd" localSheetId="19" hidden="1">{"Riqfin97",#N/A,FALSE,"Tran";"Riqfinpro",#N/A,FALSE,"Tran"}</definedName>
    <definedName name="dd" localSheetId="2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localSheetId="1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localSheetId="1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localSheetId="13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localSheetId="1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localSheetId="1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localSheetId="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d" localSheetId="10" hidden="1">{"Minpmon",#N/A,FALSE,"Monthinput"}</definedName>
    <definedName name="dddd" localSheetId="11" hidden="1">{"Minpmon",#N/A,FALSE,"Monthinput"}</definedName>
    <definedName name="dddd" localSheetId="12" hidden="1">{"Minpmon",#N/A,FALSE,"Monthinput"}</definedName>
    <definedName name="dddd" localSheetId="13" hidden="1">{"Minpmon",#N/A,FALSE,"Monthinput"}</definedName>
    <definedName name="dddd" localSheetId="18" hidden="1">{"Minpmon",#N/A,FALSE,"Monthinput"}</definedName>
    <definedName name="dddd" localSheetId="19" hidden="1">{"Minpmon",#N/A,FALSE,"Monthinput"}</definedName>
    <definedName name="dddd" localSheetId="2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10" hidden="1">{"Tab1",#N/A,FALSE,"P";"Tab2",#N/A,FALSE,"P"}</definedName>
    <definedName name="dddddd" localSheetId="11" hidden="1">{"Tab1",#N/A,FALSE,"P";"Tab2",#N/A,FALSE,"P"}</definedName>
    <definedName name="dddddd" localSheetId="12" hidden="1">{"Tab1",#N/A,FALSE,"P";"Tab2",#N/A,FALSE,"P"}</definedName>
    <definedName name="dddddd" localSheetId="13" hidden="1">{"Tab1",#N/A,FALSE,"P";"Tab2",#N/A,FALSE,"P"}</definedName>
    <definedName name="dddddd" localSheetId="18" hidden="1">{"Tab1",#N/A,FALSE,"P";"Tab2",#N/A,FALSE,"P"}</definedName>
    <definedName name="dddddd" localSheetId="19" hidden="1">{"Tab1",#N/A,FALSE,"P";"Tab2",#N/A,FALSE,"P"}</definedName>
    <definedName name="dddddd" localSheetId="2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10" hidden="1">{"Tab1",#N/A,FALSE,"P";"Tab2",#N/A,FALSE,"P"}</definedName>
    <definedName name="der" localSheetId="11" hidden="1">{"Tab1",#N/A,FALSE,"P";"Tab2",#N/A,FALSE,"P"}</definedName>
    <definedName name="der" localSheetId="12" hidden="1">{"Tab1",#N/A,FALSE,"P";"Tab2",#N/A,FALSE,"P"}</definedName>
    <definedName name="der" localSheetId="13" hidden="1">{"Tab1",#N/A,FALSE,"P";"Tab2",#N/A,FALSE,"P"}</definedName>
    <definedName name="der" localSheetId="18" hidden="1">{"Tab1",#N/A,FALSE,"P";"Tab2",#N/A,FALSE,"P"}</definedName>
    <definedName name="der" localSheetId="19" hidden="1">{"Tab1",#N/A,FALSE,"P";"Tab2",#N/A,FALSE,"P"}</definedName>
    <definedName name="der" localSheetId="2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o">#N/A</definedName>
    <definedName name="DOMI">#N/A</definedName>
    <definedName name="DOMINIO2">#N/A</definedName>
    <definedName name="edr" localSheetId="10" hidden="1">{"Riqfin97",#N/A,FALSE,"Tran";"Riqfinpro",#N/A,FALSE,"Tran"}</definedName>
    <definedName name="edr" localSheetId="11" hidden="1">{"Riqfin97",#N/A,FALSE,"Tran";"Riqfinpro",#N/A,FALSE,"Tran"}</definedName>
    <definedName name="edr" localSheetId="12" hidden="1">{"Riqfin97",#N/A,FALSE,"Tran";"Riqfinpro",#N/A,FALSE,"Tran"}</definedName>
    <definedName name="edr" localSheetId="13" hidden="1">{"Riqfin97",#N/A,FALSE,"Tran";"Riqfinpro",#N/A,FALSE,"Tran"}</definedName>
    <definedName name="edr" localSheetId="18" hidden="1">{"Riqfin97",#N/A,FALSE,"Tran";"Riqfinpro",#N/A,FALSE,"Tran"}</definedName>
    <definedName name="edr" localSheetId="19" hidden="1">{"Riqfin97",#N/A,FALSE,"Tran";"Riqfinpro",#N/A,FALSE,"Tran"}</definedName>
    <definedName name="edr" localSheetId="2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10" hidden="1">{"Main Economic Indicators",#N/A,FALSE,"C"}</definedName>
    <definedName name="ee" localSheetId="11" hidden="1">{"Main Economic Indicators",#N/A,FALSE,"C"}</definedName>
    <definedName name="ee" localSheetId="12" hidden="1">{"Main Economic Indicators",#N/A,FALSE,"C"}</definedName>
    <definedName name="ee" localSheetId="13" hidden="1">{"Main Economic Indicators",#N/A,FALSE,"C"}</definedName>
    <definedName name="ee" localSheetId="18" hidden="1">{"Main Economic Indicators",#N/A,FALSE,"C"}</definedName>
    <definedName name="ee" localSheetId="19" hidden="1">{"Main Economic Indicators",#N/A,FALSE,"C"}</definedName>
    <definedName name="ee" localSheetId="2" hidden="1">{"Main Economic Indicators",#N/A,FALSE,"C"}</definedName>
    <definedName name="ee" localSheetId="9" hidden="1">{"Main Economic Indicators",#N/A,FALSE,"C"}</definedName>
    <definedName name="ee" hidden="1">{"Main Economic Indicators",#N/A,FALSE,"C"}</definedName>
    <definedName name="eee" localSheetId="10" hidden="1">{"Tab1",#N/A,FALSE,"P";"Tab2",#N/A,FALSE,"P"}</definedName>
    <definedName name="eee" localSheetId="11" hidden="1">{"Tab1",#N/A,FALSE,"P";"Tab2",#N/A,FALSE,"P"}</definedName>
    <definedName name="eee" localSheetId="12" hidden="1">{"Tab1",#N/A,FALSE,"P";"Tab2",#N/A,FALSE,"P"}</definedName>
    <definedName name="eee" localSheetId="13" hidden="1">{"Tab1",#N/A,FALSE,"P";"Tab2",#N/A,FALSE,"P"}</definedName>
    <definedName name="eee" localSheetId="18" hidden="1">{"Tab1",#N/A,FALSE,"P";"Tab2",#N/A,FALSE,"P"}</definedName>
    <definedName name="eee" localSheetId="19" hidden="1">{"Tab1",#N/A,FALSE,"P";"Tab2",#N/A,FALSE,"P"}</definedName>
    <definedName name="eee" localSheetId="2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10" hidden="1">{"Riqfin97",#N/A,FALSE,"Tran";"Riqfinpro",#N/A,FALSE,"Tran"}</definedName>
    <definedName name="eeee" localSheetId="11" hidden="1">{"Riqfin97",#N/A,FALSE,"Tran";"Riqfinpro",#N/A,FALSE,"Tran"}</definedName>
    <definedName name="eeee" localSheetId="12" hidden="1">{"Riqfin97",#N/A,FALSE,"Tran";"Riqfinpro",#N/A,FALSE,"Tran"}</definedName>
    <definedName name="eeee" localSheetId="13" hidden="1">{"Riqfin97",#N/A,FALSE,"Tran";"Riqfinpro",#N/A,FALSE,"Tran"}</definedName>
    <definedName name="eeee" localSheetId="18" hidden="1">{"Riqfin97",#N/A,FALSE,"Tran";"Riqfinpro",#N/A,FALSE,"Tran"}</definedName>
    <definedName name="eeee" localSheetId="19" hidden="1">{"Riqfin97",#N/A,FALSE,"Tran";"Riqfinpro",#N/A,FALSE,"Tran"}</definedName>
    <definedName name="eeee" localSheetId="2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10" hidden="1">{"Riqfin97",#N/A,FALSE,"Tran";"Riqfinpro",#N/A,FALSE,"Tran"}</definedName>
    <definedName name="eeeee" localSheetId="11" hidden="1">{"Riqfin97",#N/A,FALSE,"Tran";"Riqfinpro",#N/A,FALSE,"Tran"}</definedName>
    <definedName name="eeeee" localSheetId="12" hidden="1">{"Riqfin97",#N/A,FALSE,"Tran";"Riqfinpro",#N/A,FALSE,"Tran"}</definedName>
    <definedName name="eeeee" localSheetId="13" hidden="1">{"Riqfin97",#N/A,FALSE,"Tran";"Riqfinpro",#N/A,FALSE,"Tran"}</definedName>
    <definedName name="eeeee" localSheetId="18" hidden="1">{"Riqfin97",#N/A,FALSE,"Tran";"Riqfinpro",#N/A,FALSE,"Tran"}</definedName>
    <definedName name="eeeee" localSheetId="19" hidden="1">{"Riqfin97",#N/A,FALSE,"Tran";"Riqfinpro",#N/A,FALSE,"Tran"}</definedName>
    <definedName name="eeeee" localSheetId="2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10" hidden="1">{"Riqfin97",#N/A,FALSE,"Tran";"Riqfinpro",#N/A,FALSE,"Tran"}</definedName>
    <definedName name="eeeeeee" localSheetId="11" hidden="1">{"Riqfin97",#N/A,FALSE,"Tran";"Riqfinpro",#N/A,FALSE,"Tran"}</definedName>
    <definedName name="eeeeeee" localSheetId="12" hidden="1">{"Riqfin97",#N/A,FALSE,"Tran";"Riqfinpro",#N/A,FALSE,"Tran"}</definedName>
    <definedName name="eeeeeee" localSheetId="13" hidden="1">{"Riqfin97",#N/A,FALSE,"Tran";"Riqfinpro",#N/A,FALSE,"Tran"}</definedName>
    <definedName name="eeeeeee" localSheetId="18" hidden="1">{"Riqfin97",#N/A,FALSE,"Tran";"Riqfinpro",#N/A,FALSE,"Tran"}</definedName>
    <definedName name="eeeeeee" localSheetId="19" hidden="1">{"Riqfin97",#N/A,FALSE,"Tran";"Riqfinpro",#N/A,FALSE,"Tran"}</definedName>
    <definedName name="eeeeeee" localSheetId="2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fdfrd" localSheetId="10" hidden="1">{"Tab1",#N/A,FALSE,"P";"Tab2",#N/A,FALSE,"P"}</definedName>
    <definedName name="efdfrd" localSheetId="11" hidden="1">{"Tab1",#N/A,FALSE,"P";"Tab2",#N/A,FALSE,"P"}</definedName>
    <definedName name="efdfrd" localSheetId="12" hidden="1">{"Tab1",#N/A,FALSE,"P";"Tab2",#N/A,FALSE,"P"}</definedName>
    <definedName name="efdfrd" localSheetId="13" hidden="1">{"Tab1",#N/A,FALSE,"P";"Tab2",#N/A,FALSE,"P"}</definedName>
    <definedName name="efdfrd" localSheetId="18" hidden="1">{"Tab1",#N/A,FALSE,"P";"Tab2",#N/A,FALSE,"P"}</definedName>
    <definedName name="efdfrd" localSheetId="19" hidden="1">{"Tab1",#N/A,FALSE,"P";"Tab2",#N/A,FALSE,"P"}</definedName>
    <definedName name="efdfrd" localSheetId="2" hidden="1">{"Tab1",#N/A,FALSE,"P";"Tab2",#N/A,FALSE,"P"}</definedName>
    <definedName name="efdfrd" localSheetId="9" hidden="1">{"Tab1",#N/A,FALSE,"P";"Tab2",#N/A,FALSE,"P"}</definedName>
    <definedName name="efdfrd" hidden="1">{"Tab1",#N/A,FALSE,"P";"Tab2",#N/A,FALSE,"P"}</definedName>
    <definedName name="ergferger" localSheetId="10" hidden="1">{"Main Economic Indicators",#N/A,FALSE,"C"}</definedName>
    <definedName name="ergferger" localSheetId="11" hidden="1">{"Main Economic Indicators",#N/A,FALSE,"C"}</definedName>
    <definedName name="ergferger" localSheetId="12" hidden="1">{"Main Economic Indicators",#N/A,FALSE,"C"}</definedName>
    <definedName name="ergferger" localSheetId="13" hidden="1">{"Main Economic Indicators",#N/A,FALSE,"C"}</definedName>
    <definedName name="ergferger" localSheetId="18" hidden="1">{"Main Economic Indicators",#N/A,FALSE,"C"}</definedName>
    <definedName name="ergferger" localSheetId="19" hidden="1">{"Main Economic Indicators",#N/A,FALSE,"C"}</definedName>
    <definedName name="ergferger" localSheetId="2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gferger1" localSheetId="10" hidden="1">{"Main Economic Indicators",#N/A,FALSE,"C"}</definedName>
    <definedName name="ergferger1" localSheetId="11" hidden="1">{"Main Economic Indicators",#N/A,FALSE,"C"}</definedName>
    <definedName name="ergferger1" localSheetId="12" hidden="1">{"Main Economic Indicators",#N/A,FALSE,"C"}</definedName>
    <definedName name="ergferger1" localSheetId="13" hidden="1">{"Main Economic Indicators",#N/A,FALSE,"C"}</definedName>
    <definedName name="ergferger1" localSheetId="18" hidden="1">{"Main Economic Indicators",#N/A,FALSE,"C"}</definedName>
    <definedName name="ergferger1" localSheetId="19" hidden="1">{"Main Economic Indicators",#N/A,FALSE,"C"}</definedName>
    <definedName name="ergferger1" localSheetId="2" hidden="1">{"Main Economic Indicators",#N/A,FALSE,"C"}</definedName>
    <definedName name="ergferger1" localSheetId="9" hidden="1">{"Main Economic Indicators",#N/A,FALSE,"C"}</definedName>
    <definedName name="ergferger1" hidden="1">{"Main Economic Indicators",#N/A,FALSE,"C"}</definedName>
    <definedName name="ert" localSheetId="10" hidden="1">{"Minpmon",#N/A,FALSE,"Monthinput"}</definedName>
    <definedName name="ert" localSheetId="11" hidden="1">{"Minpmon",#N/A,FALSE,"Monthinput"}</definedName>
    <definedName name="ert" localSheetId="12" hidden="1">{"Minpmon",#N/A,FALSE,"Monthinput"}</definedName>
    <definedName name="ert" localSheetId="13" hidden="1">{"Minpmon",#N/A,FALSE,"Monthinput"}</definedName>
    <definedName name="ert" localSheetId="18" hidden="1">{"Minpmon",#N/A,FALSE,"Monthinput"}</definedName>
    <definedName name="ert" localSheetId="19" hidden="1">{"Minpmon",#N/A,FALSE,"Monthinput"}</definedName>
    <definedName name="ert" localSheetId="2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fed" localSheetId="10" hidden="1">{"Riqfin97",#N/A,FALSE,"Tran";"Riqfinpro",#N/A,FALSE,"Tran"}</definedName>
    <definedName name="fed" localSheetId="11" hidden="1">{"Riqfin97",#N/A,FALSE,"Tran";"Riqfinpro",#N/A,FALSE,"Tran"}</definedName>
    <definedName name="fed" localSheetId="12" hidden="1">{"Riqfin97",#N/A,FALSE,"Tran";"Riqfinpro",#N/A,FALSE,"Tran"}</definedName>
    <definedName name="fed" localSheetId="13" hidden="1">{"Riqfin97",#N/A,FALSE,"Tran";"Riqfinpro",#N/A,FALSE,"Tran"}</definedName>
    <definedName name="fed" localSheetId="18" hidden="1">{"Riqfin97",#N/A,FALSE,"Tran";"Riqfinpro",#N/A,FALSE,"Tran"}</definedName>
    <definedName name="fed" localSheetId="19" hidden="1">{"Riqfin97",#N/A,FALSE,"Tran";"Riqfinpro",#N/A,FALSE,"Tran"}</definedName>
    <definedName name="fed" localSheetId="2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10" hidden="1">{"Riqfin97",#N/A,FALSE,"Tran";"Riqfinpro",#N/A,FALSE,"Tran"}</definedName>
    <definedName name="fer" localSheetId="11" hidden="1">{"Riqfin97",#N/A,FALSE,"Tran";"Riqfinpro",#N/A,FALSE,"Tran"}</definedName>
    <definedName name="fer" localSheetId="12" hidden="1">{"Riqfin97",#N/A,FALSE,"Tran";"Riqfinpro",#N/A,FALSE,"Tran"}</definedName>
    <definedName name="fer" localSheetId="13" hidden="1">{"Riqfin97",#N/A,FALSE,"Tran";"Riqfinpro",#N/A,FALSE,"Tran"}</definedName>
    <definedName name="fer" localSheetId="18" hidden="1">{"Riqfin97",#N/A,FALSE,"Tran";"Riqfinpro",#N/A,FALSE,"Tran"}</definedName>
    <definedName name="fer" localSheetId="19" hidden="1">{"Riqfin97",#N/A,FALSE,"Tran";"Riqfinpro",#N/A,FALSE,"Tran"}</definedName>
    <definedName name="fer" localSheetId="2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" localSheetId="10" hidden="1">{"Tab1",#N/A,FALSE,"P";"Tab2",#N/A,FALSE,"P"}</definedName>
    <definedName name="ff" localSheetId="11" hidden="1">{"Tab1",#N/A,FALSE,"P";"Tab2",#N/A,FALSE,"P"}</definedName>
    <definedName name="ff" localSheetId="12" hidden="1">{"Tab1",#N/A,FALSE,"P";"Tab2",#N/A,FALSE,"P"}</definedName>
    <definedName name="ff" localSheetId="13" hidden="1">{"Tab1",#N/A,FALSE,"P";"Tab2",#N/A,FALSE,"P"}</definedName>
    <definedName name="ff" localSheetId="18" hidden="1">{"Tab1",#N/A,FALSE,"P";"Tab2",#N/A,FALSE,"P"}</definedName>
    <definedName name="ff" localSheetId="19" hidden="1">{"Tab1",#N/A,FALSE,"P";"Tab2",#N/A,FALSE,"P"}</definedName>
    <definedName name="ff" localSheetId="2" hidden="1">{"Tab1",#N/A,FALSE,"P";"Tab2",#N/A,FALSE,"P"}</definedName>
    <definedName name="ff" localSheetId="9" hidden="1">{"Tab1",#N/A,FALSE,"P";"Tab2",#N/A,FALSE,"P"}</definedName>
    <definedName name="ff" hidden="1">{"Tab1",#N/A,FALSE,"P";"Tab2",#N/A,FALSE,"P"}</definedName>
    <definedName name="fff" localSheetId="10" hidden="1">{"Tab1",#N/A,FALSE,"P";"Tab2",#N/A,FALSE,"P"}</definedName>
    <definedName name="fff" localSheetId="11" hidden="1">{"Tab1",#N/A,FALSE,"P";"Tab2",#N/A,FALSE,"P"}</definedName>
    <definedName name="fff" localSheetId="12" hidden="1">{"Tab1",#N/A,FALSE,"P";"Tab2",#N/A,FALSE,"P"}</definedName>
    <definedName name="fff" localSheetId="13" hidden="1">{"Tab1",#N/A,FALSE,"P";"Tab2",#N/A,FALSE,"P"}</definedName>
    <definedName name="fff" localSheetId="18" hidden="1">{"Tab1",#N/A,FALSE,"P";"Tab2",#N/A,FALSE,"P"}</definedName>
    <definedName name="fff" localSheetId="19" hidden="1">{"Tab1",#N/A,FALSE,"P";"Tab2",#N/A,FALSE,"P"}</definedName>
    <definedName name="fff" localSheetId="2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10" hidden="1">{"Riqfin97",#N/A,FALSE,"Tran";"Riqfinpro",#N/A,FALSE,"Tran"}</definedName>
    <definedName name="ffff" localSheetId="11" hidden="1">{"Riqfin97",#N/A,FALSE,"Tran";"Riqfinpro",#N/A,FALSE,"Tran"}</definedName>
    <definedName name="ffff" localSheetId="12" hidden="1">{"Riqfin97",#N/A,FALSE,"Tran";"Riqfinpro",#N/A,FALSE,"Tran"}</definedName>
    <definedName name="ffff" localSheetId="13" hidden="1">{"Riqfin97",#N/A,FALSE,"Tran";"Riqfinpro",#N/A,FALSE,"Tran"}</definedName>
    <definedName name="ffff" localSheetId="18" hidden="1">{"Riqfin97",#N/A,FALSE,"Tran";"Riqfinpro",#N/A,FALSE,"Tran"}</definedName>
    <definedName name="ffff" localSheetId="19" hidden="1">{"Riqfin97",#N/A,FALSE,"Tran";"Riqfinpro",#N/A,FALSE,"Tran"}</definedName>
    <definedName name="ffff" localSheetId="2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10" hidden="1">{"Tab1",#N/A,FALSE,"P";"Tab2",#N/A,FALSE,"P"}</definedName>
    <definedName name="ffffff" localSheetId="11" hidden="1">{"Tab1",#N/A,FALSE,"P";"Tab2",#N/A,FALSE,"P"}</definedName>
    <definedName name="ffffff" localSheetId="12" hidden="1">{"Tab1",#N/A,FALSE,"P";"Tab2",#N/A,FALSE,"P"}</definedName>
    <definedName name="ffffff" localSheetId="13" hidden="1">{"Tab1",#N/A,FALSE,"P";"Tab2",#N/A,FALSE,"P"}</definedName>
    <definedName name="ffffff" localSheetId="18" hidden="1">{"Tab1",#N/A,FALSE,"P";"Tab2",#N/A,FALSE,"P"}</definedName>
    <definedName name="ffffff" localSheetId="19" hidden="1">{"Tab1",#N/A,FALSE,"P";"Tab2",#N/A,FALSE,"P"}</definedName>
    <definedName name="ffffff" localSheetId="2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10" hidden="1">{"Minpmon",#N/A,FALSE,"Monthinput"}</definedName>
    <definedName name="fffffff" localSheetId="11" hidden="1">{"Minpmon",#N/A,FALSE,"Monthinput"}</definedName>
    <definedName name="fffffff" localSheetId="12" hidden="1">{"Minpmon",#N/A,FALSE,"Monthinput"}</definedName>
    <definedName name="fffffff" localSheetId="13" hidden="1">{"Minpmon",#N/A,FALSE,"Monthinput"}</definedName>
    <definedName name="fffffff" localSheetId="18" hidden="1">{"Minpmon",#N/A,FALSE,"Monthinput"}</definedName>
    <definedName name="fffffff" localSheetId="19" hidden="1">{"Minpmon",#N/A,FALSE,"Monthinput"}</definedName>
    <definedName name="fffffff" localSheetId="2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10" hidden="1">{"Riqfin97",#N/A,FALSE,"Tran";"Riqfinpro",#N/A,FALSE,"Tran"}</definedName>
    <definedName name="ffffffffffffff" localSheetId="11" hidden="1">{"Riqfin97",#N/A,FALSE,"Tran";"Riqfinpro",#N/A,FALSE,"Tran"}</definedName>
    <definedName name="ffffffffffffff" localSheetId="12" hidden="1">{"Riqfin97",#N/A,FALSE,"Tran";"Riqfinpro",#N/A,FALSE,"Tran"}</definedName>
    <definedName name="ffffffffffffff" localSheetId="13" hidden="1">{"Riqfin97",#N/A,FALSE,"Tran";"Riqfinpro",#N/A,FALSE,"Tran"}</definedName>
    <definedName name="ffffffffffffff" localSheetId="18" hidden="1">{"Riqfin97",#N/A,FALSE,"Tran";"Riqfinpro",#N/A,FALSE,"Tran"}</definedName>
    <definedName name="ffffffffffffff" localSheetId="19" hidden="1">{"Riqfin97",#N/A,FALSE,"Tran";"Riqfinpro",#N/A,FALSE,"Tran"}</definedName>
    <definedName name="ffffffffffffff" localSheetId="2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10" hidden="1">{"Riqfin97",#N/A,FALSE,"Tran";"Riqfinpro",#N/A,FALSE,"Tran"}</definedName>
    <definedName name="fgf" localSheetId="11" hidden="1">{"Riqfin97",#N/A,FALSE,"Tran";"Riqfinpro",#N/A,FALSE,"Tran"}</definedName>
    <definedName name="fgf" localSheetId="12" hidden="1">{"Riqfin97",#N/A,FALSE,"Tran";"Riqfinpro",#N/A,FALSE,"Tran"}</definedName>
    <definedName name="fgf" localSheetId="13" hidden="1">{"Riqfin97",#N/A,FALSE,"Tran";"Riqfinpro",#N/A,FALSE,"Tran"}</definedName>
    <definedName name="fgf" localSheetId="18" hidden="1">{"Riqfin97",#N/A,FALSE,"Tran";"Riqfinpro",#N/A,FALSE,"Tran"}</definedName>
    <definedName name="fgf" localSheetId="19" hidden="1">{"Riqfin97",#N/A,FALSE,"Tran";"Riqfinpro",#N/A,FALSE,"Tran"}</definedName>
    <definedName name="fgf" localSheetId="2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10" hidden="1">{"Tab1",#N/A,FALSE,"P";"Tab2",#N/A,FALSE,"P"}</definedName>
    <definedName name="Financing" localSheetId="11" hidden="1">{"Tab1",#N/A,FALSE,"P";"Tab2",#N/A,FALSE,"P"}</definedName>
    <definedName name="Financing" localSheetId="12" hidden="1">{"Tab1",#N/A,FALSE,"P";"Tab2",#N/A,FALSE,"P"}</definedName>
    <definedName name="Financing" localSheetId="13" hidden="1">{"Tab1",#N/A,FALSE,"P";"Tab2",#N/A,FALSE,"P"}</definedName>
    <definedName name="Financing" localSheetId="18" hidden="1">{"Tab1",#N/A,FALSE,"P";"Tab2",#N/A,FALSE,"P"}</definedName>
    <definedName name="Financing" localSheetId="19" hidden="1">{"Tab1",#N/A,FALSE,"P";"Tab2",#N/A,FALSE,"P"}</definedName>
    <definedName name="Financing" localSheetId="2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re" localSheetId="10" hidden="1">{"Tab1",#N/A,FALSE,"P";"Tab2",#N/A,FALSE,"P"}</definedName>
    <definedName name="fre" localSheetId="11" hidden="1">{"Tab1",#N/A,FALSE,"P";"Tab2",#N/A,FALSE,"P"}</definedName>
    <definedName name="fre" localSheetId="12" hidden="1">{"Tab1",#N/A,FALSE,"P";"Tab2",#N/A,FALSE,"P"}</definedName>
    <definedName name="fre" localSheetId="13" hidden="1">{"Tab1",#N/A,FALSE,"P";"Tab2",#N/A,FALSE,"P"}</definedName>
    <definedName name="fre" localSheetId="18" hidden="1">{"Tab1",#N/A,FALSE,"P";"Tab2",#N/A,FALSE,"P"}</definedName>
    <definedName name="fre" localSheetId="19" hidden="1">{"Tab1",#N/A,FALSE,"P";"Tab2",#N/A,FALSE,"P"}</definedName>
    <definedName name="fre" localSheetId="2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10" hidden="1">{"Riqfin97",#N/A,FALSE,"Tran";"Riqfinpro",#N/A,FALSE,"Tran"}</definedName>
    <definedName name="ftr" localSheetId="11" hidden="1">{"Riqfin97",#N/A,FALSE,"Tran";"Riqfinpro",#N/A,FALSE,"Tran"}</definedName>
    <definedName name="ftr" localSheetId="12" hidden="1">{"Riqfin97",#N/A,FALSE,"Tran";"Riqfinpro",#N/A,FALSE,"Tran"}</definedName>
    <definedName name="ftr" localSheetId="13" hidden="1">{"Riqfin97",#N/A,FALSE,"Tran";"Riqfinpro",#N/A,FALSE,"Tran"}</definedName>
    <definedName name="ftr" localSheetId="18" hidden="1">{"Riqfin97",#N/A,FALSE,"Tran";"Riqfinpro",#N/A,FALSE,"Tran"}</definedName>
    <definedName name="ftr" localSheetId="19" hidden="1">{"Riqfin97",#N/A,FALSE,"Tran";"Riqfinpro",#N/A,FALSE,"Tran"}</definedName>
    <definedName name="ftr" localSheetId="2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10" hidden="1">{"Riqfin97",#N/A,FALSE,"Tran";"Riqfinpro",#N/A,FALSE,"Tran"}</definedName>
    <definedName name="fty" localSheetId="11" hidden="1">{"Riqfin97",#N/A,FALSE,"Tran";"Riqfinpro",#N/A,FALSE,"Tran"}</definedName>
    <definedName name="fty" localSheetId="12" hidden="1">{"Riqfin97",#N/A,FALSE,"Tran";"Riqfinpro",#N/A,FALSE,"Tran"}</definedName>
    <definedName name="fty" localSheetId="13" hidden="1">{"Riqfin97",#N/A,FALSE,"Tran";"Riqfinpro",#N/A,FALSE,"Tran"}</definedName>
    <definedName name="fty" localSheetId="18" hidden="1">{"Riqfin97",#N/A,FALSE,"Tran";"Riqfinpro",#N/A,FALSE,"Tran"}</definedName>
    <definedName name="fty" localSheetId="19" hidden="1">{"Riqfin97",#N/A,FALSE,"Tran";"Riqfinpro",#N/A,FALSE,"Tran"}</definedName>
    <definedName name="fty" localSheetId="2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as">#N/A</definedName>
    <definedName name="GASO">#N/A</definedName>
    <definedName name="gasolinas">#N/A</definedName>
    <definedName name="gasolinas1">#N/A</definedName>
    <definedName name="gfdsgfsa" localSheetId="10" hidden="1">{"Riqfin97",#N/A,FALSE,"Tran";"Riqfinpro",#N/A,FALSE,"Tran"}</definedName>
    <definedName name="gfdsgfsa" localSheetId="11" hidden="1">{"Riqfin97",#N/A,FALSE,"Tran";"Riqfinpro",#N/A,FALSE,"Tran"}</definedName>
    <definedName name="gfdsgfsa" localSheetId="12" hidden="1">{"Riqfin97",#N/A,FALSE,"Tran";"Riqfinpro",#N/A,FALSE,"Tran"}</definedName>
    <definedName name="gfdsgfsa" localSheetId="13" hidden="1">{"Riqfin97",#N/A,FALSE,"Tran";"Riqfinpro",#N/A,FALSE,"Tran"}</definedName>
    <definedName name="gfdsgfsa" localSheetId="18" hidden="1">{"Riqfin97",#N/A,FALSE,"Tran";"Riqfinpro",#N/A,FALSE,"Tran"}</definedName>
    <definedName name="gfdsgfsa" localSheetId="19" hidden="1">{"Riqfin97",#N/A,FALSE,"Tran";"Riqfinpro",#N/A,FALSE,"Tran"}</definedName>
    <definedName name="gfdsgfsa" localSheetId="2" hidden="1">{"Riqfin97",#N/A,FALSE,"Tran";"Riqfinpro",#N/A,FALSE,"Tran"}</definedName>
    <definedName name="gfdsgfsa" localSheetId="9" hidden="1">{"Riqfin97",#N/A,FALSE,"Tran";"Riqfinpro",#N/A,FALSE,"Tran"}</definedName>
    <definedName name="gfdsgfsa" hidden="1">{"Riqfin97",#N/A,FALSE,"Tran";"Riqfinpro",#N/A,FALSE,"Tran"}</definedName>
    <definedName name="ggg" localSheetId="10" hidden="1">{"Riqfin97",#N/A,FALSE,"Tran";"Riqfinpro",#N/A,FALSE,"Tran"}</definedName>
    <definedName name="ggg" localSheetId="11" hidden="1">{"Riqfin97",#N/A,FALSE,"Tran";"Riqfinpro",#N/A,FALSE,"Tran"}</definedName>
    <definedName name="ggg" localSheetId="12" hidden="1">{"Riqfin97",#N/A,FALSE,"Tran";"Riqfinpro",#N/A,FALSE,"Tran"}</definedName>
    <definedName name="ggg" localSheetId="13" hidden="1">{"Riqfin97",#N/A,FALSE,"Tran";"Riqfinpro",#N/A,FALSE,"Tran"}</definedName>
    <definedName name="ggg" localSheetId="18" hidden="1">{"Riqfin97",#N/A,FALSE,"Tran";"Riqfinpro",#N/A,FALSE,"Tran"}</definedName>
    <definedName name="ggg" localSheetId="19" hidden="1">{"Riqfin97",#N/A,FALSE,"Tran";"Riqfinpro",#N/A,FALSE,"Tran"}</definedName>
    <definedName name="ggg" localSheetId="2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3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10" hidden="1">'[13]J(Priv.Cap)'!#REF!</definedName>
    <definedName name="ggggg" localSheetId="11" hidden="1">'[13]J(Priv.Cap)'!#REF!</definedName>
    <definedName name="ggggg" localSheetId="12" hidden="1">'[13]J(Priv.Cap)'!#REF!</definedName>
    <definedName name="ggggg" localSheetId="13" hidden="1">'[13]J(Priv.Cap)'!#REF!</definedName>
    <definedName name="ggggg" localSheetId="14" hidden="1">'[13]J(Priv.Cap)'!#REF!</definedName>
    <definedName name="ggggg" localSheetId="15" hidden="1">'[13]J(Priv.Cap)'!#REF!</definedName>
    <definedName name="ggggg" localSheetId="5" hidden="1">'[13]J(Priv.Cap)'!#REF!</definedName>
    <definedName name="ggggg" localSheetId="9" hidden="1">'[13]J(Priv.Cap)'!#REF!</definedName>
    <definedName name="ggggg" hidden="1">'[13]J(Priv.Cap)'!#REF!</definedName>
    <definedName name="ght" localSheetId="10" hidden="1">{"Tab1",#N/A,FALSE,"P";"Tab2",#N/A,FALSE,"P"}</definedName>
    <definedName name="ght" localSheetId="11" hidden="1">{"Tab1",#N/A,FALSE,"P";"Tab2",#N/A,FALSE,"P"}</definedName>
    <definedName name="ght" localSheetId="12" hidden="1">{"Tab1",#N/A,FALSE,"P";"Tab2",#N/A,FALSE,"P"}</definedName>
    <definedName name="ght" localSheetId="13" hidden="1">{"Tab1",#N/A,FALSE,"P";"Tab2",#N/A,FALSE,"P"}</definedName>
    <definedName name="ght" localSheetId="18" hidden="1">{"Tab1",#N/A,FALSE,"P";"Tab2",#N/A,FALSE,"P"}</definedName>
    <definedName name="ght" localSheetId="19" hidden="1">{"Tab1",#N/A,FALSE,"P";"Tab2",#N/A,FALSE,"P"}</definedName>
    <definedName name="ght" localSheetId="2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af">#N/A</definedName>
    <definedName name="GRAF2">#N/A</definedName>
    <definedName name="GRAFDOM">#N/A</definedName>
    <definedName name="GRAFICO2">#N/A</definedName>
    <definedName name="gre" localSheetId="10" hidden="1">{"Riqfin97",#N/A,FALSE,"Tran";"Riqfinpro",#N/A,FALSE,"Tran"}</definedName>
    <definedName name="gre" localSheetId="11" hidden="1">{"Riqfin97",#N/A,FALSE,"Tran";"Riqfinpro",#N/A,FALSE,"Tran"}</definedName>
    <definedName name="gre" localSheetId="12" hidden="1">{"Riqfin97",#N/A,FALSE,"Tran";"Riqfinpro",#N/A,FALSE,"Tran"}</definedName>
    <definedName name="gre" localSheetId="13" hidden="1">{"Riqfin97",#N/A,FALSE,"Tran";"Riqfinpro",#N/A,FALSE,"Tran"}</definedName>
    <definedName name="gre" localSheetId="18" hidden="1">{"Riqfin97",#N/A,FALSE,"Tran";"Riqfinpro",#N/A,FALSE,"Tran"}</definedName>
    <definedName name="gre" localSheetId="19" hidden="1">{"Riqfin97",#N/A,FALSE,"Tran";"Riqfinpro",#N/A,FALSE,"Tran"}</definedName>
    <definedName name="gre" localSheetId="2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rupos2" localSheetId="16" hidden="1">'[14]Fax a enviar'!#REF!</definedName>
    <definedName name="GUEBVIO" localSheetId="10" hidden="1">#REF!</definedName>
    <definedName name="GUEBVIO" localSheetId="11" hidden="1">#REF!</definedName>
    <definedName name="GUEBVIO" localSheetId="12" hidden="1">#REF!</definedName>
    <definedName name="GUEBVIO" localSheetId="13" hidden="1">#REF!</definedName>
    <definedName name="GUEBVIO" localSheetId="14" hidden="1">#REF!</definedName>
    <definedName name="GUEBVIO" localSheetId="15" hidden="1">#REF!</definedName>
    <definedName name="GUEBVIO" localSheetId="18" hidden="1">#REF!</definedName>
    <definedName name="GUEBVIO" localSheetId="19" hidden="1">#REF!</definedName>
    <definedName name="GUEBVIO" localSheetId="2" hidden="1">#REF!</definedName>
    <definedName name="GUEBVIO" localSheetId="5" hidden="1">#REF!</definedName>
    <definedName name="GUEBVIO" localSheetId="9" hidden="1">#REF!</definedName>
    <definedName name="GUEBVIO" hidden="1">#REF!</definedName>
    <definedName name="gyu" localSheetId="10" hidden="1">{"Tab1",#N/A,FALSE,"P";"Tab2",#N/A,FALSE,"P"}</definedName>
    <definedName name="gyu" localSheetId="11" hidden="1">{"Tab1",#N/A,FALSE,"P";"Tab2",#N/A,FALSE,"P"}</definedName>
    <definedName name="gyu" localSheetId="12" hidden="1">{"Tab1",#N/A,FALSE,"P";"Tab2",#N/A,FALSE,"P"}</definedName>
    <definedName name="gyu" localSheetId="13" hidden="1">{"Tab1",#N/A,FALSE,"P";"Tab2",#N/A,FALSE,"P"}</definedName>
    <definedName name="gyu" localSheetId="18" hidden="1">{"Tab1",#N/A,FALSE,"P";"Tab2",#N/A,FALSE,"P"}</definedName>
    <definedName name="gyu" localSheetId="19" hidden="1">{"Tab1",#N/A,FALSE,"P";"Tab2",#N/A,FALSE,"P"}</definedName>
    <definedName name="gyu" localSheetId="2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dhdfghdf" localSheetId="10" hidden="1">{"Minpmon",#N/A,FALSE,"Monthinput"}</definedName>
    <definedName name="hdhdfghdf" localSheetId="11" hidden="1">{"Minpmon",#N/A,FALSE,"Monthinput"}</definedName>
    <definedName name="hdhdfghdf" localSheetId="12" hidden="1">{"Minpmon",#N/A,FALSE,"Monthinput"}</definedName>
    <definedName name="hdhdfghdf" localSheetId="13" hidden="1">{"Minpmon",#N/A,FALSE,"Monthinput"}</definedName>
    <definedName name="hdhdfghdf" localSheetId="18" hidden="1">{"Minpmon",#N/A,FALSE,"Monthinput"}</definedName>
    <definedName name="hdhdfghdf" localSheetId="19" hidden="1">{"Minpmon",#N/A,FALSE,"Monthinput"}</definedName>
    <definedName name="hdhdfghdf" localSheetId="2" hidden="1">{"Minpmon",#N/A,FALSE,"Monthinput"}</definedName>
    <definedName name="hdhdfghdf" localSheetId="9" hidden="1">{"Minpmon",#N/A,FALSE,"Monthinput"}</definedName>
    <definedName name="hdhdfghdf" hidden="1">{"Minpmon",#N/A,FALSE,"Monthinput"}</definedName>
    <definedName name="Heading39">'[12]shared data'!$A$1:$G$5</definedName>
    <definedName name="hhh" localSheetId="10" hidden="1">{"Minpmon",#N/A,FALSE,"Monthinput"}</definedName>
    <definedName name="hhh" localSheetId="11" hidden="1">{"Minpmon",#N/A,FALSE,"Monthinput"}</definedName>
    <definedName name="hhh" localSheetId="12" hidden="1">{"Minpmon",#N/A,FALSE,"Monthinput"}</definedName>
    <definedName name="hhh" localSheetId="13" hidden="1">{"Minpmon",#N/A,FALSE,"Monthinput"}</definedName>
    <definedName name="hhh" localSheetId="18" hidden="1">{"Minpmon",#N/A,FALSE,"Monthinput"}</definedName>
    <definedName name="hhh" localSheetId="19" hidden="1">{"Minpmon",#N/A,FALSE,"Monthinput"}</definedName>
    <definedName name="hhh" localSheetId="2" hidden="1">{"Minpmon",#N/A,FALSE,"Monthinput"}</definedName>
    <definedName name="hhh" localSheetId="9" hidden="1">{"Minpmon",#N/A,FALSE,"Monthinput"}</definedName>
    <definedName name="hhh" hidden="1">{"Minpmon",#N/A,FALSE,"Monthinput"}</definedName>
    <definedName name="hhhhh" localSheetId="10" hidden="1">{"Tab1",#N/A,FALSE,"P";"Tab2",#N/A,FALSE,"P"}</definedName>
    <definedName name="hhhhh" localSheetId="11" hidden="1">{"Tab1",#N/A,FALSE,"P";"Tab2",#N/A,FALSE,"P"}</definedName>
    <definedName name="hhhhh" localSheetId="12" hidden="1">{"Tab1",#N/A,FALSE,"P";"Tab2",#N/A,FALSE,"P"}</definedName>
    <definedName name="hhhhh" localSheetId="13" hidden="1">{"Tab1",#N/A,FALSE,"P";"Tab2",#N/A,FALSE,"P"}</definedName>
    <definedName name="hhhhh" localSheetId="18" hidden="1">{"Tab1",#N/A,FALSE,"P";"Tab2",#N/A,FALSE,"P"}</definedName>
    <definedName name="hhhhh" localSheetId="19" hidden="1">{"Tab1",#N/A,FALSE,"P";"Tab2",#N/A,FALSE,"P"}</definedName>
    <definedName name="hhhhh" localSheetId="2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3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10" hidden="1">{"Tab1",#N/A,FALSE,"P";"Tab2",#N/A,FALSE,"P"}</definedName>
    <definedName name="hio" localSheetId="11" hidden="1">{"Tab1",#N/A,FALSE,"P";"Tab2",#N/A,FALSE,"P"}</definedName>
    <definedName name="hio" localSheetId="12" hidden="1">{"Tab1",#N/A,FALSE,"P";"Tab2",#N/A,FALSE,"P"}</definedName>
    <definedName name="hio" localSheetId="13" hidden="1">{"Tab1",#N/A,FALSE,"P";"Tab2",#N/A,FALSE,"P"}</definedName>
    <definedName name="hio" localSheetId="18" hidden="1">{"Tab1",#N/A,FALSE,"P";"Tab2",#N/A,FALSE,"P"}</definedName>
    <definedName name="hio" localSheetId="19" hidden="1">{"Tab1",#N/A,FALSE,"P";"Tab2",#N/A,FALSE,"P"}</definedName>
    <definedName name="hio" localSheetId="2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10" hidden="1">{"Tab1",#N/A,FALSE,"P";"Tab2",#N/A,FALSE,"P"}</definedName>
    <definedName name="hpu" localSheetId="11" hidden="1">{"Tab1",#N/A,FALSE,"P";"Tab2",#N/A,FALSE,"P"}</definedName>
    <definedName name="hpu" localSheetId="12" hidden="1">{"Tab1",#N/A,FALSE,"P";"Tab2",#N/A,FALSE,"P"}</definedName>
    <definedName name="hpu" localSheetId="13" hidden="1">{"Tab1",#N/A,FALSE,"P";"Tab2",#N/A,FALSE,"P"}</definedName>
    <definedName name="hpu" localSheetId="18" hidden="1">{"Tab1",#N/A,FALSE,"P";"Tab2",#N/A,FALSE,"P"}</definedName>
    <definedName name="hpu" localSheetId="19" hidden="1">{"Tab1",#N/A,FALSE,"P";"Tab2",#N/A,FALSE,"P"}</definedName>
    <definedName name="hpu" localSheetId="2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ui" localSheetId="10" hidden="1">{"Tab1",#N/A,FALSE,"P";"Tab2",#N/A,FALSE,"P"}</definedName>
    <definedName name="hui" localSheetId="11" hidden="1">{"Tab1",#N/A,FALSE,"P";"Tab2",#N/A,FALSE,"P"}</definedName>
    <definedName name="hui" localSheetId="12" hidden="1">{"Tab1",#N/A,FALSE,"P";"Tab2",#N/A,FALSE,"P"}</definedName>
    <definedName name="hui" localSheetId="13" hidden="1">{"Tab1",#N/A,FALSE,"P";"Tab2",#N/A,FALSE,"P"}</definedName>
    <definedName name="hui" localSheetId="18" hidden="1">{"Tab1",#N/A,FALSE,"P";"Tab2",#N/A,FALSE,"P"}</definedName>
    <definedName name="hui" localSheetId="19" hidden="1">{"Tab1",#N/A,FALSE,"P";"Tab2",#N/A,FALSE,"P"}</definedName>
    <definedName name="hui" localSheetId="2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10" hidden="1">{"Tab1",#N/A,FALSE,"P";"Tab2",#N/A,FALSE,"P"}</definedName>
    <definedName name="huo" localSheetId="11" hidden="1">{"Tab1",#N/A,FALSE,"P";"Tab2",#N/A,FALSE,"P"}</definedName>
    <definedName name="huo" localSheetId="12" hidden="1">{"Tab1",#N/A,FALSE,"P";"Tab2",#N/A,FALSE,"P"}</definedName>
    <definedName name="huo" localSheetId="13" hidden="1">{"Tab1",#N/A,FALSE,"P";"Tab2",#N/A,FALSE,"P"}</definedName>
    <definedName name="huo" localSheetId="18" hidden="1">{"Tab1",#N/A,FALSE,"P";"Tab2",#N/A,FALSE,"P"}</definedName>
    <definedName name="huo" localSheetId="19" hidden="1">{"Tab1",#N/A,FALSE,"P";"Tab2",#N/A,FALSE,"P"}</definedName>
    <definedName name="huo" localSheetId="2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10" hidden="1">{"Tab1",#N/A,FALSE,"P";"Tab2",#N/A,FALSE,"P"}</definedName>
    <definedName name="ii" localSheetId="11" hidden="1">{"Tab1",#N/A,FALSE,"P";"Tab2",#N/A,FALSE,"P"}</definedName>
    <definedName name="ii" localSheetId="12" hidden="1">{"Tab1",#N/A,FALSE,"P";"Tab2",#N/A,FALSE,"P"}</definedName>
    <definedName name="ii" localSheetId="13" hidden="1">{"Tab1",#N/A,FALSE,"P";"Tab2",#N/A,FALSE,"P"}</definedName>
    <definedName name="ii" localSheetId="18" hidden="1">{"Tab1",#N/A,FALSE,"P";"Tab2",#N/A,FALSE,"P"}</definedName>
    <definedName name="ii" localSheetId="19" hidden="1">{"Tab1",#N/A,FALSE,"P";"Tab2",#N/A,FALSE,"P"}</definedName>
    <definedName name="ii" localSheetId="2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ii" localSheetId="10" hidden="1">{"Riqfin97",#N/A,FALSE,"Tran";"Riqfinpro",#N/A,FALSE,"Tran"}</definedName>
    <definedName name="iii" localSheetId="11" hidden="1">{"Riqfin97",#N/A,FALSE,"Tran";"Riqfinpro",#N/A,FALSE,"Tran"}</definedName>
    <definedName name="iii" localSheetId="12" hidden="1">{"Riqfin97",#N/A,FALSE,"Tran";"Riqfinpro",#N/A,FALSE,"Tran"}</definedName>
    <definedName name="iii" localSheetId="13" hidden="1">{"Riqfin97",#N/A,FALSE,"Tran";"Riqfinpro",#N/A,FALSE,"Tran"}</definedName>
    <definedName name="iii" localSheetId="18" hidden="1">{"Riqfin97",#N/A,FALSE,"Tran";"Riqfinpro",#N/A,FALSE,"Tran"}</definedName>
    <definedName name="iii" localSheetId="19" hidden="1">{"Riqfin97",#N/A,FALSE,"Tran";"Riqfinpro",#N/A,FALSE,"Tran"}</definedName>
    <definedName name="iii" localSheetId="2" hidden="1">{"Riqfin97",#N/A,FALSE,"Tran";"Riqfinpro",#N/A,FALSE,"Tran"}</definedName>
    <definedName name="iii" localSheetId="9" hidden="1">{"Riqfin97",#N/A,FALSE,"Tran";"Riqfinpro",#N/A,FALSE,"Tran"}</definedName>
    <definedName name="iii" hidden="1">{"Riqfin97",#N/A,FALSE,"Tran";"Riqfinpro",#N/A,FALSE,"Tran"}</definedName>
    <definedName name="ilo" localSheetId="10" hidden="1">{"Riqfin97",#N/A,FALSE,"Tran";"Riqfinpro",#N/A,FALSE,"Tran"}</definedName>
    <definedName name="ilo" localSheetId="11" hidden="1">{"Riqfin97",#N/A,FALSE,"Tran";"Riqfinpro",#N/A,FALSE,"Tran"}</definedName>
    <definedName name="ilo" localSheetId="12" hidden="1">{"Riqfin97",#N/A,FALSE,"Tran";"Riqfinpro",#N/A,FALSE,"Tran"}</definedName>
    <definedName name="ilo" localSheetId="13" hidden="1">{"Riqfin97",#N/A,FALSE,"Tran";"Riqfinpro",#N/A,FALSE,"Tran"}</definedName>
    <definedName name="ilo" localSheetId="18" hidden="1">{"Riqfin97",#N/A,FALSE,"Tran";"Riqfinpro",#N/A,FALSE,"Tran"}</definedName>
    <definedName name="ilo" localSheetId="19" hidden="1">{"Riqfin97",#N/A,FALSE,"Tran";"Riqfinpro",#N/A,FALSE,"Tran"}</definedName>
    <definedName name="ilo" localSheetId="2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10" hidden="1">{"Riqfin97",#N/A,FALSE,"Tran";"Riqfinpro",#N/A,FALSE,"Tran"}</definedName>
    <definedName name="ilu" localSheetId="11" hidden="1">{"Riqfin97",#N/A,FALSE,"Tran";"Riqfinpro",#N/A,FALSE,"Tran"}</definedName>
    <definedName name="ilu" localSheetId="12" hidden="1">{"Riqfin97",#N/A,FALSE,"Tran";"Riqfinpro",#N/A,FALSE,"Tran"}</definedName>
    <definedName name="ilu" localSheetId="13" hidden="1">{"Riqfin97",#N/A,FALSE,"Tran";"Riqfinpro",#N/A,FALSE,"Tran"}</definedName>
    <definedName name="ilu" localSheetId="18" hidden="1">{"Riqfin97",#N/A,FALSE,"Tran";"Riqfinpro",#N/A,FALSE,"Tran"}</definedName>
    <definedName name="ilu" localSheetId="19" hidden="1">{"Riqfin97",#N/A,FALSE,"Tran";"Riqfinpro",#N/A,FALSE,"Tran"}</definedName>
    <definedName name="ilu" localSheetId="2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" localSheetId="10" hidden="1">{"Riqfin97",#N/A,FALSE,"Tran";"Riqfinpro",#N/A,FALSE,"Tran"}</definedName>
    <definedName name="jj" localSheetId="11" hidden="1">{"Riqfin97",#N/A,FALSE,"Tran";"Riqfinpro",#N/A,FALSE,"Tran"}</definedName>
    <definedName name="jj" localSheetId="12" hidden="1">{"Riqfin97",#N/A,FALSE,"Tran";"Riqfinpro",#N/A,FALSE,"Tran"}</definedName>
    <definedName name="jj" localSheetId="13" hidden="1">{"Riqfin97",#N/A,FALSE,"Tran";"Riqfinpro",#N/A,FALSE,"Tran"}</definedName>
    <definedName name="jj" localSheetId="18" hidden="1">{"Riqfin97",#N/A,FALSE,"Tran";"Riqfinpro",#N/A,FALSE,"Tran"}</definedName>
    <definedName name="jj" localSheetId="19" hidden="1">{"Riqfin97",#N/A,FALSE,"Tran";"Riqfinpro",#N/A,FALSE,"Tran"}</definedName>
    <definedName name="jj" localSheetId="2" hidden="1">{"Riqfin97",#N/A,FALSE,"Tran";"Riqfinpro",#N/A,FALSE,"Tran"}</definedName>
    <definedName name="jj" localSheetId="9" hidden="1">{"Riqfin97",#N/A,FALSE,"Tran";"Riqfinpro",#N/A,FALSE,"Tran"}</definedName>
    <definedName name="jj" hidden="1">{"Riqfin97",#N/A,FALSE,"Tran";"Riqfinpro",#N/A,FALSE,"Tran"}</definedName>
    <definedName name="jjj" localSheetId="10" hidden="1">{"Riqfin97",#N/A,FALSE,"Tran";"Riqfinpro",#N/A,FALSE,"Tran"}</definedName>
    <definedName name="jjj" localSheetId="11" hidden="1">{"Riqfin97",#N/A,FALSE,"Tran";"Riqfinpro",#N/A,FALSE,"Tran"}</definedName>
    <definedName name="jjj" localSheetId="12" hidden="1">{"Riqfin97",#N/A,FALSE,"Tran";"Riqfinpro",#N/A,FALSE,"Tran"}</definedName>
    <definedName name="jjj" localSheetId="13" hidden="1">{"Riqfin97",#N/A,FALSE,"Tran";"Riqfinpro",#N/A,FALSE,"Tran"}</definedName>
    <definedName name="jjj" localSheetId="18" hidden="1">{"Riqfin97",#N/A,FALSE,"Tran";"Riqfinpro",#N/A,FALSE,"Tran"}</definedName>
    <definedName name="jjj" localSheetId="19" hidden="1">{"Riqfin97",#N/A,FALSE,"Tran";"Riqfinpro",#N/A,FALSE,"Tran"}</definedName>
    <definedName name="jjj" localSheetId="2" hidden="1">{"Riqfin97",#N/A,FALSE,"Tran";"Riqfinpro",#N/A,FALSE,"Tran"}</definedName>
    <definedName name="jjj" localSheetId="9" hidden="1">{"Riqfin97",#N/A,FALSE,"Tran";"Riqfinpro",#N/A,FALSE,"Tran"}</definedName>
    <definedName name="jjj" hidden="1">{"Riqfin97",#N/A,FALSE,"Tran";"Riqfinpro",#N/A,FALSE,"Tran"}</definedName>
    <definedName name="jjjj" localSheetId="10" hidden="1">{"Tab1",#N/A,FALSE,"P";"Tab2",#N/A,FALSE,"P"}</definedName>
    <definedName name="jjjj" localSheetId="11" hidden="1">{"Tab1",#N/A,FALSE,"P";"Tab2",#N/A,FALSE,"P"}</definedName>
    <definedName name="jjjj" localSheetId="12" hidden="1">{"Tab1",#N/A,FALSE,"P";"Tab2",#N/A,FALSE,"P"}</definedName>
    <definedName name="jjjj" localSheetId="13" hidden="1">{"Tab1",#N/A,FALSE,"P";"Tab2",#N/A,FALSE,"P"}</definedName>
    <definedName name="jjjj" localSheetId="18" hidden="1">{"Tab1",#N/A,FALSE,"P";"Tab2",#N/A,FALSE,"P"}</definedName>
    <definedName name="jjjj" localSheetId="19" hidden="1">{"Tab1",#N/A,FALSE,"P";"Tab2",#N/A,FALSE,"P"}</definedName>
    <definedName name="jjjj" localSheetId="2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10" hidden="1">'[13]J(Priv.Cap)'!#REF!</definedName>
    <definedName name="jjjjjj" localSheetId="11" hidden="1">'[13]J(Priv.Cap)'!#REF!</definedName>
    <definedName name="jjjjjj" localSheetId="12" hidden="1">'[13]J(Priv.Cap)'!#REF!</definedName>
    <definedName name="jjjjjj" localSheetId="13" hidden="1">'[13]J(Priv.Cap)'!#REF!</definedName>
    <definedName name="jjjjjj" localSheetId="14" hidden="1">'[13]J(Priv.Cap)'!#REF!</definedName>
    <definedName name="jjjjjj" localSheetId="15" hidden="1">'[13]J(Priv.Cap)'!#REF!</definedName>
    <definedName name="jjjjjj" localSheetId="5" hidden="1">'[13]J(Priv.Cap)'!#REF!</definedName>
    <definedName name="jjjjjj" localSheetId="9" hidden="1">'[13]J(Priv.Cap)'!#REF!</definedName>
    <definedName name="jjjjjj" hidden="1">'[13]J(Priv.Cap)'!#REF!</definedName>
    <definedName name="jjjjjjjjjjjjjjjjjj" localSheetId="10" hidden="1">{"Tab1",#N/A,FALSE,"P";"Tab2",#N/A,FALSE,"P"}</definedName>
    <definedName name="jjjjjjjjjjjjjjjjjj" localSheetId="11" hidden="1">{"Tab1",#N/A,FALSE,"P";"Tab2",#N/A,FALSE,"P"}</definedName>
    <definedName name="jjjjjjjjjjjjjjjjjj" localSheetId="12" hidden="1">{"Tab1",#N/A,FALSE,"P";"Tab2",#N/A,FALSE,"P"}</definedName>
    <definedName name="jjjjjjjjjjjjjjjjjj" localSheetId="13" hidden="1">{"Tab1",#N/A,FALSE,"P";"Tab2",#N/A,FALSE,"P"}</definedName>
    <definedName name="jjjjjjjjjjjjjjjjjj" localSheetId="18" hidden="1">{"Tab1",#N/A,FALSE,"P";"Tab2",#N/A,FALSE,"P"}</definedName>
    <definedName name="jjjjjjjjjjjjjjjjjj" localSheetId="19" hidden="1">{"Tab1",#N/A,FALSE,"P";"Tab2",#N/A,FALSE,"P"}</definedName>
    <definedName name="jjjjjjjjjjjjjjjjjj" localSheetId="2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10" hidden="1">{"Riqfin97",#N/A,FALSE,"Tran";"Riqfinpro",#N/A,FALSE,"Tran"}</definedName>
    <definedName name="jui" localSheetId="11" hidden="1">{"Riqfin97",#N/A,FALSE,"Tran";"Riqfinpro",#N/A,FALSE,"Tran"}</definedName>
    <definedName name="jui" localSheetId="12" hidden="1">{"Riqfin97",#N/A,FALSE,"Tran";"Riqfinpro",#N/A,FALSE,"Tran"}</definedName>
    <definedName name="jui" localSheetId="13" hidden="1">{"Riqfin97",#N/A,FALSE,"Tran";"Riqfinpro",#N/A,FALSE,"Tran"}</definedName>
    <definedName name="jui" localSheetId="18" hidden="1">{"Riqfin97",#N/A,FALSE,"Tran";"Riqfinpro",#N/A,FALSE,"Tran"}</definedName>
    <definedName name="jui" localSheetId="19" hidden="1">{"Riqfin97",#N/A,FALSE,"Tran";"Riqfinpro",#N/A,FALSE,"Tran"}</definedName>
    <definedName name="jui" localSheetId="2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10" hidden="1">{"Tab1",#N/A,FALSE,"P";"Tab2",#N/A,FALSE,"P"}</definedName>
    <definedName name="juy" localSheetId="11" hidden="1">{"Tab1",#N/A,FALSE,"P";"Tab2",#N/A,FALSE,"P"}</definedName>
    <definedName name="juy" localSheetId="12" hidden="1">{"Tab1",#N/A,FALSE,"P";"Tab2",#N/A,FALSE,"P"}</definedName>
    <definedName name="juy" localSheetId="13" hidden="1">{"Tab1",#N/A,FALSE,"P";"Tab2",#N/A,FALSE,"P"}</definedName>
    <definedName name="juy" localSheetId="18" hidden="1">{"Tab1",#N/A,FALSE,"P";"Tab2",#N/A,FALSE,"P"}</definedName>
    <definedName name="juy" localSheetId="19" hidden="1">{"Tab1",#N/A,FALSE,"P";"Tab2",#N/A,FALSE,"P"}</definedName>
    <definedName name="juy" localSheetId="2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10" hidden="1">{"Riqfin97",#N/A,FALSE,"Tran";"Riqfinpro",#N/A,FALSE,"Tran"}</definedName>
    <definedName name="k" localSheetId="11" hidden="1">{"Riqfin97",#N/A,FALSE,"Tran";"Riqfinpro",#N/A,FALSE,"Tran"}</definedName>
    <definedName name="k" localSheetId="12" hidden="1">{"Riqfin97",#N/A,FALSE,"Tran";"Riqfinpro",#N/A,FALSE,"Tran"}</definedName>
    <definedName name="k" localSheetId="13" hidden="1">{"Riqfin97",#N/A,FALSE,"Tran";"Riqfinpro",#N/A,FALSE,"Tran"}</definedName>
    <definedName name="k" localSheetId="18" hidden="1">{"Riqfin97",#N/A,FALSE,"Tran";"Riqfinpro",#N/A,FALSE,"Tran"}</definedName>
    <definedName name="k" localSheetId="19" hidden="1">{"Riqfin97",#N/A,FALSE,"Tran";"Riqfinpro",#N/A,FALSE,"Tran"}</definedName>
    <definedName name="k" localSheetId="2" hidden="1">{"Riqfin97",#N/A,FALSE,"Tran";"Riqfinpro",#N/A,FALSE,"Tran"}</definedName>
    <definedName name="k" localSheetId="9" hidden="1">{"Riqfin97",#N/A,FALSE,"Tran";"Riqfinpro",#N/A,FALSE,"Tran"}</definedName>
    <definedName name="k" hidden="1">{"Riqfin97",#N/A,FALSE,"Tran";"Riqfinpro",#N/A,FALSE,"Tran"}</definedName>
    <definedName name="kio" localSheetId="10" hidden="1">{"Tab1",#N/A,FALSE,"P";"Tab2",#N/A,FALSE,"P"}</definedName>
    <definedName name="kio" localSheetId="11" hidden="1">{"Tab1",#N/A,FALSE,"P";"Tab2",#N/A,FALSE,"P"}</definedName>
    <definedName name="kio" localSheetId="12" hidden="1">{"Tab1",#N/A,FALSE,"P";"Tab2",#N/A,FALSE,"P"}</definedName>
    <definedName name="kio" localSheetId="13" hidden="1">{"Tab1",#N/A,FALSE,"P";"Tab2",#N/A,FALSE,"P"}</definedName>
    <definedName name="kio" localSheetId="18" hidden="1">{"Tab1",#N/A,FALSE,"P";"Tab2",#N/A,FALSE,"P"}</definedName>
    <definedName name="kio" localSheetId="19" hidden="1">{"Tab1",#N/A,FALSE,"P";"Tab2",#N/A,FALSE,"P"}</definedName>
    <definedName name="kio" localSheetId="2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10" hidden="1">{"Riqfin97",#N/A,FALSE,"Tran";"Riqfinpro",#N/A,FALSE,"Tran"}</definedName>
    <definedName name="kiu" localSheetId="11" hidden="1">{"Riqfin97",#N/A,FALSE,"Tran";"Riqfinpro",#N/A,FALSE,"Tran"}</definedName>
    <definedName name="kiu" localSheetId="12" hidden="1">{"Riqfin97",#N/A,FALSE,"Tran";"Riqfinpro",#N/A,FALSE,"Tran"}</definedName>
    <definedName name="kiu" localSheetId="13" hidden="1">{"Riqfin97",#N/A,FALSE,"Tran";"Riqfinpro",#N/A,FALSE,"Tran"}</definedName>
    <definedName name="kiu" localSheetId="18" hidden="1">{"Riqfin97",#N/A,FALSE,"Tran";"Riqfinpro",#N/A,FALSE,"Tran"}</definedName>
    <definedName name="kiu" localSheetId="19" hidden="1">{"Riqfin97",#N/A,FALSE,"Tran";"Riqfinpro",#N/A,FALSE,"Tran"}</definedName>
    <definedName name="kiu" localSheetId="2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k" localSheetId="10" hidden="1">{"Tab1",#N/A,FALSE,"P";"Tab2",#N/A,FALSE,"P"}</definedName>
    <definedName name="kk" localSheetId="11" hidden="1">{"Tab1",#N/A,FALSE,"P";"Tab2",#N/A,FALSE,"P"}</definedName>
    <definedName name="kk" localSheetId="12" hidden="1">{"Tab1",#N/A,FALSE,"P";"Tab2",#N/A,FALSE,"P"}</definedName>
    <definedName name="kk" localSheetId="13" hidden="1">{"Tab1",#N/A,FALSE,"P";"Tab2",#N/A,FALSE,"P"}</definedName>
    <definedName name="kk" localSheetId="18" hidden="1">{"Tab1",#N/A,FALSE,"P";"Tab2",#N/A,FALSE,"P"}</definedName>
    <definedName name="kk" localSheetId="19" hidden="1">{"Tab1",#N/A,FALSE,"P";"Tab2",#N/A,FALSE,"P"}</definedName>
    <definedName name="kk" localSheetId="2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10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localSheetId="1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localSheetId="12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localSheetId="13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localSheetId="1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localSheetId="1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localSheetId="2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kk" localSheetId="10" hidden="1">'[15]J(Priv.Cap)'!#REF!</definedName>
    <definedName name="kkkkk" localSheetId="11" hidden="1">'[15]J(Priv.Cap)'!#REF!</definedName>
    <definedName name="kkkkk" localSheetId="12" hidden="1">'[15]J(Priv.Cap)'!#REF!</definedName>
    <definedName name="kkkkk" localSheetId="13" hidden="1">'[15]J(Priv.Cap)'!#REF!</definedName>
    <definedName name="kkkkk" localSheetId="14" hidden="1">'[15]J(Priv.Cap)'!#REF!</definedName>
    <definedName name="kkkkk" localSheetId="15" hidden="1">'[15]J(Priv.Cap)'!#REF!</definedName>
    <definedName name="kkkkk" localSheetId="2" hidden="1">'[15]J(Priv.Cap)'!#REF!</definedName>
    <definedName name="kkkkk" localSheetId="5" hidden="1">'[15]J(Priv.Cap)'!#REF!</definedName>
    <definedName name="kkkkk" localSheetId="9" hidden="1">'[15]J(Priv.Cap)'!#REF!</definedName>
    <definedName name="kkkkk" hidden="1">'[15]J(Priv.Cap)'!#REF!</definedName>
    <definedName name="kkkkkkkk" localSheetId="10" hidden="1">{"Riqfin97",#N/A,FALSE,"Tran";"Riqfinpro",#N/A,FALSE,"Tran"}</definedName>
    <definedName name="kkkkkkkk" localSheetId="11" hidden="1">{"Riqfin97",#N/A,FALSE,"Tran";"Riqfinpro",#N/A,FALSE,"Tran"}</definedName>
    <definedName name="kkkkkkkk" localSheetId="12" hidden="1">{"Riqfin97",#N/A,FALSE,"Tran";"Riqfinpro",#N/A,FALSE,"Tran"}</definedName>
    <definedName name="kkkkkkkk" localSheetId="13" hidden="1">{"Riqfin97",#N/A,FALSE,"Tran";"Riqfinpro",#N/A,FALSE,"Tran"}</definedName>
    <definedName name="kkkkkkkk" localSheetId="18" hidden="1">{"Riqfin97",#N/A,FALSE,"Tran";"Riqfinpro",#N/A,FALSE,"Tran"}</definedName>
    <definedName name="kkkkkkkk" localSheetId="19" hidden="1">{"Riqfin97",#N/A,FALSE,"Tran";"Riqfinpro",#N/A,FALSE,"Tran"}</definedName>
    <definedName name="kkkkkkkk" localSheetId="2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10" hidden="1">{"Tab1",#N/A,FALSE,"P";"Tab2",#N/A,FALSE,"P"}</definedName>
    <definedName name="ll" localSheetId="11" hidden="1">{"Tab1",#N/A,FALSE,"P";"Tab2",#N/A,FALSE,"P"}</definedName>
    <definedName name="ll" localSheetId="12" hidden="1">{"Tab1",#N/A,FALSE,"P";"Tab2",#N/A,FALSE,"P"}</definedName>
    <definedName name="ll" localSheetId="13" hidden="1">{"Tab1",#N/A,FALSE,"P";"Tab2",#N/A,FALSE,"P"}</definedName>
    <definedName name="ll" localSheetId="18" hidden="1">{"Tab1",#N/A,FALSE,"P";"Tab2",#N/A,FALSE,"P"}</definedName>
    <definedName name="ll" localSheetId="19" hidden="1">{"Tab1",#N/A,FALSE,"P";"Tab2",#N/A,FALSE,"P"}</definedName>
    <definedName name="ll" localSheetId="2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10" hidden="1">{"Minpmon",#N/A,FALSE,"Monthinput"}</definedName>
    <definedName name="lll" localSheetId="11" hidden="1">{"Minpmon",#N/A,FALSE,"Monthinput"}</definedName>
    <definedName name="lll" localSheetId="12" hidden="1">{"Minpmon",#N/A,FALSE,"Monthinput"}</definedName>
    <definedName name="lll" localSheetId="13" hidden="1">{"Minpmon",#N/A,FALSE,"Monthinput"}</definedName>
    <definedName name="lll" localSheetId="18" hidden="1">{"Minpmon",#N/A,FALSE,"Monthinput"}</definedName>
    <definedName name="lll" localSheetId="19" hidden="1">{"Minpmon",#N/A,FALSE,"Monthinput"}</definedName>
    <definedName name="lll" localSheetId="2" hidden="1">{"Minpmon",#N/A,FALSE,"Monthinput"}</definedName>
    <definedName name="lll" localSheetId="9" hidden="1">{"Minpmon",#N/A,FALSE,"Monthinput"}</definedName>
    <definedName name="lll" hidden="1">{"Minpmon",#N/A,FALSE,"Monthinput"}</definedName>
    <definedName name="llll" localSheetId="10" hidden="1">{"Minpmon",#N/A,FALSE,"Monthinput"}</definedName>
    <definedName name="llll" localSheetId="11" hidden="1">{"Minpmon",#N/A,FALSE,"Monthinput"}</definedName>
    <definedName name="llll" localSheetId="12" hidden="1">{"Minpmon",#N/A,FALSE,"Monthinput"}</definedName>
    <definedName name="llll" localSheetId="13" hidden="1">{"Minpmon",#N/A,FALSE,"Monthinput"}</definedName>
    <definedName name="llll" localSheetId="18" hidden="1">{"Minpmon",#N/A,FALSE,"Monthinput"}</definedName>
    <definedName name="llll" localSheetId="19" hidden="1">{"Minpmon",#N/A,FALSE,"Monthinput"}</definedName>
    <definedName name="llll" localSheetId="2" hidden="1">{"Minpmon",#N/A,FALSE,"Monthinput"}</definedName>
    <definedName name="llll" localSheetId="9" hidden="1">{"Minpmon",#N/A,FALSE,"Monthinput"}</definedName>
    <definedName name="llll" hidden="1">{"Minpmon",#N/A,FALSE,"Monthinput"}</definedName>
    <definedName name="lllll" localSheetId="10" hidden="1">{"Tab1",#N/A,FALSE,"P";"Tab2",#N/A,FALSE,"P"}</definedName>
    <definedName name="lllll" localSheetId="11" hidden="1">{"Tab1",#N/A,FALSE,"P";"Tab2",#N/A,FALSE,"P"}</definedName>
    <definedName name="lllll" localSheetId="12" hidden="1">{"Tab1",#N/A,FALSE,"P";"Tab2",#N/A,FALSE,"P"}</definedName>
    <definedName name="lllll" localSheetId="13" hidden="1">{"Tab1",#N/A,FALSE,"P";"Tab2",#N/A,FALSE,"P"}</definedName>
    <definedName name="lllll" localSheetId="18" hidden="1">{"Tab1",#N/A,FALSE,"P";"Tab2",#N/A,FALSE,"P"}</definedName>
    <definedName name="lllll" localSheetId="19" hidden="1">{"Tab1",#N/A,FALSE,"P";"Tab2",#N/A,FALSE,"P"}</definedName>
    <definedName name="lllll" localSheetId="2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10" hidden="1">{"Minpmon",#N/A,FALSE,"Monthinput"}</definedName>
    <definedName name="llllll" localSheetId="11" hidden="1">{"Minpmon",#N/A,FALSE,"Monthinput"}</definedName>
    <definedName name="llllll" localSheetId="12" hidden="1">{"Minpmon",#N/A,FALSE,"Monthinput"}</definedName>
    <definedName name="llllll" localSheetId="13" hidden="1">{"Minpmon",#N/A,FALSE,"Monthinput"}</definedName>
    <definedName name="llllll" localSheetId="18" hidden="1">{"Minpmon",#N/A,FALSE,"Monthinput"}</definedName>
    <definedName name="llllll" localSheetId="19" hidden="1">{"Minpmon",#N/A,FALSE,"Monthinput"}</definedName>
    <definedName name="llllll" localSheetId="2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3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10" hidden="1">{"Minpmon",#N/A,FALSE,"Monthinput"}</definedName>
    <definedName name="lllllllllllllllll" localSheetId="11" hidden="1">{"Minpmon",#N/A,FALSE,"Monthinput"}</definedName>
    <definedName name="lllllllllllllllll" localSheetId="12" hidden="1">{"Minpmon",#N/A,FALSE,"Monthinput"}</definedName>
    <definedName name="lllllllllllllllll" localSheetId="13" hidden="1">{"Minpmon",#N/A,FALSE,"Monthinput"}</definedName>
    <definedName name="lllllllllllllllll" localSheetId="18" hidden="1">{"Minpmon",#N/A,FALSE,"Monthinput"}</definedName>
    <definedName name="lllllllllllllllll" localSheetId="19" hidden="1">{"Minpmon",#N/A,FALSE,"Monthinput"}</definedName>
    <definedName name="lllllllllllllllll" localSheetId="2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mmm" localSheetId="10" hidden="1">{"Riqfin97",#N/A,FALSE,"Tran";"Riqfinpro",#N/A,FALSE,"Tran"}</definedName>
    <definedName name="mmm" localSheetId="11" hidden="1">{"Riqfin97",#N/A,FALSE,"Tran";"Riqfinpro",#N/A,FALSE,"Tran"}</definedName>
    <definedName name="mmm" localSheetId="12" hidden="1">{"Riqfin97",#N/A,FALSE,"Tran";"Riqfinpro",#N/A,FALSE,"Tran"}</definedName>
    <definedName name="mmm" localSheetId="13" hidden="1">{"Riqfin97",#N/A,FALSE,"Tran";"Riqfinpro",#N/A,FALSE,"Tran"}</definedName>
    <definedName name="mmm" localSheetId="18" hidden="1">{"Riqfin97",#N/A,FALSE,"Tran";"Riqfinpro",#N/A,FALSE,"Tran"}</definedName>
    <definedName name="mmm" localSheetId="19" hidden="1">{"Riqfin97",#N/A,FALSE,"Tran";"Riqfinpro",#N/A,FALSE,"Tran"}</definedName>
    <definedName name="mmm" localSheetId="2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10" hidden="1">{"Tab1",#N/A,FALSE,"P";"Tab2",#N/A,FALSE,"P"}</definedName>
    <definedName name="mmmm" localSheetId="11" hidden="1">{"Tab1",#N/A,FALSE,"P";"Tab2",#N/A,FALSE,"P"}</definedName>
    <definedName name="mmmm" localSheetId="12" hidden="1">{"Tab1",#N/A,FALSE,"P";"Tab2",#N/A,FALSE,"P"}</definedName>
    <definedName name="mmmm" localSheetId="13" hidden="1">{"Tab1",#N/A,FALSE,"P";"Tab2",#N/A,FALSE,"P"}</definedName>
    <definedName name="mmmm" localSheetId="18" hidden="1">{"Tab1",#N/A,FALSE,"P";"Tab2",#N/A,FALSE,"P"}</definedName>
    <definedName name="mmmm" localSheetId="19" hidden="1">{"Tab1",#N/A,FALSE,"P";"Tab2",#N/A,FALSE,"P"}</definedName>
    <definedName name="mmmm" localSheetId="2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10" hidden="1">{"Riqfin97",#N/A,FALSE,"Tran";"Riqfinpro",#N/A,FALSE,"Tran"}</definedName>
    <definedName name="mmmmm" localSheetId="11" hidden="1">{"Riqfin97",#N/A,FALSE,"Tran";"Riqfinpro",#N/A,FALSE,"Tran"}</definedName>
    <definedName name="mmmmm" localSheetId="12" hidden="1">{"Riqfin97",#N/A,FALSE,"Tran";"Riqfinpro",#N/A,FALSE,"Tran"}</definedName>
    <definedName name="mmmmm" localSheetId="13" hidden="1">{"Riqfin97",#N/A,FALSE,"Tran";"Riqfinpro",#N/A,FALSE,"Tran"}</definedName>
    <definedName name="mmmmm" localSheetId="18" hidden="1">{"Riqfin97",#N/A,FALSE,"Tran";"Riqfinpro",#N/A,FALSE,"Tran"}</definedName>
    <definedName name="mmmmm" localSheetId="19" hidden="1">{"Riqfin97",#N/A,FALSE,"Tran";"Riqfinpro",#N/A,FALSE,"Tran"}</definedName>
    <definedName name="mmmmm" localSheetId="2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10" hidden="1">{"Riqfin97",#N/A,FALSE,"Tran";"Riqfinpro",#N/A,FALSE,"Tran"}</definedName>
    <definedName name="mmmmmmmmm" localSheetId="11" hidden="1">{"Riqfin97",#N/A,FALSE,"Tran";"Riqfinpro",#N/A,FALSE,"Tran"}</definedName>
    <definedName name="mmmmmmmmm" localSheetId="12" hidden="1">{"Riqfin97",#N/A,FALSE,"Tran";"Riqfinpro",#N/A,FALSE,"Tran"}</definedName>
    <definedName name="mmmmmmmmm" localSheetId="13" hidden="1">{"Riqfin97",#N/A,FALSE,"Tran";"Riqfinpro",#N/A,FALSE,"Tran"}</definedName>
    <definedName name="mmmmmmmmm" localSheetId="18" hidden="1">{"Riqfin97",#N/A,FALSE,"Tran";"Riqfinpro",#N/A,FALSE,"Tran"}</definedName>
    <definedName name="mmmmmmmmm" localSheetId="19" hidden="1">{"Riqfin97",#N/A,FALSE,"Tran";"Riqfinpro",#N/A,FALSE,"Tran"}</definedName>
    <definedName name="mmmmmmmmm" localSheetId="2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10" hidden="1">{"Riqfin97",#N/A,FALSE,"Tran";"Riqfinpro",#N/A,FALSE,"Tran"}</definedName>
    <definedName name="mte" localSheetId="11" hidden="1">{"Riqfin97",#N/A,FALSE,"Tran";"Riqfinpro",#N/A,FALSE,"Tran"}</definedName>
    <definedName name="mte" localSheetId="12" hidden="1">{"Riqfin97",#N/A,FALSE,"Tran";"Riqfinpro",#N/A,FALSE,"Tran"}</definedName>
    <definedName name="mte" localSheetId="13" hidden="1">{"Riqfin97",#N/A,FALSE,"Tran";"Riqfinpro",#N/A,FALSE,"Tran"}</definedName>
    <definedName name="mte" localSheetId="18" hidden="1">{"Riqfin97",#N/A,FALSE,"Tran";"Riqfinpro",#N/A,FALSE,"Tran"}</definedName>
    <definedName name="mte" localSheetId="19" hidden="1">{"Riqfin97",#N/A,FALSE,"Tran";"Riqfinpro",#N/A,FALSE,"Tran"}</definedName>
    <definedName name="mte" localSheetId="2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10" hidden="1">{"Minpmon",#N/A,FALSE,"Monthinput"}</definedName>
    <definedName name="n" localSheetId="11" hidden="1">{"Minpmon",#N/A,FALSE,"Monthinput"}</definedName>
    <definedName name="n" localSheetId="12" hidden="1">{"Minpmon",#N/A,FALSE,"Monthinput"}</definedName>
    <definedName name="n" localSheetId="13" hidden="1">{"Minpmon",#N/A,FALSE,"Monthinput"}</definedName>
    <definedName name="n" localSheetId="18" hidden="1">{"Minpmon",#N/A,FALSE,"Monthinput"}</definedName>
    <definedName name="n" localSheetId="19" hidden="1">{"Minpmon",#N/A,FALSE,"Monthinput"}</definedName>
    <definedName name="n" localSheetId="2" hidden="1">{"Minpmon",#N/A,FALSE,"Monthinput"}</definedName>
    <definedName name="n" localSheetId="9" hidden="1">{"Minpmon",#N/A,FALSE,"Monthinput"}</definedName>
    <definedName name="n" hidden="1">{"Minpmon",#N/A,FALSE,"Monthinput"}</definedName>
    <definedName name="names">'[12]shared data'!$B$7:$O$7</definedName>
    <definedName name="NAMES_A">'[12]shared data'!$B$5:$B$223</definedName>
    <definedName name="nn" localSheetId="10" hidden="1">{"Riqfin97",#N/A,FALSE,"Tran";"Riqfinpro",#N/A,FALSE,"Tran"}</definedName>
    <definedName name="nn" localSheetId="11" hidden="1">{"Riqfin97",#N/A,FALSE,"Tran";"Riqfinpro",#N/A,FALSE,"Tran"}</definedName>
    <definedName name="nn" localSheetId="12" hidden="1">{"Riqfin97",#N/A,FALSE,"Tran";"Riqfinpro",#N/A,FALSE,"Tran"}</definedName>
    <definedName name="nn" localSheetId="13" hidden="1">{"Riqfin97",#N/A,FALSE,"Tran";"Riqfinpro",#N/A,FALSE,"Tran"}</definedName>
    <definedName name="nn" localSheetId="18" hidden="1">{"Riqfin97",#N/A,FALSE,"Tran";"Riqfinpro",#N/A,FALSE,"Tran"}</definedName>
    <definedName name="nn" localSheetId="19" hidden="1">{"Riqfin97",#N/A,FALSE,"Tran";"Riqfinpro",#N/A,FALSE,"Tran"}</definedName>
    <definedName name="nn" localSheetId="2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nnnnnnn" localSheetId="10" hidden="1">{"Minpmon",#N/A,FALSE,"Monthinput"}</definedName>
    <definedName name="nnnnnnnnnn" localSheetId="11" hidden="1">{"Minpmon",#N/A,FALSE,"Monthinput"}</definedName>
    <definedName name="nnnnnnnnnn" localSheetId="12" hidden="1">{"Minpmon",#N/A,FALSE,"Monthinput"}</definedName>
    <definedName name="nnnnnnnnnn" localSheetId="13" hidden="1">{"Minpmon",#N/A,FALSE,"Monthinput"}</definedName>
    <definedName name="nnnnnnnnnn" localSheetId="18" hidden="1">{"Minpmon",#N/A,FALSE,"Monthinput"}</definedName>
    <definedName name="nnnnnnnnnn" localSheetId="19" hidden="1">{"Minpmon",#N/A,FALSE,"Monthinput"}</definedName>
    <definedName name="nnnnnnnnnn" localSheetId="2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10" hidden="1">{"Riqfin97",#N/A,FALSE,"Tran";"Riqfinpro",#N/A,FALSE,"Tran"}</definedName>
    <definedName name="nnnnnnnnnnnn" localSheetId="11" hidden="1">{"Riqfin97",#N/A,FALSE,"Tran";"Riqfinpro",#N/A,FALSE,"Tran"}</definedName>
    <definedName name="nnnnnnnnnnnn" localSheetId="12" hidden="1">{"Riqfin97",#N/A,FALSE,"Tran";"Riqfinpro",#N/A,FALSE,"Tran"}</definedName>
    <definedName name="nnnnnnnnnnnn" localSheetId="13" hidden="1">{"Riqfin97",#N/A,FALSE,"Tran";"Riqfinpro",#N/A,FALSE,"Tran"}</definedName>
    <definedName name="nnnnnnnnnnnn" localSheetId="18" hidden="1">{"Riqfin97",#N/A,FALSE,"Tran";"Riqfinpro",#N/A,FALSE,"Tran"}</definedName>
    <definedName name="nnnnnnnnnnnn" localSheetId="19" hidden="1">{"Riqfin97",#N/A,FALSE,"Tran";"Riqfinpro",#N/A,FALSE,"Tran"}</definedName>
    <definedName name="nnnnnnnnnnnn" localSheetId="2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nShow">#N/A</definedName>
    <definedName name="oo" localSheetId="10" hidden="1">{"Riqfin97",#N/A,FALSE,"Tran";"Riqfinpro",#N/A,FALSE,"Tran"}</definedName>
    <definedName name="oo" localSheetId="11" hidden="1">{"Riqfin97",#N/A,FALSE,"Tran";"Riqfinpro",#N/A,FALSE,"Tran"}</definedName>
    <definedName name="oo" localSheetId="12" hidden="1">{"Riqfin97",#N/A,FALSE,"Tran";"Riqfinpro",#N/A,FALSE,"Tran"}</definedName>
    <definedName name="oo" localSheetId="13" hidden="1">{"Riqfin97",#N/A,FALSE,"Tran";"Riqfinpro",#N/A,FALSE,"Tran"}</definedName>
    <definedName name="oo" localSheetId="18" hidden="1">{"Riqfin97",#N/A,FALSE,"Tran";"Riqfinpro",#N/A,FALSE,"Tran"}</definedName>
    <definedName name="oo" localSheetId="19" hidden="1">{"Riqfin97",#N/A,FALSE,"Tran";"Riqfinpro",#N/A,FALSE,"Tran"}</definedName>
    <definedName name="oo" localSheetId="2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10" hidden="1">{"Tab1",#N/A,FALSE,"P";"Tab2",#N/A,FALSE,"P"}</definedName>
    <definedName name="ooo" localSheetId="11" hidden="1">{"Tab1",#N/A,FALSE,"P";"Tab2",#N/A,FALSE,"P"}</definedName>
    <definedName name="ooo" localSheetId="12" hidden="1">{"Tab1",#N/A,FALSE,"P";"Tab2",#N/A,FALSE,"P"}</definedName>
    <definedName name="ooo" localSheetId="13" hidden="1">{"Tab1",#N/A,FALSE,"P";"Tab2",#N/A,FALSE,"P"}</definedName>
    <definedName name="ooo" localSheetId="18" hidden="1">{"Tab1",#N/A,FALSE,"P";"Tab2",#N/A,FALSE,"P"}</definedName>
    <definedName name="ooo" localSheetId="19" hidden="1">{"Tab1",#N/A,FALSE,"P";"Tab2",#N/A,FALSE,"P"}</definedName>
    <definedName name="ooo" localSheetId="2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10" hidden="1">{"Tab1",#N/A,FALSE,"P";"Tab2",#N/A,FALSE,"P"}</definedName>
    <definedName name="oooo" localSheetId="11" hidden="1">{"Tab1",#N/A,FALSE,"P";"Tab2",#N/A,FALSE,"P"}</definedName>
    <definedName name="oooo" localSheetId="12" hidden="1">{"Tab1",#N/A,FALSE,"P";"Tab2",#N/A,FALSE,"P"}</definedName>
    <definedName name="oooo" localSheetId="13" hidden="1">{"Tab1",#N/A,FALSE,"P";"Tab2",#N/A,FALSE,"P"}</definedName>
    <definedName name="oooo" localSheetId="18" hidden="1">{"Tab1",#N/A,FALSE,"P";"Tab2",#N/A,FALSE,"P"}</definedName>
    <definedName name="oooo" localSheetId="19" hidden="1">{"Tab1",#N/A,FALSE,"P";"Tab2",#N/A,FALSE,"P"}</definedName>
    <definedName name="oooo" localSheetId="2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10" hidden="1">{"Riqfin97",#N/A,FALSE,"Tran";"Riqfinpro",#N/A,FALSE,"Tran"}</definedName>
    <definedName name="opu" localSheetId="11" hidden="1">{"Riqfin97",#N/A,FALSE,"Tran";"Riqfinpro",#N/A,FALSE,"Tran"}</definedName>
    <definedName name="opu" localSheetId="12" hidden="1">{"Riqfin97",#N/A,FALSE,"Tran";"Riqfinpro",#N/A,FALSE,"Tran"}</definedName>
    <definedName name="opu" localSheetId="13" hidden="1">{"Riqfin97",#N/A,FALSE,"Tran";"Riqfinpro",#N/A,FALSE,"Tran"}</definedName>
    <definedName name="opu" localSheetId="18" hidden="1">{"Riqfin97",#N/A,FALSE,"Tran";"Riqfinpro",#N/A,FALSE,"Tran"}</definedName>
    <definedName name="opu" localSheetId="19" hidden="1">{"Riqfin97",#N/A,FALSE,"Tran";"Riqfinpro",#N/A,FALSE,"Tran"}</definedName>
    <definedName name="opu" localSheetId="2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10" hidden="1">{"Riqfin97",#N/A,FALSE,"Tran";"Riqfinpro",#N/A,FALSE,"Tran"}</definedName>
    <definedName name="p" localSheetId="11" hidden="1">{"Riqfin97",#N/A,FALSE,"Tran";"Riqfinpro",#N/A,FALSE,"Tran"}</definedName>
    <definedName name="p" localSheetId="12" hidden="1">{"Riqfin97",#N/A,FALSE,"Tran";"Riqfinpro",#N/A,FALSE,"Tran"}</definedName>
    <definedName name="p" localSheetId="13" hidden="1">{"Riqfin97",#N/A,FALSE,"Tran";"Riqfinpro",#N/A,FALSE,"Tran"}</definedName>
    <definedName name="p" localSheetId="18" hidden="1">{"Riqfin97",#N/A,FALSE,"Tran";"Riqfinpro",#N/A,FALSE,"Tran"}</definedName>
    <definedName name="p" localSheetId="19" hidden="1">{"Riqfin97",#N/A,FALSE,"Tran";"Riqfinpro",#N/A,FALSE,"Tran"}</definedName>
    <definedName name="p" localSheetId="2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ath_Data">'[12]shared data'!$B$8</definedName>
    <definedName name="Path_System">'[12]shared data'!$B$7</definedName>
    <definedName name="pit" localSheetId="10" hidden="1">{"Riqfin97",#N/A,FALSE,"Tran";"Riqfinpro",#N/A,FALSE,"Tran"}</definedName>
    <definedName name="pit" localSheetId="11" hidden="1">{"Riqfin97",#N/A,FALSE,"Tran";"Riqfinpro",#N/A,FALSE,"Tran"}</definedName>
    <definedName name="pit" localSheetId="12" hidden="1">{"Riqfin97",#N/A,FALSE,"Tran";"Riqfinpro",#N/A,FALSE,"Tran"}</definedName>
    <definedName name="pit" localSheetId="13" hidden="1">{"Riqfin97",#N/A,FALSE,"Tran";"Riqfinpro",#N/A,FALSE,"Tran"}</definedName>
    <definedName name="pit" localSheetId="18" hidden="1">{"Riqfin97",#N/A,FALSE,"Tran";"Riqfinpro",#N/A,FALSE,"Tran"}</definedName>
    <definedName name="pit" localSheetId="19" hidden="1">{"Riqfin97",#N/A,FALSE,"Tran";"Riqfinpro",#N/A,FALSE,"Tran"}</definedName>
    <definedName name="pit" localSheetId="2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" localSheetId="10" hidden="1">{"Riqfin97",#N/A,FALSE,"Tran";"Riqfinpro",#N/A,FALSE,"Tran"}</definedName>
    <definedName name="pp" localSheetId="11" hidden="1">{"Riqfin97",#N/A,FALSE,"Tran";"Riqfinpro",#N/A,FALSE,"Tran"}</definedName>
    <definedName name="pp" localSheetId="12" hidden="1">{"Riqfin97",#N/A,FALSE,"Tran";"Riqfinpro",#N/A,FALSE,"Tran"}</definedName>
    <definedName name="pp" localSheetId="13" hidden="1">{"Riqfin97",#N/A,FALSE,"Tran";"Riqfinpro",#N/A,FALSE,"Tran"}</definedName>
    <definedName name="pp" localSheetId="18" hidden="1">{"Riqfin97",#N/A,FALSE,"Tran";"Riqfinpro",#N/A,FALSE,"Tran"}</definedName>
    <definedName name="pp" localSheetId="19" hidden="1">{"Riqfin97",#N/A,FALSE,"Tran";"Riqfinpro",#N/A,FALSE,"Tran"}</definedName>
    <definedName name="pp" localSheetId="2" hidden="1">{"Riqfin97",#N/A,FALSE,"Tran";"Riqfinpro",#N/A,FALSE,"Tran"}</definedName>
    <definedName name="pp" localSheetId="9" hidden="1">{"Riqfin97",#N/A,FALSE,"Tran";"Riqfinpro",#N/A,FALSE,"Tran"}</definedName>
    <definedName name="pp" hidden="1">{"Riqfin97",#N/A,FALSE,"Tran";"Riqfinpro",#N/A,FALSE,"Tran"}</definedName>
    <definedName name="ppp" localSheetId="10" hidden="1">{"Riqfin97",#N/A,FALSE,"Tran";"Riqfinpro",#N/A,FALSE,"Tran"}</definedName>
    <definedName name="ppp" localSheetId="11" hidden="1">{"Riqfin97",#N/A,FALSE,"Tran";"Riqfinpro",#N/A,FALSE,"Tran"}</definedName>
    <definedName name="ppp" localSheetId="12" hidden="1">{"Riqfin97",#N/A,FALSE,"Tran";"Riqfinpro",#N/A,FALSE,"Tran"}</definedName>
    <definedName name="ppp" localSheetId="13" hidden="1">{"Riqfin97",#N/A,FALSE,"Tran";"Riqfinpro",#N/A,FALSE,"Tran"}</definedName>
    <definedName name="ppp" localSheetId="18" hidden="1">{"Riqfin97",#N/A,FALSE,"Tran";"Riqfinpro",#N/A,FALSE,"Tran"}</definedName>
    <definedName name="ppp" localSheetId="19" hidden="1">{"Riqfin97",#N/A,FALSE,"Tran";"Riqfinpro",#N/A,FALSE,"Tran"}</definedName>
    <definedName name="ppp" localSheetId="2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10" hidden="1">{"Riqfin97",#N/A,FALSE,"Tran";"Riqfinpro",#N/A,FALSE,"Tran"}</definedName>
    <definedName name="pppppp" localSheetId="11" hidden="1">{"Riqfin97",#N/A,FALSE,"Tran";"Riqfinpro",#N/A,FALSE,"Tran"}</definedName>
    <definedName name="pppppp" localSheetId="12" hidden="1">{"Riqfin97",#N/A,FALSE,"Tran";"Riqfinpro",#N/A,FALSE,"Tran"}</definedName>
    <definedName name="pppppp" localSheetId="13" hidden="1">{"Riqfin97",#N/A,FALSE,"Tran";"Riqfinpro",#N/A,FALSE,"Tran"}</definedName>
    <definedName name="pppppp" localSheetId="18" hidden="1">{"Riqfin97",#N/A,FALSE,"Tran";"Riqfinpro",#N/A,FALSE,"Tran"}</definedName>
    <definedName name="pppppp" localSheetId="19" hidden="1">{"Riqfin97",#N/A,FALSE,"Tran";"Riqfinpro",#N/A,FALSE,"Tran"}</definedName>
    <definedName name="pppppp" localSheetId="2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_xlnm.Print_Area" localSheetId="1">'CUADRO 3.1'!$A$1:$I$555</definedName>
    <definedName name="_xlnm.Print_Area" localSheetId="10">'CUADRO 3.10'!$A$1:$H$141</definedName>
    <definedName name="_xlnm.Print_Area" localSheetId="11">'CUADRO 3.11'!$A$1:$H$141</definedName>
    <definedName name="_xlnm.Print_Area" localSheetId="12">'CUADRO 3.12'!$A$1:$H$141</definedName>
    <definedName name="_xlnm.Print_Area" localSheetId="13">'CUADRO 3.13'!$A$1:$H$141</definedName>
    <definedName name="_xlnm.Print_Area" localSheetId="14">'CUADRO 3.14.1 '!$A$1:$G$121</definedName>
    <definedName name="_xlnm.Print_Area" localSheetId="15">'CUADRO 3.14.2'!$A$1:$F$85</definedName>
    <definedName name="_xlnm.Print_Area" localSheetId="16">'CUADRO 3.15'!$A$1:$L$241</definedName>
    <definedName name="_xlnm.Print_Area" localSheetId="17">'CUADRO 3.16'!$A$1:$D$274</definedName>
    <definedName name="_xlnm.Print_Area" localSheetId="18">'CUADRO 3.17'!$A$1:$AU$326</definedName>
    <definedName name="_xlnm.Print_Area" localSheetId="19">'CUADRO 3.18'!$A$1:$J$77</definedName>
    <definedName name="_xlnm.Print_Area" localSheetId="2">'CUADRO 3.2'!$A$1:$F$88</definedName>
    <definedName name="_xlnm.Print_Area" localSheetId="3">'CUADRO 3.3'!$A$1:$Y$414</definedName>
    <definedName name="_xlnm.Print_Area" localSheetId="4">'CUADRO 3.4'!$A$1:$J$412</definedName>
    <definedName name="_xlnm.Print_Area" localSheetId="5">'CUADRO 3.5'!$A$1:$N$83</definedName>
    <definedName name="_xlnm.Print_Area" localSheetId="6">'CUADRO 3.6'!$A$1:$L$203</definedName>
    <definedName name="_xlnm.Print_Area" localSheetId="7">'CUADRO 3.7'!$A$1:$K$318</definedName>
    <definedName name="_xlnm.Print_Area" localSheetId="8">'CUADRO 3.8'!$A$1:$J$374</definedName>
    <definedName name="_xlnm.Print_Area" localSheetId="9">'CUADRO 3.9'!$A$1:$R$619</definedName>
    <definedName name="_xlnm.Print_Area">#REF!</definedName>
    <definedName name="Print_Area_MI" localSheetId="19">'CUADRO 3.18'!#REF!</definedName>
    <definedName name="_xlnm.Print_Titles" localSheetId="1">'CUADRO 3.1'!$1:$6</definedName>
    <definedName name="_xlnm.Print_Titles" localSheetId="10">'CUADRO 3.10'!$1:$6</definedName>
    <definedName name="_xlnm.Print_Titles" localSheetId="11">'CUADRO 3.11'!$1:$6</definedName>
    <definedName name="_xlnm.Print_Titles" localSheetId="12">'CUADRO 3.12'!$1:$6</definedName>
    <definedName name="_xlnm.Print_Titles" localSheetId="13">'CUADRO 3.13'!$1:$6</definedName>
    <definedName name="_xlnm.Print_Titles" localSheetId="14">'CUADRO 3.14.1 '!$A:$A</definedName>
    <definedName name="_xlnm.Print_Titles" localSheetId="15">'CUADRO 3.14.2'!$A:$A</definedName>
    <definedName name="_xlnm.Print_Titles" localSheetId="16">'CUADRO 3.15'!$1:$6</definedName>
    <definedName name="_xlnm.Print_Titles" localSheetId="17">'CUADRO 3.16'!$1:$6</definedName>
    <definedName name="_xlnm.Print_Titles" localSheetId="2">'CUADRO 3.2'!$1:$6</definedName>
    <definedName name="_xlnm.Print_Titles" localSheetId="3">'CUADRO 3.3'!$A:$A,'CUADRO 3.3'!$1:$7</definedName>
    <definedName name="_xlnm.Print_Titles" localSheetId="4">'CUADRO 3.4'!$1:$5</definedName>
    <definedName name="_xlnm.Print_Titles" localSheetId="5">'CUADRO 3.5'!$1:$6</definedName>
    <definedName name="_xlnm.Print_Titles" localSheetId="6">'CUADRO 3.6'!$1:$6</definedName>
    <definedName name="_xlnm.Print_Titles" localSheetId="7">'CUADRO 3.7'!$1:$6</definedName>
    <definedName name="_xlnm.Print_Titles" localSheetId="8">'CUADRO 3.8'!$1:$6</definedName>
    <definedName name="_xlnm.Print_Titles" localSheetId="9">'CUADRO 3.9'!$A:$F,'CUADRO 3.9'!$1:$6</definedName>
    <definedName name="Print_Titles_MI" localSheetId="19">'CUADRO 3.18'!$4:$6</definedName>
    <definedName name="qaz" localSheetId="10" hidden="1">{"Tab1",#N/A,FALSE,"P";"Tab2",#N/A,FALSE,"P"}</definedName>
    <definedName name="qaz" localSheetId="11" hidden="1">{"Tab1",#N/A,FALSE,"P";"Tab2",#N/A,FALSE,"P"}</definedName>
    <definedName name="qaz" localSheetId="12" hidden="1">{"Tab1",#N/A,FALSE,"P";"Tab2",#N/A,FALSE,"P"}</definedName>
    <definedName name="qaz" localSheetId="13" hidden="1">{"Tab1",#N/A,FALSE,"P";"Tab2",#N/A,FALSE,"P"}</definedName>
    <definedName name="qaz" localSheetId="18" hidden="1">{"Tab1",#N/A,FALSE,"P";"Tab2",#N/A,FALSE,"P"}</definedName>
    <definedName name="qaz" localSheetId="19" hidden="1">{"Tab1",#N/A,FALSE,"P";"Tab2",#N/A,FALSE,"P"}</definedName>
    <definedName name="qaz" localSheetId="2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10" hidden="1">{"Tab1",#N/A,FALSE,"P";"Tab2",#N/A,FALSE,"P"}</definedName>
    <definedName name="qer" localSheetId="11" hidden="1">{"Tab1",#N/A,FALSE,"P";"Tab2",#N/A,FALSE,"P"}</definedName>
    <definedName name="qer" localSheetId="12" hidden="1">{"Tab1",#N/A,FALSE,"P";"Tab2",#N/A,FALSE,"P"}</definedName>
    <definedName name="qer" localSheetId="13" hidden="1">{"Tab1",#N/A,FALSE,"P";"Tab2",#N/A,FALSE,"P"}</definedName>
    <definedName name="qer" localSheetId="18" hidden="1">{"Tab1",#N/A,FALSE,"P";"Tab2",#N/A,FALSE,"P"}</definedName>
    <definedName name="qer" localSheetId="19" hidden="1">{"Tab1",#N/A,FALSE,"P";"Tab2",#N/A,FALSE,"P"}</definedName>
    <definedName name="qer" localSheetId="2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qqq" localSheetId="10" hidden="1">{"Minpmon",#N/A,FALSE,"Monthinput"}</definedName>
    <definedName name="qqqqq" localSheetId="11" hidden="1">{"Minpmon",#N/A,FALSE,"Monthinput"}</definedName>
    <definedName name="qqqqq" localSheetId="12" hidden="1">{"Minpmon",#N/A,FALSE,"Monthinput"}</definedName>
    <definedName name="qqqqq" localSheetId="13" hidden="1">{"Minpmon",#N/A,FALSE,"Monthinput"}</definedName>
    <definedName name="qqqqq" localSheetId="18" hidden="1">{"Minpmon",#N/A,FALSE,"Monthinput"}</definedName>
    <definedName name="qqqqq" localSheetId="19" hidden="1">{"Minpmon",#N/A,FALSE,"Monthinput"}</definedName>
    <definedName name="qqqqq" localSheetId="2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10" hidden="1">{"Tab1",#N/A,FALSE,"P";"Tab2",#N/A,FALSE,"P"}</definedName>
    <definedName name="qqqqqqqqqqqqq" localSheetId="11" hidden="1">{"Tab1",#N/A,FALSE,"P";"Tab2",#N/A,FALSE,"P"}</definedName>
    <definedName name="qqqqqqqqqqqqq" localSheetId="12" hidden="1">{"Tab1",#N/A,FALSE,"P";"Tab2",#N/A,FALSE,"P"}</definedName>
    <definedName name="qqqqqqqqqqqqq" localSheetId="13" hidden="1">{"Tab1",#N/A,FALSE,"P";"Tab2",#N/A,FALSE,"P"}</definedName>
    <definedName name="qqqqqqqqqqqqq" localSheetId="18" hidden="1">{"Tab1",#N/A,FALSE,"P";"Tab2",#N/A,FALSE,"P"}</definedName>
    <definedName name="qqqqqqqqqqqqq" localSheetId="19" hidden="1">{"Tab1",#N/A,FALSE,"P";"Tab2",#N/A,FALSE,"P"}</definedName>
    <definedName name="qqqqqqqqqqqqq" localSheetId="2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qw" localSheetId="10" hidden="1">{"Riqfin97",#N/A,FALSE,"Tran";"Riqfinpro",#N/A,FALSE,"Tran"}</definedName>
    <definedName name="qw" localSheetId="11" hidden="1">{"Riqfin97",#N/A,FALSE,"Tran";"Riqfinpro",#N/A,FALSE,"Tran"}</definedName>
    <definedName name="qw" localSheetId="12" hidden="1">{"Riqfin97",#N/A,FALSE,"Tran";"Riqfinpro",#N/A,FALSE,"Tran"}</definedName>
    <definedName name="qw" localSheetId="13" hidden="1">{"Riqfin97",#N/A,FALSE,"Tran";"Riqfinpro",#N/A,FALSE,"Tran"}</definedName>
    <definedName name="qw" localSheetId="18" hidden="1">{"Riqfin97",#N/A,FALSE,"Tran";"Riqfinpro",#N/A,FALSE,"Tran"}</definedName>
    <definedName name="qw" localSheetId="19" hidden="1">{"Riqfin97",#N/A,FALSE,"Tran";"Riqfinpro",#N/A,FALSE,"Tran"}</definedName>
    <definedName name="qw" localSheetId="2" hidden="1">{"Riqfin97",#N/A,FALSE,"Tran";"Riqfinpro",#N/A,FALSE,"Tran"}</definedName>
    <definedName name="qw" localSheetId="9" hidden="1">{"Riqfin97",#N/A,FALSE,"Tran";"Riqfinpro",#N/A,FALSE,"Tran"}</definedName>
    <definedName name="qw" hidden="1">{"Riqfin97",#N/A,FALSE,"Tran";"Riqfinpro",#N/A,FALSE,"Tran"}</definedName>
    <definedName name="rf">#N/A</definedName>
    <definedName name="rft" localSheetId="10" hidden="1">{"Riqfin97",#N/A,FALSE,"Tran";"Riqfinpro",#N/A,FALSE,"Tran"}</definedName>
    <definedName name="rft" localSheetId="11" hidden="1">{"Riqfin97",#N/A,FALSE,"Tran";"Riqfinpro",#N/A,FALSE,"Tran"}</definedName>
    <definedName name="rft" localSheetId="12" hidden="1">{"Riqfin97",#N/A,FALSE,"Tran";"Riqfinpro",#N/A,FALSE,"Tran"}</definedName>
    <definedName name="rft" localSheetId="13" hidden="1">{"Riqfin97",#N/A,FALSE,"Tran";"Riqfinpro",#N/A,FALSE,"Tran"}</definedName>
    <definedName name="rft" localSheetId="18" hidden="1">{"Riqfin97",#N/A,FALSE,"Tran";"Riqfinpro",#N/A,FALSE,"Tran"}</definedName>
    <definedName name="rft" localSheetId="19" hidden="1">{"Riqfin97",#N/A,FALSE,"Tran";"Riqfinpro",#N/A,FALSE,"Tran"}</definedName>
    <definedName name="rft" localSheetId="2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10" hidden="1">{"Tab1",#N/A,FALSE,"P";"Tab2",#N/A,FALSE,"P"}</definedName>
    <definedName name="rfv" localSheetId="11" hidden="1">{"Tab1",#N/A,FALSE,"P";"Tab2",#N/A,FALSE,"P"}</definedName>
    <definedName name="rfv" localSheetId="12" hidden="1">{"Tab1",#N/A,FALSE,"P";"Tab2",#N/A,FALSE,"P"}</definedName>
    <definedName name="rfv" localSheetId="13" hidden="1">{"Tab1",#N/A,FALSE,"P";"Tab2",#N/A,FALSE,"P"}</definedName>
    <definedName name="rfv" localSheetId="18" hidden="1">{"Tab1",#N/A,FALSE,"P";"Tab2",#N/A,FALSE,"P"}</definedName>
    <definedName name="rfv" localSheetId="19" hidden="1">{"Tab1",#N/A,FALSE,"P";"Tab2",#N/A,FALSE,"P"}</definedName>
    <definedName name="rfv" localSheetId="2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" localSheetId="10" hidden="1">{"Riqfin97",#N/A,FALSE,"Tran";"Riqfinpro",#N/A,FALSE,"Tran"}</definedName>
    <definedName name="rr" localSheetId="11" hidden="1">{"Riqfin97",#N/A,FALSE,"Tran";"Riqfinpro",#N/A,FALSE,"Tran"}</definedName>
    <definedName name="rr" localSheetId="12" hidden="1">{"Riqfin97",#N/A,FALSE,"Tran";"Riqfinpro",#N/A,FALSE,"Tran"}</definedName>
    <definedName name="rr" localSheetId="13" hidden="1">{"Riqfin97",#N/A,FALSE,"Tran";"Riqfinpro",#N/A,FALSE,"Tran"}</definedName>
    <definedName name="rr" localSheetId="18" hidden="1">{"Riqfin97",#N/A,FALSE,"Tran";"Riqfinpro",#N/A,FALSE,"Tran"}</definedName>
    <definedName name="rr" localSheetId="19" hidden="1">{"Riqfin97",#N/A,FALSE,"Tran";"Riqfinpro",#N/A,FALSE,"Tran"}</definedName>
    <definedName name="rr" localSheetId="2" hidden="1">{"Riqfin97",#N/A,FALSE,"Tran";"Riqfinpro",#N/A,FALSE,"Tran"}</definedName>
    <definedName name="rr" localSheetId="9" hidden="1">{"Riqfin97",#N/A,FALSE,"Tran";"Riqfinpro",#N/A,FALSE,"Tran"}</definedName>
    <definedName name="rr" hidden="1">{"Riqfin97",#N/A,FALSE,"Tran";"Riqfinpro",#N/A,FALSE,"Tran"}</definedName>
    <definedName name="rrr" localSheetId="10" hidden="1">{"Riqfin97",#N/A,FALSE,"Tran";"Riqfinpro",#N/A,FALSE,"Tran"}</definedName>
    <definedName name="rrr" localSheetId="11" hidden="1">{"Riqfin97",#N/A,FALSE,"Tran";"Riqfinpro",#N/A,FALSE,"Tran"}</definedName>
    <definedName name="rrr" localSheetId="12" hidden="1">{"Riqfin97",#N/A,FALSE,"Tran";"Riqfinpro",#N/A,FALSE,"Tran"}</definedName>
    <definedName name="rrr" localSheetId="13" hidden="1">{"Riqfin97",#N/A,FALSE,"Tran";"Riqfinpro",#N/A,FALSE,"Tran"}</definedName>
    <definedName name="rrr" localSheetId="18" hidden="1">{"Riqfin97",#N/A,FALSE,"Tran";"Riqfinpro",#N/A,FALSE,"Tran"}</definedName>
    <definedName name="rrr" localSheetId="19" hidden="1">{"Riqfin97",#N/A,FALSE,"Tran";"Riqfinpro",#N/A,FALSE,"Tran"}</definedName>
    <definedName name="rrr" localSheetId="2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10" hidden="1">{"Tab1",#N/A,FALSE,"P";"Tab2",#N/A,FALSE,"P"}</definedName>
    <definedName name="rrrrrr" localSheetId="11" hidden="1">{"Tab1",#N/A,FALSE,"P";"Tab2",#N/A,FALSE,"P"}</definedName>
    <definedName name="rrrrrr" localSheetId="12" hidden="1">{"Tab1",#N/A,FALSE,"P";"Tab2",#N/A,FALSE,"P"}</definedName>
    <definedName name="rrrrrr" localSheetId="13" hidden="1">{"Tab1",#N/A,FALSE,"P";"Tab2",#N/A,FALSE,"P"}</definedName>
    <definedName name="rrrrrr" localSheetId="18" hidden="1">{"Tab1",#N/A,FALSE,"P";"Tab2",#N/A,FALSE,"P"}</definedName>
    <definedName name="rrrrrr" localSheetId="19" hidden="1">{"Tab1",#N/A,FALSE,"P";"Tab2",#N/A,FALSE,"P"}</definedName>
    <definedName name="rrrrrr" localSheetId="2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10" hidden="1">{"Tab1",#N/A,FALSE,"P";"Tab2",#N/A,FALSE,"P"}</definedName>
    <definedName name="rrrrrrr" localSheetId="11" hidden="1">{"Tab1",#N/A,FALSE,"P";"Tab2",#N/A,FALSE,"P"}</definedName>
    <definedName name="rrrrrrr" localSheetId="12" hidden="1">{"Tab1",#N/A,FALSE,"P";"Tab2",#N/A,FALSE,"P"}</definedName>
    <definedName name="rrrrrrr" localSheetId="13" hidden="1">{"Tab1",#N/A,FALSE,"P";"Tab2",#N/A,FALSE,"P"}</definedName>
    <definedName name="rrrrrrr" localSheetId="18" hidden="1">{"Tab1",#N/A,FALSE,"P";"Tab2",#N/A,FALSE,"P"}</definedName>
    <definedName name="rrrrrrr" localSheetId="19" hidden="1">{"Tab1",#N/A,FALSE,"P";"Tab2",#N/A,FALSE,"P"}</definedName>
    <definedName name="rrrrrrr" localSheetId="2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10" hidden="1">{"Tab1",#N/A,FALSE,"P";"Tab2",#N/A,FALSE,"P"}</definedName>
    <definedName name="rrrrrrrrrrrrr" localSheetId="11" hidden="1">{"Tab1",#N/A,FALSE,"P";"Tab2",#N/A,FALSE,"P"}</definedName>
    <definedName name="rrrrrrrrrrrrr" localSheetId="12" hidden="1">{"Tab1",#N/A,FALSE,"P";"Tab2",#N/A,FALSE,"P"}</definedName>
    <definedName name="rrrrrrrrrrrrr" localSheetId="13" hidden="1">{"Tab1",#N/A,FALSE,"P";"Tab2",#N/A,FALSE,"P"}</definedName>
    <definedName name="rrrrrrrrrrrrr" localSheetId="18" hidden="1">{"Tab1",#N/A,FALSE,"P";"Tab2",#N/A,FALSE,"P"}</definedName>
    <definedName name="rrrrrrrrrrrrr" localSheetId="19" hidden="1">{"Tab1",#N/A,FALSE,"P";"Tab2",#N/A,FALSE,"P"}</definedName>
    <definedName name="rrrrrrrrrrrrr" localSheetId="2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10" hidden="1">{"Minpmon",#N/A,FALSE,"Monthinput"}</definedName>
    <definedName name="rt" localSheetId="11" hidden="1">{"Minpmon",#N/A,FALSE,"Monthinput"}</definedName>
    <definedName name="rt" localSheetId="12" hidden="1">{"Minpmon",#N/A,FALSE,"Monthinput"}</definedName>
    <definedName name="rt" localSheetId="13" hidden="1">{"Minpmon",#N/A,FALSE,"Monthinput"}</definedName>
    <definedName name="rt" localSheetId="18" hidden="1">{"Minpmon",#N/A,FALSE,"Monthinput"}</definedName>
    <definedName name="rt" localSheetId="19" hidden="1">{"Minpmon",#N/A,FALSE,"Monthinput"}</definedName>
    <definedName name="rt" localSheetId="2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10" hidden="1">{"Riqfin97",#N/A,FALSE,"Tran";"Riqfinpro",#N/A,FALSE,"Tran"}</definedName>
    <definedName name="rte" localSheetId="11" hidden="1">{"Riqfin97",#N/A,FALSE,"Tran";"Riqfinpro",#N/A,FALSE,"Tran"}</definedName>
    <definedName name="rte" localSheetId="12" hidden="1">{"Riqfin97",#N/A,FALSE,"Tran";"Riqfinpro",#N/A,FALSE,"Tran"}</definedName>
    <definedName name="rte" localSheetId="13" hidden="1">{"Riqfin97",#N/A,FALSE,"Tran";"Riqfinpro",#N/A,FALSE,"Tran"}</definedName>
    <definedName name="rte" localSheetId="18" hidden="1">{"Riqfin97",#N/A,FALSE,"Tran";"Riqfinpro",#N/A,FALSE,"Tran"}</definedName>
    <definedName name="rte" localSheetId="19" hidden="1">{"Riqfin97",#N/A,FALSE,"Tran";"Riqfinpro",#N/A,FALSE,"Tran"}</definedName>
    <definedName name="rte" localSheetId="2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10" hidden="1">{"Main Economic Indicators",#N/A,FALSE,"C"}</definedName>
    <definedName name="rtre" localSheetId="11" hidden="1">{"Main Economic Indicators",#N/A,FALSE,"C"}</definedName>
    <definedName name="rtre" localSheetId="12" hidden="1">{"Main Economic Indicators",#N/A,FALSE,"C"}</definedName>
    <definedName name="rtre" localSheetId="13" hidden="1">{"Main Economic Indicators",#N/A,FALSE,"C"}</definedName>
    <definedName name="rtre" localSheetId="18" hidden="1">{"Main Economic Indicators",#N/A,FALSE,"C"}</definedName>
    <definedName name="rtre" localSheetId="19" hidden="1">{"Main Economic Indicators",#N/A,FALSE,"C"}</definedName>
    <definedName name="rtre" localSheetId="2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re1" localSheetId="10" hidden="1">{"Main Economic Indicators",#N/A,FALSE,"C"}</definedName>
    <definedName name="rtre1" localSheetId="11" hidden="1">{"Main Economic Indicators",#N/A,FALSE,"C"}</definedName>
    <definedName name="rtre1" localSheetId="12" hidden="1">{"Main Economic Indicators",#N/A,FALSE,"C"}</definedName>
    <definedName name="rtre1" localSheetId="13" hidden="1">{"Main Economic Indicators",#N/A,FALSE,"C"}</definedName>
    <definedName name="rtre1" localSheetId="18" hidden="1">{"Main Economic Indicators",#N/A,FALSE,"C"}</definedName>
    <definedName name="rtre1" localSheetId="19" hidden="1">{"Main Economic Indicators",#N/A,FALSE,"C"}</definedName>
    <definedName name="rtre1" localSheetId="2" hidden="1">{"Main Economic Indicators",#N/A,FALSE,"C"}</definedName>
    <definedName name="rtre1" localSheetId="9" hidden="1">{"Main Economic Indicators",#N/A,FALSE,"C"}</definedName>
    <definedName name="rtre1" hidden="1">{"Main Economic Indicators",#N/A,FALSE,"C"}</definedName>
    <definedName name="rty" localSheetId="10" hidden="1">{"Riqfin97",#N/A,FALSE,"Tran";"Riqfinpro",#N/A,FALSE,"Tran"}</definedName>
    <definedName name="rty" localSheetId="11" hidden="1">{"Riqfin97",#N/A,FALSE,"Tran";"Riqfinpro",#N/A,FALSE,"Tran"}</definedName>
    <definedName name="rty" localSheetId="12" hidden="1">{"Riqfin97",#N/A,FALSE,"Tran";"Riqfinpro",#N/A,FALSE,"Tran"}</definedName>
    <definedName name="rty" localSheetId="13" hidden="1">{"Riqfin97",#N/A,FALSE,"Tran";"Riqfinpro",#N/A,FALSE,"Tran"}</definedName>
    <definedName name="rty" localSheetId="18" hidden="1">{"Riqfin97",#N/A,FALSE,"Tran";"Riqfinpro",#N/A,FALSE,"Tran"}</definedName>
    <definedName name="rty" localSheetId="19" hidden="1">{"Riqfin97",#N/A,FALSE,"Tran";"Riqfinpro",#N/A,FALSE,"Tran"}</definedName>
    <definedName name="rty" localSheetId="2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10" hidden="1">'[9]COP FED'!#REF!</definedName>
    <definedName name="Rwvu.PLA2." localSheetId="11" hidden="1">'[9]COP FED'!#REF!</definedName>
    <definedName name="Rwvu.PLA2." localSheetId="12" hidden="1">'[9]COP FED'!#REF!</definedName>
    <definedName name="Rwvu.PLA2." localSheetId="13" hidden="1">'[9]COP FED'!#REF!</definedName>
    <definedName name="Rwvu.PLA2." localSheetId="14" hidden="1">'[9]COP FED'!#REF!</definedName>
    <definedName name="Rwvu.PLA2." localSheetId="15" hidden="1">'[9]COP FED'!#REF!</definedName>
    <definedName name="Rwvu.PLA2." localSheetId="2" hidden="1">'[9]COP FED'!#REF!</definedName>
    <definedName name="Rwvu.PLA2." localSheetId="5" hidden="1">'[9]COP FED'!#REF!</definedName>
    <definedName name="Rwvu.PLA2." localSheetId="9" hidden="1">'[9]COP FED'!#REF!</definedName>
    <definedName name="Rwvu.PLA2." hidden="1">'[9]COP FED'!#REF!</definedName>
    <definedName name="s" localSheetId="10" hidden="1">{"Tab1",#N/A,FALSE,"P";"Tab2",#N/A,FALSE,"P"}</definedName>
    <definedName name="s" localSheetId="11" hidden="1">{"Tab1",#N/A,FALSE,"P";"Tab2",#N/A,FALSE,"P"}</definedName>
    <definedName name="s" localSheetId="12" hidden="1">{"Tab1",#N/A,FALSE,"P";"Tab2",#N/A,FALSE,"P"}</definedName>
    <definedName name="s" localSheetId="13" hidden="1">{"Tab1",#N/A,FALSE,"P";"Tab2",#N/A,FALSE,"P"}</definedName>
    <definedName name="s" localSheetId="18" hidden="1">{"Tab1",#N/A,FALSE,"P";"Tab2",#N/A,FALSE,"P"}</definedName>
    <definedName name="s" localSheetId="19" hidden="1">{"Tab1",#N/A,FALSE,"P";"Tab2",#N/A,FALSE,"P"}</definedName>
    <definedName name="s" localSheetId="2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d" localSheetId="10" hidden="1">{"Riqfin97",#N/A,FALSE,"Tran";"Riqfinpro",#N/A,FALSE,"Tran"}</definedName>
    <definedName name="sad" localSheetId="11" hidden="1">{"Riqfin97",#N/A,FALSE,"Tran";"Riqfinpro",#N/A,FALSE,"Tran"}</definedName>
    <definedName name="sad" localSheetId="12" hidden="1">{"Riqfin97",#N/A,FALSE,"Tran";"Riqfinpro",#N/A,FALSE,"Tran"}</definedName>
    <definedName name="sad" localSheetId="13" hidden="1">{"Riqfin97",#N/A,FALSE,"Tran";"Riqfinpro",#N/A,FALSE,"Tran"}</definedName>
    <definedName name="sad" localSheetId="18" hidden="1">{"Riqfin97",#N/A,FALSE,"Tran";"Riqfinpro",#N/A,FALSE,"Tran"}</definedName>
    <definedName name="sad" localSheetId="19" hidden="1">{"Riqfin97",#N/A,FALSE,"Tran";"Riqfinpro",#N/A,FALSE,"Tran"}</definedName>
    <definedName name="sad" localSheetId="2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r" localSheetId="10" hidden="1">{"Riqfin97",#N/A,FALSE,"Tran";"Riqfinpro",#N/A,FALSE,"Tran"}</definedName>
    <definedName name="sdr" localSheetId="11" hidden="1">{"Riqfin97",#N/A,FALSE,"Tran";"Riqfinpro",#N/A,FALSE,"Tran"}</definedName>
    <definedName name="sdr" localSheetId="12" hidden="1">{"Riqfin97",#N/A,FALSE,"Tran";"Riqfinpro",#N/A,FALSE,"Tran"}</definedName>
    <definedName name="sdr" localSheetId="13" hidden="1">{"Riqfin97",#N/A,FALSE,"Tran";"Riqfinpro",#N/A,FALSE,"Tran"}</definedName>
    <definedName name="sdr" localSheetId="18" hidden="1">{"Riqfin97",#N/A,FALSE,"Tran";"Riqfinpro",#N/A,FALSE,"Tran"}</definedName>
    <definedName name="sdr" localSheetId="19" hidden="1">{"Riqfin97",#N/A,FALSE,"Tran";"Riqfinpro",#N/A,FALSE,"Tran"}</definedName>
    <definedName name="sdr" localSheetId="2" hidden="1">{"Riqfin97",#N/A,FALSE,"Tran";"Riqfinpro",#N/A,FALSE,"Tran"}</definedName>
    <definedName name="sdr" localSheetId="9" hidden="1">{"Riqfin97",#N/A,FALSE,"Tran";"Riqfinpro",#N/A,FALSE,"Tran"}</definedName>
    <definedName name="sdr" hidden="1">{"Riqfin97",#N/A,FALSE,"Tran";"Riqfinpro",#N/A,FALSE,"Tran"}</definedName>
    <definedName name="sdsd" localSheetId="10" hidden="1">{"Riqfin97",#N/A,FALSE,"Tran";"Riqfinpro",#N/A,FALSE,"Tran"}</definedName>
    <definedName name="sdsd" localSheetId="11" hidden="1">{"Riqfin97",#N/A,FALSE,"Tran";"Riqfinpro",#N/A,FALSE,"Tran"}</definedName>
    <definedName name="sdsd" localSheetId="12" hidden="1">{"Riqfin97",#N/A,FALSE,"Tran";"Riqfinpro",#N/A,FALSE,"Tran"}</definedName>
    <definedName name="sdsd" localSheetId="13" hidden="1">{"Riqfin97",#N/A,FALSE,"Tran";"Riqfinpro",#N/A,FALSE,"Tran"}</definedName>
    <definedName name="sdsd" localSheetId="18" hidden="1">{"Riqfin97",#N/A,FALSE,"Tran";"Riqfinpro",#N/A,FALSE,"Tran"}</definedName>
    <definedName name="sdsd" localSheetId="19" hidden="1">{"Riqfin97",#N/A,FALSE,"Tran";"Riqfinpro",#N/A,FALSE,"Tran"}</definedName>
    <definedName name="sdsd" localSheetId="2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r" localSheetId="10" hidden="1">{"Riqfin97",#N/A,FALSE,"Tran";"Riqfinpro",#N/A,FALSE,"Tran"}</definedName>
    <definedName name="ser" localSheetId="11" hidden="1">{"Riqfin97",#N/A,FALSE,"Tran";"Riqfinpro",#N/A,FALSE,"Tran"}</definedName>
    <definedName name="ser" localSheetId="12" hidden="1">{"Riqfin97",#N/A,FALSE,"Tran";"Riqfinpro",#N/A,FALSE,"Tran"}</definedName>
    <definedName name="ser" localSheetId="13" hidden="1">{"Riqfin97",#N/A,FALSE,"Tran";"Riqfinpro",#N/A,FALSE,"Tran"}</definedName>
    <definedName name="ser" localSheetId="18" hidden="1">{"Riqfin97",#N/A,FALSE,"Tran";"Riqfinpro",#N/A,FALSE,"Tran"}</definedName>
    <definedName name="ser" localSheetId="19" hidden="1">{"Riqfin97",#N/A,FALSE,"Tran";"Riqfinpro",#N/A,FALSE,"Tran"}</definedName>
    <definedName name="ser" localSheetId="2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SS" localSheetId="14">#REF!</definedName>
    <definedName name="SSS" localSheetId="15">#REF!</definedName>
    <definedName name="SSS">#REF!</definedName>
    <definedName name="ssss" localSheetId="10" hidden="1">{"Riqfin97",#N/A,FALSE,"Tran";"Riqfinpro",#N/A,FALSE,"Tran"}</definedName>
    <definedName name="ssss" localSheetId="11" hidden="1">{"Riqfin97",#N/A,FALSE,"Tran";"Riqfinpro",#N/A,FALSE,"Tran"}</definedName>
    <definedName name="ssss" localSheetId="12" hidden="1">{"Riqfin97",#N/A,FALSE,"Tran";"Riqfinpro",#N/A,FALSE,"Tran"}</definedName>
    <definedName name="ssss" localSheetId="13" hidden="1">{"Riqfin97",#N/A,FALSE,"Tran";"Riqfinpro",#N/A,FALSE,"Tran"}</definedName>
    <definedName name="ssss" localSheetId="18" hidden="1">{"Riqfin97",#N/A,FALSE,"Tran";"Riqfinpro",#N/A,FALSE,"Tran"}</definedName>
    <definedName name="ssss" localSheetId="19" hidden="1">{"Riqfin97",#N/A,FALSE,"Tran";"Riqfinpro",#N/A,FALSE,"Tran"}</definedName>
    <definedName name="ssss" localSheetId="2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we" localSheetId="10" hidden="1">{"Tab1",#N/A,FALSE,"P";"Tab2",#N/A,FALSE,"P"}</definedName>
    <definedName name="swe" localSheetId="11" hidden="1">{"Tab1",#N/A,FALSE,"P";"Tab2",#N/A,FALSE,"P"}</definedName>
    <definedName name="swe" localSheetId="12" hidden="1">{"Tab1",#N/A,FALSE,"P";"Tab2",#N/A,FALSE,"P"}</definedName>
    <definedName name="swe" localSheetId="13" hidden="1">{"Tab1",#N/A,FALSE,"P";"Tab2",#N/A,FALSE,"P"}</definedName>
    <definedName name="swe" localSheetId="18" hidden="1">{"Tab1",#N/A,FALSE,"P";"Tab2",#N/A,FALSE,"P"}</definedName>
    <definedName name="swe" localSheetId="19" hidden="1">{"Tab1",#N/A,FALSE,"P";"Tab2",#N/A,FALSE,"P"}</definedName>
    <definedName name="swe" localSheetId="2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10" hidden="1">'[9]COP FED'!#REF!</definedName>
    <definedName name="Swvu.PLA1." localSheetId="11" hidden="1">'[9]COP FED'!#REF!</definedName>
    <definedName name="Swvu.PLA1." localSheetId="12" hidden="1">'[9]COP FED'!#REF!</definedName>
    <definedName name="Swvu.PLA1." localSheetId="13" hidden="1">'[9]COP FED'!#REF!</definedName>
    <definedName name="Swvu.PLA1." localSheetId="14" hidden="1">'[9]COP FED'!#REF!</definedName>
    <definedName name="Swvu.PLA1." localSheetId="15" hidden="1">'[9]COP FED'!#REF!</definedName>
    <definedName name="Swvu.PLA1." localSheetId="2" hidden="1">'[9]COP FED'!#REF!</definedName>
    <definedName name="Swvu.PLA1." localSheetId="5" hidden="1">'[9]COP FED'!#REF!</definedName>
    <definedName name="Swvu.PLA1." localSheetId="9" hidden="1">'[9]COP FED'!#REF!</definedName>
    <definedName name="Swvu.PLA1." hidden="1">'[9]COP FED'!#REF!</definedName>
    <definedName name="Swvu.PLA2." hidden="1">'[9]COP FED'!$A$1:$N$49</definedName>
    <definedName name="sxc" localSheetId="10" hidden="1">{"Riqfin97",#N/A,FALSE,"Tran";"Riqfinpro",#N/A,FALSE,"Tran"}</definedName>
    <definedName name="sxc" localSheetId="11" hidden="1">{"Riqfin97",#N/A,FALSE,"Tran";"Riqfinpro",#N/A,FALSE,"Tran"}</definedName>
    <definedName name="sxc" localSheetId="12" hidden="1">{"Riqfin97",#N/A,FALSE,"Tran";"Riqfinpro",#N/A,FALSE,"Tran"}</definedName>
    <definedName name="sxc" localSheetId="13" hidden="1">{"Riqfin97",#N/A,FALSE,"Tran";"Riqfinpro",#N/A,FALSE,"Tran"}</definedName>
    <definedName name="sxc" localSheetId="18" hidden="1">{"Riqfin97",#N/A,FALSE,"Tran";"Riqfinpro",#N/A,FALSE,"Tran"}</definedName>
    <definedName name="sxc" localSheetId="19" hidden="1">{"Riqfin97",#N/A,FALSE,"Tran";"Riqfinpro",#N/A,FALSE,"Tran"}</definedName>
    <definedName name="sxc" localSheetId="2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10" hidden="1">{"Riqfin97",#N/A,FALSE,"Tran";"Riqfinpro",#N/A,FALSE,"Tran"}</definedName>
    <definedName name="sxe" localSheetId="11" hidden="1">{"Riqfin97",#N/A,FALSE,"Tran";"Riqfinpro",#N/A,FALSE,"Tran"}</definedName>
    <definedName name="sxe" localSheetId="12" hidden="1">{"Riqfin97",#N/A,FALSE,"Tran";"Riqfinpro",#N/A,FALSE,"Tran"}</definedName>
    <definedName name="sxe" localSheetId="13" hidden="1">{"Riqfin97",#N/A,FALSE,"Tran";"Riqfinpro",#N/A,FALSE,"Tran"}</definedName>
    <definedName name="sxe" localSheetId="18" hidden="1">{"Riqfin97",#N/A,FALSE,"Tran";"Riqfinpro",#N/A,FALSE,"Tran"}</definedName>
    <definedName name="sxe" localSheetId="19" hidden="1">{"Riqfin97",#N/A,FALSE,"Tran";"Riqfinpro",#N/A,FALSE,"Tran"}</definedName>
    <definedName name="sxe" localSheetId="2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" localSheetId="10" hidden="1">{"Minpmon",#N/A,FALSE,"Monthinput"}</definedName>
    <definedName name="t" localSheetId="11" hidden="1">{"Minpmon",#N/A,FALSE,"Monthinput"}</definedName>
    <definedName name="t" localSheetId="12" hidden="1">{"Minpmon",#N/A,FALSE,"Monthinput"}</definedName>
    <definedName name="t" localSheetId="13" hidden="1">{"Minpmon",#N/A,FALSE,"Monthinput"}</definedName>
    <definedName name="t" localSheetId="18" hidden="1">{"Minpmon",#N/A,FALSE,"Monthinput"}</definedName>
    <definedName name="t" localSheetId="19" hidden="1">{"Minpmon",#N/A,FALSE,"Monthinput"}</definedName>
    <definedName name="t" localSheetId="2" hidden="1">{"Minpmon",#N/A,FALSE,"Monthinput"}</definedName>
    <definedName name="t" localSheetId="9" hidden="1">{"Minpmon",#N/A,FALSE,"Monthinput"}</definedName>
    <definedName name="t" hidden="1">{"Minpmon",#N/A,FALSE,"Monthinput"}</definedName>
    <definedName name="Table8">'[1]shared data'!$A$1:$E$32</definedName>
    <definedName name="tj" localSheetId="10" hidden="1">{"Riqfin97",#N/A,FALSE,"Tran";"Riqfinpro",#N/A,FALSE,"Tran"}</definedName>
    <definedName name="tj" localSheetId="11" hidden="1">{"Riqfin97",#N/A,FALSE,"Tran";"Riqfinpro",#N/A,FALSE,"Tran"}</definedName>
    <definedName name="tj" localSheetId="12" hidden="1">{"Riqfin97",#N/A,FALSE,"Tran";"Riqfinpro",#N/A,FALSE,"Tran"}</definedName>
    <definedName name="tj" localSheetId="13" hidden="1">{"Riqfin97",#N/A,FALSE,"Tran";"Riqfinpro",#N/A,FALSE,"Tran"}</definedName>
    <definedName name="tj" localSheetId="18" hidden="1">{"Riqfin97",#N/A,FALSE,"Tran";"Riqfinpro",#N/A,FALSE,"Tran"}</definedName>
    <definedName name="tj" localSheetId="19" hidden="1">{"Riqfin97",#N/A,FALSE,"Tran";"Riqfinpro",#N/A,FALSE,"Tran"}</definedName>
    <definedName name="tj" localSheetId="2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nt">#N/A</definedName>
    <definedName name="TNTmar">#N/A</definedName>
    <definedName name="tntoct">#N/A</definedName>
    <definedName name="trans">#N/A</definedName>
    <definedName name="transp">#N/A</definedName>
    <definedName name="transporte">#N/A</definedName>
    <definedName name="tt" localSheetId="10" hidden="1">{"Tab1",#N/A,FALSE,"P";"Tab2",#N/A,FALSE,"P"}</definedName>
    <definedName name="tt" localSheetId="11" hidden="1">{"Tab1",#N/A,FALSE,"P";"Tab2",#N/A,FALSE,"P"}</definedName>
    <definedName name="tt" localSheetId="12" hidden="1">{"Tab1",#N/A,FALSE,"P";"Tab2",#N/A,FALSE,"P"}</definedName>
    <definedName name="tt" localSheetId="13" hidden="1">{"Tab1",#N/A,FALSE,"P";"Tab2",#N/A,FALSE,"P"}</definedName>
    <definedName name="tt" localSheetId="18" hidden="1">{"Tab1",#N/A,FALSE,"P";"Tab2",#N/A,FALSE,"P"}</definedName>
    <definedName name="tt" localSheetId="19" hidden="1">{"Tab1",#N/A,FALSE,"P";"Tab2",#N/A,FALSE,"P"}</definedName>
    <definedName name="tt" localSheetId="2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10" hidden="1">{"Minpmon",#N/A,FALSE,"Monthinput"}</definedName>
    <definedName name="ttt" localSheetId="11" hidden="1">{"Minpmon",#N/A,FALSE,"Monthinput"}</definedName>
    <definedName name="ttt" localSheetId="12" hidden="1">{"Minpmon",#N/A,FALSE,"Monthinput"}</definedName>
    <definedName name="ttt" localSheetId="13" hidden="1">{"Minpmon",#N/A,FALSE,"Monthinput"}</definedName>
    <definedName name="ttt" localSheetId="18" hidden="1">{"Minpmon",#N/A,FALSE,"Monthinput"}</definedName>
    <definedName name="ttt" localSheetId="19" hidden="1">{"Minpmon",#N/A,FALSE,"Monthinput"}</definedName>
    <definedName name="ttt" localSheetId="2" hidden="1">{"Minpmon",#N/A,FALSE,"Monthinput"}</definedName>
    <definedName name="ttt" localSheetId="9" hidden="1">{"Minpmon",#N/A,FALSE,"Monthinput"}</definedName>
    <definedName name="ttt" hidden="1">{"Minpmon",#N/A,FALSE,"Monthinput"}</definedName>
    <definedName name="tttt" localSheetId="10" hidden="1">{"Tab1",#N/A,FALSE,"P";"Tab2",#N/A,FALSE,"P"}</definedName>
    <definedName name="tttt" localSheetId="11" hidden="1">{"Tab1",#N/A,FALSE,"P";"Tab2",#N/A,FALSE,"P"}</definedName>
    <definedName name="tttt" localSheetId="12" hidden="1">{"Tab1",#N/A,FALSE,"P";"Tab2",#N/A,FALSE,"P"}</definedName>
    <definedName name="tttt" localSheetId="13" hidden="1">{"Tab1",#N/A,FALSE,"P";"Tab2",#N/A,FALSE,"P"}</definedName>
    <definedName name="tttt" localSheetId="18" hidden="1">{"Tab1",#N/A,FALSE,"P";"Tab2",#N/A,FALSE,"P"}</definedName>
    <definedName name="tttt" localSheetId="19" hidden="1">{"Tab1",#N/A,FALSE,"P";"Tab2",#N/A,FALSE,"P"}</definedName>
    <definedName name="tttt" localSheetId="2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10" hidden="1">[16]M!#REF!</definedName>
    <definedName name="ttttt" localSheetId="11" hidden="1">[16]M!#REF!</definedName>
    <definedName name="ttttt" localSheetId="12" hidden="1">[16]M!#REF!</definedName>
    <definedName name="ttttt" localSheetId="13" hidden="1">[16]M!#REF!</definedName>
    <definedName name="ttttt" localSheetId="14" hidden="1">[16]M!#REF!</definedName>
    <definedName name="ttttt" localSheetId="15" hidden="1">[16]M!#REF!</definedName>
    <definedName name="ttttt" localSheetId="5" hidden="1">[16]M!#REF!</definedName>
    <definedName name="ttttt" localSheetId="9" hidden="1">[16]M!#REF!</definedName>
    <definedName name="ttttt" hidden="1">[16]M!#REF!</definedName>
    <definedName name="ty" localSheetId="10" hidden="1">{"Riqfin97",#N/A,FALSE,"Tran";"Riqfinpro",#N/A,FALSE,"Tran"}</definedName>
    <definedName name="ty" localSheetId="11" hidden="1">{"Riqfin97",#N/A,FALSE,"Tran";"Riqfinpro",#N/A,FALSE,"Tran"}</definedName>
    <definedName name="ty" localSheetId="12" hidden="1">{"Riqfin97",#N/A,FALSE,"Tran";"Riqfinpro",#N/A,FALSE,"Tran"}</definedName>
    <definedName name="ty" localSheetId="13" hidden="1">{"Riqfin97",#N/A,FALSE,"Tran";"Riqfinpro",#N/A,FALSE,"Tran"}</definedName>
    <definedName name="ty" localSheetId="18" hidden="1">{"Riqfin97",#N/A,FALSE,"Tran";"Riqfinpro",#N/A,FALSE,"Tran"}</definedName>
    <definedName name="ty" localSheetId="19" hidden="1">{"Riqfin97",#N/A,FALSE,"Tran";"Riqfinpro",#N/A,FALSE,"Tran"}</definedName>
    <definedName name="ty" localSheetId="2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10" hidden="1">{"Riqfin97",#N/A,FALSE,"Tran";"Riqfinpro",#N/A,FALSE,"Tran"}</definedName>
    <definedName name="uu" localSheetId="11" hidden="1">{"Riqfin97",#N/A,FALSE,"Tran";"Riqfinpro",#N/A,FALSE,"Tran"}</definedName>
    <definedName name="uu" localSheetId="12" hidden="1">{"Riqfin97",#N/A,FALSE,"Tran";"Riqfinpro",#N/A,FALSE,"Tran"}</definedName>
    <definedName name="uu" localSheetId="13" hidden="1">{"Riqfin97",#N/A,FALSE,"Tran";"Riqfinpro",#N/A,FALSE,"Tran"}</definedName>
    <definedName name="uu" localSheetId="18" hidden="1">{"Riqfin97",#N/A,FALSE,"Tran";"Riqfinpro",#N/A,FALSE,"Tran"}</definedName>
    <definedName name="uu" localSheetId="19" hidden="1">{"Riqfin97",#N/A,FALSE,"Tran";"Riqfinpro",#N/A,FALSE,"Tran"}</definedName>
    <definedName name="uu" localSheetId="2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10" hidden="1">{"Main Economic Indicators",#N/A,FALSE,"C"}</definedName>
    <definedName name="uuu" localSheetId="11" hidden="1">{"Main Economic Indicators",#N/A,FALSE,"C"}</definedName>
    <definedName name="uuu" localSheetId="12" hidden="1">{"Main Economic Indicators",#N/A,FALSE,"C"}</definedName>
    <definedName name="uuu" localSheetId="13" hidden="1">{"Main Economic Indicators",#N/A,FALSE,"C"}</definedName>
    <definedName name="uuu" localSheetId="18" hidden="1">{"Main Economic Indicators",#N/A,FALSE,"C"}</definedName>
    <definedName name="uuu" localSheetId="19" hidden="1">{"Main Economic Indicators",#N/A,FALSE,"C"}</definedName>
    <definedName name="uuu" localSheetId="2" hidden="1">{"Main Economic Indicators",#N/A,FALSE,"C"}</definedName>
    <definedName name="uuu" localSheetId="9" hidden="1">{"Main Economic Indicators",#N/A,FALSE,"C"}</definedName>
    <definedName name="uuu" hidden="1">{"Main Economic Indicators",#N/A,FALSE,"C"}</definedName>
    <definedName name="uuuuuu" localSheetId="10" hidden="1">{"Riqfin97",#N/A,FALSE,"Tran";"Riqfinpro",#N/A,FALSE,"Tran"}</definedName>
    <definedName name="uuuuuu" localSheetId="11" hidden="1">{"Riqfin97",#N/A,FALSE,"Tran";"Riqfinpro",#N/A,FALSE,"Tran"}</definedName>
    <definedName name="uuuuuu" localSheetId="12" hidden="1">{"Riqfin97",#N/A,FALSE,"Tran";"Riqfinpro",#N/A,FALSE,"Tran"}</definedName>
    <definedName name="uuuuuu" localSheetId="13" hidden="1">{"Riqfin97",#N/A,FALSE,"Tran";"Riqfinpro",#N/A,FALSE,"Tran"}</definedName>
    <definedName name="uuuuuu" localSheetId="18" hidden="1">{"Riqfin97",#N/A,FALSE,"Tran";"Riqfinpro",#N/A,FALSE,"Tran"}</definedName>
    <definedName name="uuuuuu" localSheetId="19" hidden="1">{"Riqfin97",#N/A,FALSE,"Tran";"Riqfinpro",#N/A,FALSE,"Tran"}</definedName>
    <definedName name="uuuuuu" localSheetId="2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">#N/A</definedName>
    <definedName name="vv" localSheetId="10" hidden="1">{"Tab1",#N/A,FALSE,"P";"Tab2",#N/A,FALSE,"P"}</definedName>
    <definedName name="vv" localSheetId="11" hidden="1">{"Tab1",#N/A,FALSE,"P";"Tab2",#N/A,FALSE,"P"}</definedName>
    <definedName name="vv" localSheetId="12" hidden="1">{"Tab1",#N/A,FALSE,"P";"Tab2",#N/A,FALSE,"P"}</definedName>
    <definedName name="vv" localSheetId="13" hidden="1">{"Tab1",#N/A,FALSE,"P";"Tab2",#N/A,FALSE,"P"}</definedName>
    <definedName name="vv" localSheetId="18" hidden="1">{"Tab1",#N/A,FALSE,"P";"Tab2",#N/A,FALSE,"P"}</definedName>
    <definedName name="vv" localSheetId="19" hidden="1">{"Tab1",#N/A,FALSE,"P";"Tab2",#N/A,FALSE,"P"}</definedName>
    <definedName name="vv" localSheetId="2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10" hidden="1">{"Tab1",#N/A,FALSE,"P";"Tab2",#N/A,FALSE,"P"}</definedName>
    <definedName name="vvv" localSheetId="11" hidden="1">{"Tab1",#N/A,FALSE,"P";"Tab2",#N/A,FALSE,"P"}</definedName>
    <definedName name="vvv" localSheetId="12" hidden="1">{"Tab1",#N/A,FALSE,"P";"Tab2",#N/A,FALSE,"P"}</definedName>
    <definedName name="vvv" localSheetId="13" hidden="1">{"Tab1",#N/A,FALSE,"P";"Tab2",#N/A,FALSE,"P"}</definedName>
    <definedName name="vvv" localSheetId="18" hidden="1">{"Tab1",#N/A,FALSE,"P";"Tab2",#N/A,FALSE,"P"}</definedName>
    <definedName name="vvv" localSheetId="19" hidden="1">{"Tab1",#N/A,FALSE,"P";"Tab2",#N/A,FALSE,"P"}</definedName>
    <definedName name="vvv" localSheetId="2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10" hidden="1">{"Minpmon",#N/A,FALSE,"Monthinput"}</definedName>
    <definedName name="vvvv" localSheetId="11" hidden="1">{"Minpmon",#N/A,FALSE,"Monthinput"}</definedName>
    <definedName name="vvvv" localSheetId="12" hidden="1">{"Minpmon",#N/A,FALSE,"Monthinput"}</definedName>
    <definedName name="vvvv" localSheetId="13" hidden="1">{"Minpmon",#N/A,FALSE,"Monthinput"}</definedName>
    <definedName name="vvvv" localSheetId="18" hidden="1">{"Minpmon",#N/A,FALSE,"Monthinput"}</definedName>
    <definedName name="vvvv" localSheetId="19" hidden="1">{"Minpmon",#N/A,FALSE,"Monthinput"}</definedName>
    <definedName name="vvvv" localSheetId="2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10" hidden="1">{"Riqfin97",#N/A,FALSE,"Tran";"Riqfinpro",#N/A,FALSE,"Tran"}</definedName>
    <definedName name="vvvvvvvvvvvv" localSheetId="11" hidden="1">{"Riqfin97",#N/A,FALSE,"Tran";"Riqfinpro",#N/A,FALSE,"Tran"}</definedName>
    <definedName name="vvvvvvvvvvvv" localSheetId="12" hidden="1">{"Riqfin97",#N/A,FALSE,"Tran";"Riqfinpro",#N/A,FALSE,"Tran"}</definedName>
    <definedName name="vvvvvvvvvvvv" localSheetId="13" hidden="1">{"Riqfin97",#N/A,FALSE,"Tran";"Riqfinpro",#N/A,FALSE,"Tran"}</definedName>
    <definedName name="vvvvvvvvvvvv" localSheetId="18" hidden="1">{"Riqfin97",#N/A,FALSE,"Tran";"Riqfinpro",#N/A,FALSE,"Tran"}</definedName>
    <definedName name="vvvvvvvvvvvv" localSheetId="19" hidden="1">{"Riqfin97",#N/A,FALSE,"Tran";"Riqfinpro",#N/A,FALSE,"Tran"}</definedName>
    <definedName name="vvvvvvvvvvvv" localSheetId="2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10" hidden="1">{"Tab1",#N/A,FALSE,"P";"Tab2",#N/A,FALSE,"P"}</definedName>
    <definedName name="vvvvvvvvvvvvv" localSheetId="11" hidden="1">{"Tab1",#N/A,FALSE,"P";"Tab2",#N/A,FALSE,"P"}</definedName>
    <definedName name="vvvvvvvvvvvvv" localSheetId="12" hidden="1">{"Tab1",#N/A,FALSE,"P";"Tab2",#N/A,FALSE,"P"}</definedName>
    <definedName name="vvvvvvvvvvvvv" localSheetId="13" hidden="1">{"Tab1",#N/A,FALSE,"P";"Tab2",#N/A,FALSE,"P"}</definedName>
    <definedName name="vvvvvvvvvvvvv" localSheetId="18" hidden="1">{"Tab1",#N/A,FALSE,"P";"Tab2",#N/A,FALSE,"P"}</definedName>
    <definedName name="vvvvvvvvvvvvv" localSheetId="19" hidden="1">{"Tab1",#N/A,FALSE,"P";"Tab2",#N/A,FALSE,"P"}</definedName>
    <definedName name="vvvvvvvvvvvvv" localSheetId="2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10" hidden="1">{"Minpmon",#N/A,FALSE,"Monthinput"}</definedName>
    <definedName name="w" localSheetId="11" hidden="1">{"Minpmon",#N/A,FALSE,"Monthinput"}</definedName>
    <definedName name="w" localSheetId="12" hidden="1">{"Minpmon",#N/A,FALSE,"Monthinput"}</definedName>
    <definedName name="w" localSheetId="13" hidden="1">{"Minpmon",#N/A,FALSE,"Monthinput"}</definedName>
    <definedName name="w" localSheetId="18" hidden="1">{"Minpmon",#N/A,FALSE,"Monthinput"}</definedName>
    <definedName name="w" localSheetId="19" hidden="1">{"Minpmon",#N/A,FALSE,"Monthinput"}</definedName>
    <definedName name="w" localSheetId="2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10" hidden="1">{"Riqfin97",#N/A,FALSE,"Tran";"Riqfinpro",#N/A,FALSE,"Tran"}</definedName>
    <definedName name="wer" localSheetId="11" hidden="1">{"Riqfin97",#N/A,FALSE,"Tran";"Riqfinpro",#N/A,FALSE,"Tran"}</definedName>
    <definedName name="wer" localSheetId="12" hidden="1">{"Riqfin97",#N/A,FALSE,"Tran";"Riqfinpro",#N/A,FALSE,"Tran"}</definedName>
    <definedName name="wer" localSheetId="13" hidden="1">{"Riqfin97",#N/A,FALSE,"Tran";"Riqfinpro",#N/A,FALSE,"Tran"}</definedName>
    <definedName name="wer" localSheetId="18" hidden="1">{"Riqfin97",#N/A,FALSE,"Tran";"Riqfinpro",#N/A,FALSE,"Tran"}</definedName>
    <definedName name="wer" localSheetId="19" hidden="1">{"Riqfin97",#N/A,FALSE,"Tran";"Riqfinpro",#N/A,FALSE,"Tran"}</definedName>
    <definedName name="wer" localSheetId="2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ill">#N/A</definedName>
    <definedName name="wrn" localSheetId="10" hidden="1">{"Main Economic Indicators",#N/A,FALSE,"C"}</definedName>
    <definedName name="wrn" localSheetId="11" hidden="1">{"Main Economic Indicators",#N/A,FALSE,"C"}</definedName>
    <definedName name="wrn" localSheetId="12" hidden="1">{"Main Economic Indicators",#N/A,FALSE,"C"}</definedName>
    <definedName name="wrn" localSheetId="13" hidden="1">{"Main Economic Indicators",#N/A,FALSE,"C"}</definedName>
    <definedName name="wrn" localSheetId="18" hidden="1">{"Main Economic Indicators",#N/A,FALSE,"C"}</definedName>
    <definedName name="wrn" localSheetId="19" hidden="1">{"Main Economic Indicators",#N/A,FALSE,"C"}</definedName>
    <definedName name="wrn" localSheetId="2" hidden="1">{"Main Economic Indicators",#N/A,FALSE,"C"}</definedName>
    <definedName name="wrn" localSheetId="9" hidden="1">{"Main Economic Indicators",#N/A,FALSE,"C"}</definedName>
    <definedName name="wrn" hidden="1">{"Main Economic Indicators",#N/A,FALSE,"C"}</definedName>
    <definedName name="wrn.98RED." localSheetId="10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2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3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2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ll._.Standard." localSheetId="10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2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3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2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10" hidden="1">{"annual-cbr",#N/A,FALSE,"CENTBANK";"annual(banks)",#N/A,FALSE,"COMBANKS"}</definedName>
    <definedName name="wrn.annual." localSheetId="11" hidden="1">{"annual-cbr",#N/A,FALSE,"CENTBANK";"annual(banks)",#N/A,FALSE,"COMBANKS"}</definedName>
    <definedName name="wrn.annual." localSheetId="12" hidden="1">{"annual-cbr",#N/A,FALSE,"CENTBANK";"annual(banks)",#N/A,FALSE,"COMBANKS"}</definedName>
    <definedName name="wrn.annual." localSheetId="13" hidden="1">{"annual-cbr",#N/A,FALSE,"CENTBANK";"annual(banks)",#N/A,FALSE,"COMBANKS"}</definedName>
    <definedName name="wrn.annual." localSheetId="18" hidden="1">{"annual-cbr",#N/A,FALSE,"CENTBANK";"annual(banks)",#N/A,FALSE,"COMBANKS"}</definedName>
    <definedName name="wrn.annual." localSheetId="19" hidden="1">{"annual-cbr",#N/A,FALSE,"CENTBANK";"annual(banks)",#N/A,FALSE,"COMBANKS"}</definedName>
    <definedName name="wrn.annual." localSheetId="2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10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2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3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2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10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2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3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2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10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2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3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2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10" hidden="1">{#N/A,#N/A,FALSE,"CelPIB"}</definedName>
    <definedName name="wrn.CelPIB." localSheetId="11" hidden="1">{#N/A,#N/A,FALSE,"CelPIB"}</definedName>
    <definedName name="wrn.CelPIB." localSheetId="12" hidden="1">{#N/A,#N/A,FALSE,"CelPIB"}</definedName>
    <definedName name="wrn.CelPIB." localSheetId="13" hidden="1">{#N/A,#N/A,FALSE,"CelPIB"}</definedName>
    <definedName name="wrn.CelPIB." localSheetId="18" hidden="1">{#N/A,#N/A,FALSE,"CelPIB"}</definedName>
    <definedName name="wrn.CelPIB." localSheetId="19" hidden="1">{#N/A,#N/A,FALSE,"CelPIB"}</definedName>
    <definedName name="wrn.CelPIB." localSheetId="2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10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2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3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2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10" hidden="1">{#N/A,#N/A,FALSE,"NFPS GDP"}</definedName>
    <definedName name="wrn.CGvt._.Revenue._.GDP." localSheetId="11" hidden="1">{#N/A,#N/A,FALSE,"NFPS GDP"}</definedName>
    <definedName name="wrn.CGvt._.Revenue._.GDP." localSheetId="12" hidden="1">{#N/A,#N/A,FALSE,"NFPS GDP"}</definedName>
    <definedName name="wrn.CGvt._.Revenue._.GDP." localSheetId="13" hidden="1">{#N/A,#N/A,FALSE,"NFPS GDP"}</definedName>
    <definedName name="wrn.CGvt._.Revenue._.GDP." localSheetId="18" hidden="1">{#N/A,#N/A,FALSE,"NFPS GDP"}</definedName>
    <definedName name="wrn.CGvt._.Revenue._.GDP." localSheetId="19" hidden="1">{#N/A,#N/A,FALSE,"NFPS GDP"}</definedName>
    <definedName name="wrn.CGvt._.Revenue._.GDP." localSheetId="2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10" hidden="1">{#N/A,#N/A,FALSE,"EntpsPIB"}</definedName>
    <definedName name="wrn.EntpsPIB." localSheetId="11" hidden="1">{#N/A,#N/A,FALSE,"EntpsPIB"}</definedName>
    <definedName name="wrn.EntpsPIB." localSheetId="12" hidden="1">{#N/A,#N/A,FALSE,"EntpsPIB"}</definedName>
    <definedName name="wrn.EntpsPIB." localSheetId="13" hidden="1">{#N/A,#N/A,FALSE,"EntpsPIB"}</definedName>
    <definedName name="wrn.EntpsPIB." localSheetId="18" hidden="1">{#N/A,#N/A,FALSE,"EntpsPIB"}</definedName>
    <definedName name="wrn.EntpsPIB." localSheetId="19" hidden="1">{#N/A,#N/A,FALSE,"EntpsPIB"}</definedName>
    <definedName name="wrn.EntpsPIB." localSheetId="2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JANSEP97." localSheetId="10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2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3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2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10" hidden="1">{"Main Economic Indicators",#N/A,FALSE,"C"}</definedName>
    <definedName name="wrn.Main._.Economic._.Indicators." localSheetId="11" hidden="1">{"Main Economic Indicators",#N/A,FALSE,"C"}</definedName>
    <definedName name="wrn.Main._.Economic._.Indicators." localSheetId="12" hidden="1">{"Main Economic Indicators",#N/A,FALSE,"C"}</definedName>
    <definedName name="wrn.Main._.Economic._.Indicators." localSheetId="13" hidden="1">{"Main Economic Indicators",#N/A,FALSE,"C"}</definedName>
    <definedName name="wrn.Main._.Economic._.Indicators." localSheetId="18" hidden="1">{"Main Economic Indicators",#N/A,FALSE,"C"}</definedName>
    <definedName name="wrn.Main._.Economic._.Indicators." localSheetId="19" hidden="1">{"Main Economic Indicators",#N/A,FALSE,"C"}</definedName>
    <definedName name="wrn.Main._.Economic._.Indicators." localSheetId="2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10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2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3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2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10" hidden="1">{"Minpmon",#N/A,FALSE,"Monthinput"}</definedName>
    <definedName name="wrn.Monthsheet." localSheetId="11" hidden="1">{"Minpmon",#N/A,FALSE,"Monthinput"}</definedName>
    <definedName name="wrn.Monthsheet." localSheetId="12" hidden="1">{"Minpmon",#N/A,FALSE,"Monthinput"}</definedName>
    <definedName name="wrn.Monthsheet." localSheetId="13" hidden="1">{"Minpmon",#N/A,FALSE,"Monthinput"}</definedName>
    <definedName name="wrn.Monthsheet." localSheetId="18" hidden="1">{"Minpmon",#N/A,FALSE,"Monthinput"}</definedName>
    <definedName name="wrn.Monthsheet." localSheetId="19" hidden="1">{"Minpmon",#N/A,FALSE,"Monthinput"}</definedName>
    <definedName name="wrn.Monthsheet." localSheetId="2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10" hidden="1">{#N/A,#N/A,FALSE,"NFPS GDP"}</definedName>
    <definedName name="wrn.NFPS._.GDP." localSheetId="11" hidden="1">{#N/A,#N/A,FALSE,"NFPS GDP"}</definedName>
    <definedName name="wrn.NFPS._.GDP." localSheetId="12" hidden="1">{#N/A,#N/A,FALSE,"NFPS GDP"}</definedName>
    <definedName name="wrn.NFPS._.GDP." localSheetId="13" hidden="1">{#N/A,#N/A,FALSE,"NFPS GDP"}</definedName>
    <definedName name="wrn.NFPS._.GDP." localSheetId="18" hidden="1">{#N/A,#N/A,FALSE,"NFPS GDP"}</definedName>
    <definedName name="wrn.NFPS._.GDP." localSheetId="19" hidden="1">{#N/A,#N/A,FALSE,"NFPS GDP"}</definedName>
    <definedName name="wrn.NFPS._.GDP." localSheetId="2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10" hidden="1">{"Original",#N/A,FALSE,"CENTBANK";"Original",#N/A,FALSE,"COMBANKS"}</definedName>
    <definedName name="wrn.original." localSheetId="11" hidden="1">{"Original",#N/A,FALSE,"CENTBANK";"Original",#N/A,FALSE,"COMBANKS"}</definedName>
    <definedName name="wrn.original." localSheetId="12" hidden="1">{"Original",#N/A,FALSE,"CENTBANK";"Original",#N/A,FALSE,"COMBANKS"}</definedName>
    <definedName name="wrn.original." localSheetId="13" hidden="1">{"Original",#N/A,FALSE,"CENTBANK";"Original",#N/A,FALSE,"COMBANKS"}</definedName>
    <definedName name="wrn.original." localSheetId="18" hidden="1">{"Original",#N/A,FALSE,"CENTBANK";"Original",#N/A,FALSE,"COMBANKS"}</definedName>
    <definedName name="wrn.original." localSheetId="19" hidden="1">{"Original",#N/A,FALSE,"CENTBANK";"Original",#N/A,FALSE,"COMBANKS"}</definedName>
    <definedName name="wrn.original." localSheetId="2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ogram." localSheetId="10" hidden="1">{"Tab1",#N/A,FALSE,"P";"Tab2",#N/A,FALSE,"P"}</definedName>
    <definedName name="wrn.Program." localSheetId="11" hidden="1">{"Tab1",#N/A,FALSE,"P";"Tab2",#N/A,FALSE,"P"}</definedName>
    <definedName name="wrn.Program." localSheetId="12" hidden="1">{"Tab1",#N/A,FALSE,"P";"Tab2",#N/A,FALSE,"P"}</definedName>
    <definedName name="wrn.Program." localSheetId="13" hidden="1">{"Tab1",#N/A,FALSE,"P";"Tab2",#N/A,FALSE,"P"}</definedName>
    <definedName name="wrn.Program." localSheetId="18" hidden="1">{"Tab1",#N/A,FALSE,"P";"Tab2",#N/A,FALSE,"P"}</definedName>
    <definedName name="wrn.Program." localSheetId="19" hidden="1">{"Tab1",#N/A,FALSE,"P";"Tab2",#N/A,FALSE,"P"}</definedName>
    <definedName name="wrn.Program." localSheetId="2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10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2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3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2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3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10" hidden="1">{#N/A,#N/A,FALSE,"RestGGPIB"}</definedName>
    <definedName name="wrn.RestGGPIB." localSheetId="11" hidden="1">{#N/A,#N/A,FALSE,"RestGGPIB"}</definedName>
    <definedName name="wrn.RestGGPIB." localSheetId="12" hidden="1">{#N/A,#N/A,FALSE,"RestGGPIB"}</definedName>
    <definedName name="wrn.RestGGPIB." localSheetId="13" hidden="1">{#N/A,#N/A,FALSE,"RestGGPIB"}</definedName>
    <definedName name="wrn.RestGGPIB." localSheetId="18" hidden="1">{#N/A,#N/A,FALSE,"RestGGPIB"}</definedName>
    <definedName name="wrn.RestGGPIB." localSheetId="19" hidden="1">{#N/A,#N/A,FALSE,"RestGGPIB"}</definedName>
    <definedName name="wrn.RestGGPIB." localSheetId="2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10" hidden="1">{"Riqfin97",#N/A,FALSE,"Tran";"Riqfinpro",#N/A,FALSE,"Tran"}</definedName>
    <definedName name="wrn.Riqfin." localSheetId="11" hidden="1">{"Riqfin97",#N/A,FALSE,"Tran";"Riqfinpro",#N/A,FALSE,"Tran"}</definedName>
    <definedName name="wrn.Riqfin." localSheetId="12" hidden="1">{"Riqfin97",#N/A,FALSE,"Tran";"Riqfinpro",#N/A,FALSE,"Tran"}</definedName>
    <definedName name="wrn.Riqfin." localSheetId="13" hidden="1">{"Riqfin97",#N/A,FALSE,"Tran";"Riqfinpro",#N/A,FALSE,"Tran"}</definedName>
    <definedName name="wrn.Riqfin." localSheetId="18" hidden="1">{"Riqfin97",#N/A,FALSE,"Tran";"Riqfinpro",#N/A,FALSE,"Tran"}</definedName>
    <definedName name="wrn.Riqfin." localSheetId="19" hidden="1">{"Riqfin97",#N/A,FALSE,"Tran";"Riqfinpro",#N/A,FALSE,"Tran"}</definedName>
    <definedName name="wrn.Riqfin." localSheetId="2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10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2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3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2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10" hidden="1">{#N/A,#N/A,FALSE,"SSPIB"}</definedName>
    <definedName name="wrn.SSPIB." localSheetId="11" hidden="1">{#N/A,#N/A,FALSE,"SSPIB"}</definedName>
    <definedName name="wrn.SSPIB." localSheetId="12" hidden="1">{#N/A,#N/A,FALSE,"SSPIB"}</definedName>
    <definedName name="wrn.SSPIB." localSheetId="13" hidden="1">{#N/A,#N/A,FALSE,"SSPIB"}</definedName>
    <definedName name="wrn.SSPIB." localSheetId="18" hidden="1">{#N/A,#N/A,FALSE,"SSPIB"}</definedName>
    <definedName name="wrn.SSPIB." localSheetId="19" hidden="1">{#N/A,#N/A,FALSE,"SSPIB"}</definedName>
    <definedName name="wrn.SSPIB." localSheetId="2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10" hidden="1">{#N/A,#N/A,FALSE,"SR1";#N/A,#N/A,FALSE,"SR2";#N/A,#N/A,FALSE,"SR3";#N/A,#N/A,FALSE,"SR4"}</definedName>
    <definedName name="wrn.Staff._.Report._.Tables." localSheetId="11" hidden="1">{#N/A,#N/A,FALSE,"SR1";#N/A,#N/A,FALSE,"SR2";#N/A,#N/A,FALSE,"SR3";#N/A,#N/A,FALSE,"SR4"}</definedName>
    <definedName name="wrn.Staff._.Report._.Tables." localSheetId="12" hidden="1">{#N/A,#N/A,FALSE,"SR1";#N/A,#N/A,FALSE,"SR2";#N/A,#N/A,FALSE,"SR3";#N/A,#N/A,FALSE,"SR4"}</definedName>
    <definedName name="wrn.Staff._.Report._.Tables." localSheetId="13" hidden="1">{#N/A,#N/A,FALSE,"SR1";#N/A,#N/A,FALSE,"SR2";#N/A,#N/A,FALSE,"SR3";#N/A,#N/A,FALSE,"SR4"}</definedName>
    <definedName name="wrn.Staff._.Report._.Tables." localSheetId="18" hidden="1">{#N/A,#N/A,FALSE,"SR1";#N/A,#N/A,FALSE,"SR2";#N/A,#N/A,FALSE,"SR3";#N/A,#N/A,FALSE,"SR4"}</definedName>
    <definedName name="wrn.Staff._.Report._.Tables." localSheetId="19" hidden="1">{#N/A,#N/A,FALSE,"SR1";#N/A,#N/A,FALSE,"SR2";#N/A,#N/A,FALSE,"SR3";#N/A,#N/A,FALSE,"SR4"}</definedName>
    <definedName name="wrn.Staff._.Report._.Tables." localSheetId="2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0" hidden="1">[16]M!#REF!</definedName>
    <definedName name="ww" localSheetId="11" hidden="1">[16]M!#REF!</definedName>
    <definedName name="ww" localSheetId="12" hidden="1">[16]M!#REF!</definedName>
    <definedName name="ww" localSheetId="13" hidden="1">[16]M!#REF!</definedName>
    <definedName name="ww" localSheetId="14" hidden="1">[16]M!#REF!</definedName>
    <definedName name="ww" localSheetId="15" hidden="1">[16]M!#REF!</definedName>
    <definedName name="ww" localSheetId="2" hidden="1">[16]M!#REF!</definedName>
    <definedName name="ww" localSheetId="5" hidden="1">[16]M!#REF!</definedName>
    <definedName name="ww" localSheetId="9" hidden="1">[16]M!#REF!</definedName>
    <definedName name="ww" hidden="1">[16]M!#REF!</definedName>
    <definedName name="www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localSheetId="1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localSheetId="1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localSheetId="13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localSheetId="1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localSheetId="1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localSheetId="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jjj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10" hidden="1">[16]M!#REF!</definedName>
    <definedName name="wwww" localSheetId="11" hidden="1">[16]M!#REF!</definedName>
    <definedName name="wwww" localSheetId="12" hidden="1">[16]M!#REF!</definedName>
    <definedName name="wwww" localSheetId="13" hidden="1">[16]M!#REF!</definedName>
    <definedName name="wwww" localSheetId="14" hidden="1">[16]M!#REF!</definedName>
    <definedName name="wwww" localSheetId="15" hidden="1">[16]M!#REF!</definedName>
    <definedName name="wwww" localSheetId="5" hidden="1">[16]M!#REF!</definedName>
    <definedName name="wwww" localSheetId="9" hidden="1">[16]M!#REF!</definedName>
    <definedName name="wwww" hidden="1">[16]M!#REF!</definedName>
    <definedName name="wwwww" localSheetId="10" hidden="1">{"Minpmon",#N/A,FALSE,"Monthinput"}</definedName>
    <definedName name="wwwww" localSheetId="11" hidden="1">{"Minpmon",#N/A,FALSE,"Monthinput"}</definedName>
    <definedName name="wwwww" localSheetId="12" hidden="1">{"Minpmon",#N/A,FALSE,"Monthinput"}</definedName>
    <definedName name="wwwww" localSheetId="13" hidden="1">{"Minpmon",#N/A,FALSE,"Monthinput"}</definedName>
    <definedName name="wwwww" localSheetId="18" hidden="1">{"Minpmon",#N/A,FALSE,"Monthinput"}</definedName>
    <definedName name="wwwww" localSheetId="19" hidden="1">{"Minpmon",#N/A,FALSE,"Monthinput"}</definedName>
    <definedName name="wwwww" localSheetId="2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10" hidden="1">{"Riqfin97",#N/A,FALSE,"Tran";"Riqfinpro",#N/A,FALSE,"Tran"}</definedName>
    <definedName name="wwwwwww" localSheetId="11" hidden="1">{"Riqfin97",#N/A,FALSE,"Tran";"Riqfinpro",#N/A,FALSE,"Tran"}</definedName>
    <definedName name="wwwwwww" localSheetId="12" hidden="1">{"Riqfin97",#N/A,FALSE,"Tran";"Riqfinpro",#N/A,FALSE,"Tran"}</definedName>
    <definedName name="wwwwwww" localSheetId="13" hidden="1">{"Riqfin97",#N/A,FALSE,"Tran";"Riqfinpro",#N/A,FALSE,"Tran"}</definedName>
    <definedName name="wwwwwww" localSheetId="18" hidden="1">{"Riqfin97",#N/A,FALSE,"Tran";"Riqfinpro",#N/A,FALSE,"Tran"}</definedName>
    <definedName name="wwwwwww" localSheetId="19" hidden="1">{"Riqfin97",#N/A,FALSE,"Tran";"Riqfinpro",#N/A,FALSE,"Tran"}</definedName>
    <definedName name="wwwwwww" localSheetId="2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10" hidden="1">{"Tab1",#N/A,FALSE,"P";"Tab2",#N/A,FALSE,"P"}</definedName>
    <definedName name="wwwwwwww" localSheetId="11" hidden="1">{"Tab1",#N/A,FALSE,"P";"Tab2",#N/A,FALSE,"P"}</definedName>
    <definedName name="wwwwwwww" localSheetId="12" hidden="1">{"Tab1",#N/A,FALSE,"P";"Tab2",#N/A,FALSE,"P"}</definedName>
    <definedName name="wwwwwwww" localSheetId="13" hidden="1">{"Tab1",#N/A,FALSE,"P";"Tab2",#N/A,FALSE,"P"}</definedName>
    <definedName name="wwwwwwww" localSheetId="18" hidden="1">{"Tab1",#N/A,FALSE,"P";"Tab2",#N/A,FALSE,"P"}</definedName>
    <definedName name="wwwwwwww" localSheetId="19" hidden="1">{"Tab1",#N/A,FALSE,"P";"Tab2",#N/A,FALSE,"P"}</definedName>
    <definedName name="wwwwwwww" localSheetId="2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" localSheetId="16" hidden="1">'[14]Fax a enviar'!#REF!</definedName>
    <definedName name="xx" localSheetId="10" hidden="1">{"Riqfin97",#N/A,FALSE,"Tran";"Riqfinpro",#N/A,FALSE,"Tran"}</definedName>
    <definedName name="xx" localSheetId="11" hidden="1">{"Riqfin97",#N/A,FALSE,"Tran";"Riqfinpro",#N/A,FALSE,"Tran"}</definedName>
    <definedName name="xx" localSheetId="12" hidden="1">{"Riqfin97",#N/A,FALSE,"Tran";"Riqfinpro",#N/A,FALSE,"Tran"}</definedName>
    <definedName name="xx" localSheetId="13" hidden="1">{"Riqfin97",#N/A,FALSE,"Tran";"Riqfinpro",#N/A,FALSE,"Tran"}</definedName>
    <definedName name="xx" localSheetId="18" hidden="1">{"Riqfin97",#N/A,FALSE,"Tran";"Riqfinpro",#N/A,FALSE,"Tran"}</definedName>
    <definedName name="xx" localSheetId="19" hidden="1">{"Riqfin97",#N/A,FALSE,"Tran";"Riqfinpro",#N/A,FALSE,"Tran"}</definedName>
    <definedName name="xx" localSheetId="2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WRS_1">'[1]shared data'!$A$1:$A$77</definedName>
    <definedName name="xxxx" localSheetId="10" hidden="1">{"Riqfin97",#N/A,FALSE,"Tran";"Riqfinpro",#N/A,FALSE,"Tran"}</definedName>
    <definedName name="xxxx" localSheetId="11" hidden="1">{"Riqfin97",#N/A,FALSE,"Tran";"Riqfinpro",#N/A,FALSE,"Tran"}</definedName>
    <definedName name="xxxx" localSheetId="12" hidden="1">{"Riqfin97",#N/A,FALSE,"Tran";"Riqfinpro",#N/A,FALSE,"Tran"}</definedName>
    <definedName name="xxxx" localSheetId="13" hidden="1">{"Riqfin97",#N/A,FALSE,"Tran";"Riqfinpro",#N/A,FALSE,"Tran"}</definedName>
    <definedName name="xxxx" localSheetId="18" hidden="1">{"Riqfin97",#N/A,FALSE,"Tran";"Riqfinpro",#N/A,FALSE,"Tran"}</definedName>
    <definedName name="xxxx" localSheetId="19" hidden="1">{"Riqfin97",#N/A,FALSE,"Tran";"Riqfinpro",#N/A,FALSE,"Tran"}</definedName>
    <definedName name="xxxx" localSheetId="2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10" hidden="1">{"Riqfin97",#N/A,FALSE,"Tran";"Riqfinpro",#N/A,FALSE,"Tran"}</definedName>
    <definedName name="xxxxxxxxxxxxxx" localSheetId="11" hidden="1">{"Riqfin97",#N/A,FALSE,"Tran";"Riqfinpro",#N/A,FALSE,"Tran"}</definedName>
    <definedName name="xxxxxxxxxxxxxx" localSheetId="12" hidden="1">{"Riqfin97",#N/A,FALSE,"Tran";"Riqfinpro",#N/A,FALSE,"Tran"}</definedName>
    <definedName name="xxxxxxxxxxxxxx" localSheetId="13" hidden="1">{"Riqfin97",#N/A,FALSE,"Tran";"Riqfinpro",#N/A,FALSE,"Tran"}</definedName>
    <definedName name="xxxxxxxxxxxxxx" localSheetId="18" hidden="1">{"Riqfin97",#N/A,FALSE,"Tran";"Riqfinpro",#N/A,FALSE,"Tran"}</definedName>
    <definedName name="xxxxxxxxxxxxxx" localSheetId="19" hidden="1">{"Riqfin97",#N/A,FALSE,"Tran";"Riqfinpro",#N/A,FALSE,"Tran"}</definedName>
    <definedName name="xxxxxxxxxxxxxx" localSheetId="2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10" hidden="1">{"Tab1",#N/A,FALSE,"P";"Tab2",#N/A,FALSE,"P"}</definedName>
    <definedName name="yu" localSheetId="11" hidden="1">{"Tab1",#N/A,FALSE,"P";"Tab2",#N/A,FALSE,"P"}</definedName>
    <definedName name="yu" localSheetId="12" hidden="1">{"Tab1",#N/A,FALSE,"P";"Tab2",#N/A,FALSE,"P"}</definedName>
    <definedName name="yu" localSheetId="13" hidden="1">{"Tab1",#N/A,FALSE,"P";"Tab2",#N/A,FALSE,"P"}</definedName>
    <definedName name="yu" localSheetId="18" hidden="1">{"Tab1",#N/A,FALSE,"P";"Tab2",#N/A,FALSE,"P"}</definedName>
    <definedName name="yu" localSheetId="19" hidden="1">{"Tab1",#N/A,FALSE,"P";"Tab2",#N/A,FALSE,"P"}</definedName>
    <definedName name="yu" localSheetId="2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" localSheetId="10" hidden="1">{"Tab1",#N/A,FALSE,"P";"Tab2",#N/A,FALSE,"P"}</definedName>
    <definedName name="yy" localSheetId="11" hidden="1">{"Tab1",#N/A,FALSE,"P";"Tab2",#N/A,FALSE,"P"}</definedName>
    <definedName name="yy" localSheetId="12" hidden="1">{"Tab1",#N/A,FALSE,"P";"Tab2",#N/A,FALSE,"P"}</definedName>
    <definedName name="yy" localSheetId="13" hidden="1">{"Tab1",#N/A,FALSE,"P";"Tab2",#N/A,FALSE,"P"}</definedName>
    <definedName name="yy" localSheetId="18" hidden="1">{"Tab1",#N/A,FALSE,"P";"Tab2",#N/A,FALSE,"P"}</definedName>
    <definedName name="yy" localSheetId="19" hidden="1">{"Tab1",#N/A,FALSE,"P";"Tab2",#N/A,FALSE,"P"}</definedName>
    <definedName name="yy" localSheetId="2" hidden="1">{"Tab1",#N/A,FALSE,"P";"Tab2",#N/A,FALSE,"P"}</definedName>
    <definedName name="yy" localSheetId="9" hidden="1">{"Tab1",#N/A,FALSE,"P";"Tab2",#N/A,FALSE,"P"}</definedName>
    <definedName name="yy" hidden="1">{"Tab1",#N/A,FALSE,"P";"Tab2",#N/A,FALSE,"P"}</definedName>
    <definedName name="yyy" localSheetId="10" hidden="1">{"Tab1",#N/A,FALSE,"P";"Tab2",#N/A,FALSE,"P"}</definedName>
    <definedName name="yyy" localSheetId="11" hidden="1">{"Tab1",#N/A,FALSE,"P";"Tab2",#N/A,FALSE,"P"}</definedName>
    <definedName name="yyy" localSheetId="12" hidden="1">{"Tab1",#N/A,FALSE,"P";"Tab2",#N/A,FALSE,"P"}</definedName>
    <definedName name="yyy" localSheetId="13" hidden="1">{"Tab1",#N/A,FALSE,"P";"Tab2",#N/A,FALSE,"P"}</definedName>
    <definedName name="yyy" localSheetId="18" hidden="1">{"Tab1",#N/A,FALSE,"P";"Tab2",#N/A,FALSE,"P"}</definedName>
    <definedName name="yyy" localSheetId="19" hidden="1">{"Tab1",#N/A,FALSE,"P";"Tab2",#N/A,FALSE,"P"}</definedName>
    <definedName name="yyy" localSheetId="2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10" hidden="1">{"Tab1",#N/A,FALSE,"P";"Tab2",#N/A,FALSE,"P"}</definedName>
    <definedName name="yyyy" localSheetId="11" hidden="1">{"Tab1",#N/A,FALSE,"P";"Tab2",#N/A,FALSE,"P"}</definedName>
    <definedName name="yyyy" localSheetId="12" hidden="1">{"Tab1",#N/A,FALSE,"P";"Tab2",#N/A,FALSE,"P"}</definedName>
    <definedName name="yyyy" localSheetId="13" hidden="1">{"Tab1",#N/A,FALSE,"P";"Tab2",#N/A,FALSE,"P"}</definedName>
    <definedName name="yyyy" localSheetId="18" hidden="1">{"Tab1",#N/A,FALSE,"P";"Tab2",#N/A,FALSE,"P"}</definedName>
    <definedName name="yyyy" localSheetId="19" hidden="1">{"Tab1",#N/A,FALSE,"P";"Tab2",#N/A,FALSE,"P"}</definedName>
    <definedName name="yyyy" localSheetId="2" hidden="1">{"Tab1",#N/A,FALSE,"P";"Tab2",#N/A,FALSE,"P"}</definedName>
    <definedName name="yyyy" localSheetId="9" hidden="1">{"Tab1",#N/A,FALSE,"P";"Tab2",#N/A,FALSE,"P"}</definedName>
    <definedName name="yyyy" hidden="1">{"Tab1",#N/A,FALSE,"P";"Tab2",#N/A,FALSE,"P"}</definedName>
    <definedName name="yyyyyy" localSheetId="10" hidden="1">{"Minpmon",#N/A,FALSE,"Monthinput"}</definedName>
    <definedName name="yyyyyy" localSheetId="11" hidden="1">{"Minpmon",#N/A,FALSE,"Monthinput"}</definedName>
    <definedName name="yyyyyy" localSheetId="12" hidden="1">{"Minpmon",#N/A,FALSE,"Monthinput"}</definedName>
    <definedName name="yyyyyy" localSheetId="13" hidden="1">{"Minpmon",#N/A,FALSE,"Monthinput"}</definedName>
    <definedName name="yyyyyy" localSheetId="18" hidden="1">{"Minpmon",#N/A,FALSE,"Monthinput"}</definedName>
    <definedName name="yyyyyy" localSheetId="19" hidden="1">{"Minpmon",#N/A,FALSE,"Monthinput"}</definedName>
    <definedName name="yyyyyy" localSheetId="2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10" hidden="1">#REF!,#REF!,#REF!</definedName>
    <definedName name="Z_1A8C061B_2301_11D3_BFD1_000039E37209_.wvu.Cols" localSheetId="11" hidden="1">#REF!,#REF!,#REF!</definedName>
    <definedName name="Z_1A8C061B_2301_11D3_BFD1_000039E37209_.wvu.Cols" localSheetId="12" hidden="1">#REF!,#REF!,#REF!</definedName>
    <definedName name="Z_1A8C061B_2301_11D3_BFD1_000039E37209_.wvu.Cols" localSheetId="13" hidden="1">#REF!,#REF!,#REF!</definedName>
    <definedName name="Z_1A8C061B_2301_11D3_BFD1_000039E37209_.wvu.Cols" localSheetId="14" hidden="1">#REF!,#REF!,#REF!</definedName>
    <definedName name="Z_1A8C061B_2301_11D3_BFD1_000039E37209_.wvu.Cols" localSheetId="15" hidden="1">#REF!,#REF!,#REF!</definedName>
    <definedName name="Z_1A8C061B_2301_11D3_BFD1_000039E37209_.wvu.Cols" localSheetId="18" hidden="1">#REF!,#REF!,#REF!</definedName>
    <definedName name="Z_1A8C061B_2301_11D3_BFD1_000039E37209_.wvu.Cols" localSheetId="19" hidden="1">#REF!,#REF!,#REF!</definedName>
    <definedName name="Z_1A8C061B_2301_11D3_BFD1_000039E37209_.wvu.Cols" localSheetId="2" hidden="1">#REF!,#REF!,#REF!</definedName>
    <definedName name="Z_1A8C061B_2301_11D3_BFD1_000039E37209_.wvu.Cols" localSheetId="5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10" hidden="1">#REF!,#REF!,#REF!</definedName>
    <definedName name="Z_1A8C061B_2301_11D3_BFD1_000039E37209_.wvu.Rows" localSheetId="11" hidden="1">#REF!,#REF!,#REF!</definedName>
    <definedName name="Z_1A8C061B_2301_11D3_BFD1_000039E37209_.wvu.Rows" localSheetId="12" hidden="1">#REF!,#REF!,#REF!</definedName>
    <definedName name="Z_1A8C061B_2301_11D3_BFD1_000039E37209_.wvu.Rows" localSheetId="13" hidden="1">#REF!,#REF!,#REF!</definedName>
    <definedName name="Z_1A8C061B_2301_11D3_BFD1_000039E37209_.wvu.Rows" localSheetId="14" hidden="1">#REF!,#REF!,#REF!</definedName>
    <definedName name="Z_1A8C061B_2301_11D3_BFD1_000039E37209_.wvu.Rows" localSheetId="15" hidden="1">#REF!,#REF!,#REF!</definedName>
    <definedName name="Z_1A8C061B_2301_11D3_BFD1_000039E37209_.wvu.Rows" localSheetId="18" hidden="1">#REF!,#REF!,#REF!</definedName>
    <definedName name="Z_1A8C061B_2301_11D3_BFD1_000039E37209_.wvu.Rows" localSheetId="19" hidden="1">#REF!,#REF!,#REF!</definedName>
    <definedName name="Z_1A8C061B_2301_11D3_BFD1_000039E37209_.wvu.Rows" localSheetId="2" hidden="1">#REF!,#REF!,#REF!</definedName>
    <definedName name="Z_1A8C061B_2301_11D3_BFD1_000039E37209_.wvu.Rows" localSheetId="5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10" hidden="1">#REF!,#REF!,#REF!</definedName>
    <definedName name="Z_1A8C061C_2301_11D3_BFD1_000039E37209_.wvu.Cols" localSheetId="11" hidden="1">#REF!,#REF!,#REF!</definedName>
    <definedName name="Z_1A8C061C_2301_11D3_BFD1_000039E37209_.wvu.Cols" localSheetId="12" hidden="1">#REF!,#REF!,#REF!</definedName>
    <definedName name="Z_1A8C061C_2301_11D3_BFD1_000039E37209_.wvu.Cols" localSheetId="13" hidden="1">#REF!,#REF!,#REF!</definedName>
    <definedName name="Z_1A8C061C_2301_11D3_BFD1_000039E37209_.wvu.Cols" localSheetId="14" hidden="1">#REF!,#REF!,#REF!</definedName>
    <definedName name="Z_1A8C061C_2301_11D3_BFD1_000039E37209_.wvu.Cols" localSheetId="15" hidden="1">#REF!,#REF!,#REF!</definedName>
    <definedName name="Z_1A8C061C_2301_11D3_BFD1_000039E37209_.wvu.Cols" localSheetId="18" hidden="1">#REF!,#REF!,#REF!</definedName>
    <definedName name="Z_1A8C061C_2301_11D3_BFD1_000039E37209_.wvu.Cols" localSheetId="19" hidden="1">#REF!,#REF!,#REF!</definedName>
    <definedName name="Z_1A8C061C_2301_11D3_BFD1_000039E37209_.wvu.Cols" localSheetId="2" hidden="1">#REF!,#REF!,#REF!</definedName>
    <definedName name="Z_1A8C061C_2301_11D3_BFD1_000039E37209_.wvu.Cols" localSheetId="5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10" hidden="1">#REF!,#REF!,#REF!</definedName>
    <definedName name="Z_1A8C061C_2301_11D3_BFD1_000039E37209_.wvu.Rows" localSheetId="11" hidden="1">#REF!,#REF!,#REF!</definedName>
    <definedName name="Z_1A8C061C_2301_11D3_BFD1_000039E37209_.wvu.Rows" localSheetId="12" hidden="1">#REF!,#REF!,#REF!</definedName>
    <definedName name="Z_1A8C061C_2301_11D3_BFD1_000039E37209_.wvu.Rows" localSheetId="13" hidden="1">#REF!,#REF!,#REF!</definedName>
    <definedName name="Z_1A8C061C_2301_11D3_BFD1_000039E37209_.wvu.Rows" localSheetId="14" hidden="1">#REF!,#REF!,#REF!</definedName>
    <definedName name="Z_1A8C061C_2301_11D3_BFD1_000039E37209_.wvu.Rows" localSheetId="15" hidden="1">#REF!,#REF!,#REF!</definedName>
    <definedName name="Z_1A8C061C_2301_11D3_BFD1_000039E37209_.wvu.Rows" localSheetId="18" hidden="1">#REF!,#REF!,#REF!</definedName>
    <definedName name="Z_1A8C061C_2301_11D3_BFD1_000039E37209_.wvu.Rows" localSheetId="19" hidden="1">#REF!,#REF!,#REF!</definedName>
    <definedName name="Z_1A8C061C_2301_11D3_BFD1_000039E37209_.wvu.Rows" localSheetId="5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10" hidden="1">#REF!,#REF!,#REF!</definedName>
    <definedName name="Z_1A8C061E_2301_11D3_BFD1_000039E37209_.wvu.Cols" localSheetId="11" hidden="1">#REF!,#REF!,#REF!</definedName>
    <definedName name="Z_1A8C061E_2301_11D3_BFD1_000039E37209_.wvu.Cols" localSheetId="12" hidden="1">#REF!,#REF!,#REF!</definedName>
    <definedName name="Z_1A8C061E_2301_11D3_BFD1_000039E37209_.wvu.Cols" localSheetId="13" hidden="1">#REF!,#REF!,#REF!</definedName>
    <definedName name="Z_1A8C061E_2301_11D3_BFD1_000039E37209_.wvu.Cols" localSheetId="14" hidden="1">#REF!,#REF!,#REF!</definedName>
    <definedName name="Z_1A8C061E_2301_11D3_BFD1_000039E37209_.wvu.Cols" localSheetId="15" hidden="1">#REF!,#REF!,#REF!</definedName>
    <definedName name="Z_1A8C061E_2301_11D3_BFD1_000039E37209_.wvu.Cols" localSheetId="18" hidden="1">#REF!,#REF!,#REF!</definedName>
    <definedName name="Z_1A8C061E_2301_11D3_BFD1_000039E37209_.wvu.Cols" localSheetId="19" hidden="1">#REF!,#REF!,#REF!</definedName>
    <definedName name="Z_1A8C061E_2301_11D3_BFD1_000039E37209_.wvu.Cols" localSheetId="5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10" hidden="1">#REF!,#REF!,#REF!</definedName>
    <definedName name="Z_1A8C061E_2301_11D3_BFD1_000039E37209_.wvu.Rows" localSheetId="11" hidden="1">#REF!,#REF!,#REF!</definedName>
    <definedName name="Z_1A8C061E_2301_11D3_BFD1_000039E37209_.wvu.Rows" localSheetId="12" hidden="1">#REF!,#REF!,#REF!</definedName>
    <definedName name="Z_1A8C061E_2301_11D3_BFD1_000039E37209_.wvu.Rows" localSheetId="13" hidden="1">#REF!,#REF!,#REF!</definedName>
    <definedName name="Z_1A8C061E_2301_11D3_BFD1_000039E37209_.wvu.Rows" localSheetId="14" hidden="1">#REF!,#REF!,#REF!</definedName>
    <definedName name="Z_1A8C061E_2301_11D3_BFD1_000039E37209_.wvu.Rows" localSheetId="15" hidden="1">#REF!,#REF!,#REF!</definedName>
    <definedName name="Z_1A8C061E_2301_11D3_BFD1_000039E37209_.wvu.Rows" localSheetId="18" hidden="1">#REF!,#REF!,#REF!</definedName>
    <definedName name="Z_1A8C061E_2301_11D3_BFD1_000039E37209_.wvu.Rows" localSheetId="19" hidden="1">#REF!,#REF!,#REF!</definedName>
    <definedName name="Z_1A8C061E_2301_11D3_BFD1_000039E37209_.wvu.Rows" localSheetId="5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10" hidden="1">#REF!,#REF!,#REF!</definedName>
    <definedName name="Z_1A8C061F_2301_11D3_BFD1_000039E37209_.wvu.Cols" localSheetId="11" hidden="1">#REF!,#REF!,#REF!</definedName>
    <definedName name="Z_1A8C061F_2301_11D3_BFD1_000039E37209_.wvu.Cols" localSheetId="12" hidden="1">#REF!,#REF!,#REF!</definedName>
    <definedName name="Z_1A8C061F_2301_11D3_BFD1_000039E37209_.wvu.Cols" localSheetId="13" hidden="1">#REF!,#REF!,#REF!</definedName>
    <definedName name="Z_1A8C061F_2301_11D3_BFD1_000039E37209_.wvu.Cols" localSheetId="14" hidden="1">#REF!,#REF!,#REF!</definedName>
    <definedName name="Z_1A8C061F_2301_11D3_BFD1_000039E37209_.wvu.Cols" localSheetId="15" hidden="1">#REF!,#REF!,#REF!</definedName>
    <definedName name="Z_1A8C061F_2301_11D3_BFD1_000039E37209_.wvu.Cols" localSheetId="18" hidden="1">#REF!,#REF!,#REF!</definedName>
    <definedName name="Z_1A8C061F_2301_11D3_BFD1_000039E37209_.wvu.Cols" localSheetId="19" hidden="1">#REF!,#REF!,#REF!</definedName>
    <definedName name="Z_1A8C061F_2301_11D3_BFD1_000039E37209_.wvu.Cols" localSheetId="5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10" hidden="1">#REF!,#REF!,#REF!</definedName>
    <definedName name="Z_1A8C061F_2301_11D3_BFD1_000039E37209_.wvu.Rows" localSheetId="11" hidden="1">#REF!,#REF!,#REF!</definedName>
    <definedName name="Z_1A8C061F_2301_11D3_BFD1_000039E37209_.wvu.Rows" localSheetId="12" hidden="1">#REF!,#REF!,#REF!</definedName>
    <definedName name="Z_1A8C061F_2301_11D3_BFD1_000039E37209_.wvu.Rows" localSheetId="13" hidden="1">#REF!,#REF!,#REF!</definedName>
    <definedName name="Z_1A8C061F_2301_11D3_BFD1_000039E37209_.wvu.Rows" localSheetId="14" hidden="1">#REF!,#REF!,#REF!</definedName>
    <definedName name="Z_1A8C061F_2301_11D3_BFD1_000039E37209_.wvu.Rows" localSheetId="15" hidden="1">#REF!,#REF!,#REF!</definedName>
    <definedName name="Z_1A8C061F_2301_11D3_BFD1_000039E37209_.wvu.Rows" localSheetId="18" hidden="1">#REF!,#REF!,#REF!</definedName>
    <definedName name="Z_1A8C061F_2301_11D3_BFD1_000039E37209_.wvu.Rows" localSheetId="19" hidden="1">#REF!,#REF!,#REF!</definedName>
    <definedName name="Z_1A8C061F_2301_11D3_BFD1_000039E37209_.wvu.Rows" localSheetId="5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10" hidden="1">#REF!</definedName>
    <definedName name="Z_95224721_0485_11D4_BFD1_00508B5F4DA4_.wvu.Cols" localSheetId="11" hidden="1">#REF!</definedName>
    <definedName name="Z_95224721_0485_11D4_BFD1_00508B5F4DA4_.wvu.Cols" localSheetId="12" hidden="1">#REF!</definedName>
    <definedName name="Z_95224721_0485_11D4_BFD1_00508B5F4DA4_.wvu.Cols" localSheetId="13" hidden="1">#REF!</definedName>
    <definedName name="Z_95224721_0485_11D4_BFD1_00508B5F4DA4_.wvu.Cols" localSheetId="14" hidden="1">#REF!</definedName>
    <definedName name="Z_95224721_0485_11D4_BFD1_00508B5F4DA4_.wvu.Cols" localSheetId="15" hidden="1">#REF!</definedName>
    <definedName name="Z_95224721_0485_11D4_BFD1_00508B5F4DA4_.wvu.Cols" localSheetId="18" hidden="1">#REF!</definedName>
    <definedName name="Z_95224721_0485_11D4_BFD1_00508B5F4DA4_.wvu.Cols" localSheetId="19" hidden="1">#REF!</definedName>
    <definedName name="Z_95224721_0485_11D4_BFD1_00508B5F4DA4_.wvu.Cols" localSheetId="2" hidden="1">#REF!</definedName>
    <definedName name="Z_95224721_0485_11D4_BFD1_00508B5F4DA4_.wvu.Cols" localSheetId="5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10" hidden="1">{"Riqfin97",#N/A,FALSE,"Tran";"Riqfinpro",#N/A,FALSE,"Tran"}</definedName>
    <definedName name="zc" localSheetId="11" hidden="1">{"Riqfin97",#N/A,FALSE,"Tran";"Riqfinpro",#N/A,FALSE,"Tran"}</definedName>
    <definedName name="zc" localSheetId="12" hidden="1">{"Riqfin97",#N/A,FALSE,"Tran";"Riqfinpro",#N/A,FALSE,"Tran"}</definedName>
    <definedName name="zc" localSheetId="13" hidden="1">{"Riqfin97",#N/A,FALSE,"Tran";"Riqfinpro",#N/A,FALSE,"Tran"}</definedName>
    <definedName name="zc" localSheetId="18" hidden="1">{"Riqfin97",#N/A,FALSE,"Tran";"Riqfinpro",#N/A,FALSE,"Tran"}</definedName>
    <definedName name="zc" localSheetId="19" hidden="1">{"Riqfin97",#N/A,FALSE,"Tran";"Riqfinpro",#N/A,FALSE,"Tran"}</definedName>
    <definedName name="zc" localSheetId="2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10" hidden="1">{"Tab1",#N/A,FALSE,"P";"Tab2",#N/A,FALSE,"P"}</definedName>
    <definedName name="zio" localSheetId="11" hidden="1">{"Tab1",#N/A,FALSE,"P";"Tab2",#N/A,FALSE,"P"}</definedName>
    <definedName name="zio" localSheetId="12" hidden="1">{"Tab1",#N/A,FALSE,"P";"Tab2",#N/A,FALSE,"P"}</definedName>
    <definedName name="zio" localSheetId="13" hidden="1">{"Tab1",#N/A,FALSE,"P";"Tab2",#N/A,FALSE,"P"}</definedName>
    <definedName name="zio" localSheetId="18" hidden="1">{"Tab1",#N/A,FALSE,"P";"Tab2",#N/A,FALSE,"P"}</definedName>
    <definedName name="zio" localSheetId="19" hidden="1">{"Tab1",#N/A,FALSE,"P";"Tab2",#N/A,FALSE,"P"}</definedName>
    <definedName name="zio" localSheetId="2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3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2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10" hidden="1">{"Tab1",#N/A,FALSE,"P";"Tab2",#N/A,FALSE,"P"}</definedName>
    <definedName name="zv" localSheetId="11" hidden="1">{"Tab1",#N/A,FALSE,"P";"Tab2",#N/A,FALSE,"P"}</definedName>
    <definedName name="zv" localSheetId="12" hidden="1">{"Tab1",#N/A,FALSE,"P";"Tab2",#N/A,FALSE,"P"}</definedName>
    <definedName name="zv" localSheetId="13" hidden="1">{"Tab1",#N/A,FALSE,"P";"Tab2",#N/A,FALSE,"P"}</definedName>
    <definedName name="zv" localSheetId="18" hidden="1">{"Tab1",#N/A,FALSE,"P";"Tab2",#N/A,FALSE,"P"}</definedName>
    <definedName name="zv" localSheetId="19" hidden="1">{"Tab1",#N/A,FALSE,"P";"Tab2",#N/A,FALSE,"P"}</definedName>
    <definedName name="zv" localSheetId="2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10" hidden="1">{"Tab1",#N/A,FALSE,"P";"Tab2",#N/A,FALSE,"P"}</definedName>
    <definedName name="zx" localSheetId="11" hidden="1">{"Tab1",#N/A,FALSE,"P";"Tab2",#N/A,FALSE,"P"}</definedName>
    <definedName name="zx" localSheetId="12" hidden="1">{"Tab1",#N/A,FALSE,"P";"Tab2",#N/A,FALSE,"P"}</definedName>
    <definedName name="zx" localSheetId="13" hidden="1">{"Tab1",#N/A,FALSE,"P";"Tab2",#N/A,FALSE,"P"}</definedName>
    <definedName name="zx" localSheetId="18" hidden="1">{"Tab1",#N/A,FALSE,"P";"Tab2",#N/A,FALSE,"P"}</definedName>
    <definedName name="zx" localSheetId="19" hidden="1">{"Tab1",#N/A,FALSE,"P";"Tab2",#N/A,FALSE,"P"}</definedName>
    <definedName name="zx" localSheetId="2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10" hidden="1">{"Tab1",#N/A,FALSE,"P";"Tab2",#N/A,FALSE,"P"}</definedName>
    <definedName name="zz" localSheetId="11" hidden="1">{"Tab1",#N/A,FALSE,"P";"Tab2",#N/A,FALSE,"P"}</definedName>
    <definedName name="zz" localSheetId="12" hidden="1">{"Tab1",#N/A,FALSE,"P";"Tab2",#N/A,FALSE,"P"}</definedName>
    <definedName name="zz" localSheetId="13" hidden="1">{"Tab1",#N/A,FALSE,"P";"Tab2",#N/A,FALSE,"P"}</definedName>
    <definedName name="zz" localSheetId="18" hidden="1">{"Tab1",#N/A,FALSE,"P";"Tab2",#N/A,FALSE,"P"}</definedName>
    <definedName name="zz" localSheetId="19" hidden="1">{"Tab1",#N/A,FALSE,"P";"Tab2",#N/A,FALSE,"P"}</definedName>
    <definedName name="zz" localSheetId="2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10" hidden="1">{"Tab1",#N/A,FALSE,"P";"Tab2",#N/A,FALSE,"P"}</definedName>
    <definedName name="zzzz" localSheetId="11" hidden="1">{"Tab1",#N/A,FALSE,"P";"Tab2",#N/A,FALSE,"P"}</definedName>
    <definedName name="zzzz" localSheetId="12" hidden="1">{"Tab1",#N/A,FALSE,"P";"Tab2",#N/A,FALSE,"P"}</definedName>
    <definedName name="zzzz" localSheetId="13" hidden="1">{"Tab1",#N/A,FALSE,"P";"Tab2",#N/A,FALSE,"P"}</definedName>
    <definedName name="zzzz" localSheetId="18" hidden="1">{"Tab1",#N/A,FALSE,"P";"Tab2",#N/A,FALSE,"P"}</definedName>
    <definedName name="zzzz" localSheetId="19" hidden="1">{"Tab1",#N/A,FALSE,"P";"Tab2",#N/A,FALSE,"P"}</definedName>
    <definedName name="zzzz" localSheetId="2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41" l="1"/>
  <c r="G8" i="41"/>
  <c r="F8" i="41"/>
  <c r="H8" i="40"/>
  <c r="G8" i="40"/>
  <c r="F8" i="40"/>
  <c r="F7" i="40"/>
  <c r="G140" i="39"/>
  <c r="H140" i="39"/>
  <c r="H139" i="39"/>
  <c r="G8" i="39"/>
  <c r="F8" i="39"/>
  <c r="G7" i="39"/>
  <c r="F7" i="39"/>
  <c r="H8" i="38"/>
  <c r="G8" i="38"/>
  <c r="G7" i="38"/>
  <c r="F8" i="38"/>
  <c r="F7" i="38"/>
  <c r="F9" i="38" l="1"/>
  <c r="G9" i="38"/>
  <c r="N12" i="43" l="1"/>
  <c r="L12" i="43"/>
  <c r="J12" i="43"/>
  <c r="H12" i="43"/>
  <c r="F12" i="43"/>
  <c r="D12" i="43"/>
  <c r="E280" i="10" l="1"/>
  <c r="D281" i="10"/>
  <c r="D280" i="10"/>
  <c r="D166" i="7"/>
  <c r="D165" i="7"/>
  <c r="H518" i="28"/>
  <c r="H517" i="28"/>
  <c r="H516" i="28"/>
  <c r="H515" i="28"/>
  <c r="I526" i="28"/>
  <c r="I525" i="28"/>
  <c r="I524" i="28"/>
  <c r="I523" i="28"/>
  <c r="I522" i="28"/>
  <c r="I521" i="28"/>
  <c r="I520" i="28"/>
  <c r="I519" i="28"/>
  <c r="I518" i="28"/>
  <c r="I517" i="28"/>
  <c r="I516" i="28"/>
  <c r="I515" i="28"/>
  <c r="H520" i="28"/>
  <c r="H519" i="28"/>
  <c r="G516" i="28"/>
  <c r="G517" i="28"/>
  <c r="G518" i="28"/>
  <c r="G519" i="28"/>
  <c r="G520" i="28"/>
  <c r="G521" i="28"/>
  <c r="G522" i="28"/>
  <c r="G523" i="28"/>
  <c r="G524" i="28"/>
  <c r="G525" i="28"/>
  <c r="G526" i="28"/>
  <c r="G515" i="28"/>
  <c r="H526" i="28"/>
  <c r="F526" i="28"/>
  <c r="H525" i="28"/>
  <c r="F525" i="28"/>
  <c r="H524" i="28"/>
  <c r="F524" i="28"/>
  <c r="H523" i="28"/>
  <c r="F523" i="28"/>
  <c r="H522" i="28"/>
  <c r="F522" i="28"/>
  <c r="H521" i="28"/>
  <c r="F521" i="28"/>
  <c r="F520" i="28"/>
  <c r="F519" i="28"/>
  <c r="F518" i="28"/>
  <c r="F517" i="28"/>
  <c r="F516" i="28"/>
  <c r="F515" i="28"/>
  <c r="G140" i="41" l="1"/>
  <c r="F140" i="41"/>
  <c r="G139" i="41"/>
  <c r="F139" i="41"/>
  <c r="G138" i="41"/>
  <c r="F138" i="41"/>
  <c r="G137" i="41"/>
  <c r="F137" i="41"/>
  <c r="G136" i="41"/>
  <c r="F136" i="41"/>
  <c r="G135" i="41"/>
  <c r="F135" i="41"/>
  <c r="G134" i="41"/>
  <c r="F134" i="41"/>
  <c r="G133" i="41"/>
  <c r="F133" i="41"/>
  <c r="G132" i="41"/>
  <c r="F132" i="41"/>
  <c r="G131" i="41"/>
  <c r="F131" i="41"/>
  <c r="G130" i="41"/>
  <c r="F130" i="41"/>
  <c r="G129" i="41"/>
  <c r="F129" i="41"/>
  <c r="G128" i="41"/>
  <c r="F128" i="41"/>
  <c r="G127" i="41"/>
  <c r="F127" i="41"/>
  <c r="G126" i="41"/>
  <c r="F126" i="41"/>
  <c r="G125" i="41"/>
  <c r="F125" i="41"/>
  <c r="G124" i="41"/>
  <c r="F124" i="41"/>
  <c r="G123" i="41"/>
  <c r="F123" i="41"/>
  <c r="G122" i="41"/>
  <c r="F122" i="41"/>
  <c r="G121" i="41"/>
  <c r="F121" i="41"/>
  <c r="G120" i="41"/>
  <c r="F120" i="41"/>
  <c r="G119" i="41"/>
  <c r="F119" i="41"/>
  <c r="G118" i="41"/>
  <c r="F118" i="41"/>
  <c r="G117" i="41"/>
  <c r="F117" i="41"/>
  <c r="G116" i="41"/>
  <c r="F116" i="41"/>
  <c r="G115" i="41"/>
  <c r="F115" i="41"/>
  <c r="G114" i="41"/>
  <c r="F114" i="41"/>
  <c r="G113" i="41"/>
  <c r="F113" i="41"/>
  <c r="G112" i="41"/>
  <c r="F112" i="41"/>
  <c r="G111" i="41"/>
  <c r="F111" i="41"/>
  <c r="G110" i="41"/>
  <c r="F110" i="41"/>
  <c r="G109" i="41"/>
  <c r="F109" i="41"/>
  <c r="G108" i="41"/>
  <c r="F108" i="41"/>
  <c r="G107" i="41"/>
  <c r="F107" i="41"/>
  <c r="G106" i="41"/>
  <c r="F106" i="41"/>
  <c r="G105" i="41"/>
  <c r="F105" i="41"/>
  <c r="G104" i="41"/>
  <c r="F104" i="41"/>
  <c r="G103" i="41"/>
  <c r="F103" i="41"/>
  <c r="G102" i="41"/>
  <c r="F102" i="41"/>
  <c r="G101" i="41"/>
  <c r="F101" i="41"/>
  <c r="G100" i="41"/>
  <c r="F100" i="41"/>
  <c r="G99" i="41"/>
  <c r="F99" i="41"/>
  <c r="G98" i="41"/>
  <c r="F98" i="41"/>
  <c r="G97" i="41"/>
  <c r="F97" i="41"/>
  <c r="G96" i="41"/>
  <c r="F96" i="41"/>
  <c r="G95" i="41"/>
  <c r="F95" i="41"/>
  <c r="G94" i="41"/>
  <c r="F94" i="41"/>
  <c r="G93" i="41"/>
  <c r="F93" i="41"/>
  <c r="G92" i="41"/>
  <c r="F92" i="41"/>
  <c r="G91" i="41"/>
  <c r="F91" i="41"/>
  <c r="G90" i="41"/>
  <c r="F90" i="41"/>
  <c r="G89" i="41"/>
  <c r="F89" i="41"/>
  <c r="G88" i="41"/>
  <c r="F88" i="41"/>
  <c r="G87" i="41"/>
  <c r="F87" i="41"/>
  <c r="G86" i="41"/>
  <c r="F86" i="41"/>
  <c r="G85" i="41"/>
  <c r="F85" i="41"/>
  <c r="G84" i="41"/>
  <c r="F84" i="41"/>
  <c r="G83" i="41"/>
  <c r="F83" i="41"/>
  <c r="G82" i="41"/>
  <c r="F82" i="41"/>
  <c r="G81" i="41"/>
  <c r="F81" i="41"/>
  <c r="G80" i="41"/>
  <c r="F80" i="41"/>
  <c r="G79" i="41"/>
  <c r="F79" i="41"/>
  <c r="G78" i="41"/>
  <c r="F78" i="41"/>
  <c r="G77" i="41"/>
  <c r="F77" i="41"/>
  <c r="G76" i="41"/>
  <c r="F76" i="41"/>
  <c r="G75" i="41"/>
  <c r="F75" i="41"/>
  <c r="G74" i="41"/>
  <c r="F74" i="41"/>
  <c r="G73" i="41"/>
  <c r="F73" i="41"/>
  <c r="G72" i="41"/>
  <c r="F72" i="41"/>
  <c r="G71" i="41"/>
  <c r="F71" i="41"/>
  <c r="G70" i="41"/>
  <c r="F70" i="41"/>
  <c r="G69" i="41"/>
  <c r="F69" i="41"/>
  <c r="G68" i="41"/>
  <c r="F68" i="41"/>
  <c r="G67" i="41"/>
  <c r="F67" i="41"/>
  <c r="G66" i="41"/>
  <c r="F66" i="41"/>
  <c r="G65" i="41"/>
  <c r="F65" i="41"/>
  <c r="G64" i="41"/>
  <c r="F64" i="41"/>
  <c r="G63" i="41"/>
  <c r="F63" i="41"/>
  <c r="G62" i="41"/>
  <c r="F62" i="41"/>
  <c r="G61" i="41"/>
  <c r="F61" i="41"/>
  <c r="G60" i="41"/>
  <c r="F60" i="41"/>
  <c r="G59" i="41"/>
  <c r="F59" i="41"/>
  <c r="G58" i="41"/>
  <c r="F58" i="41"/>
  <c r="G57" i="41"/>
  <c r="F57" i="41"/>
  <c r="G56" i="41"/>
  <c r="F56" i="41"/>
  <c r="G55" i="41"/>
  <c r="F55" i="41"/>
  <c r="G54" i="41"/>
  <c r="F54" i="41"/>
  <c r="G53" i="41"/>
  <c r="F53" i="41"/>
  <c r="G52" i="41"/>
  <c r="F52" i="41"/>
  <c r="G51" i="41"/>
  <c r="F51" i="41"/>
  <c r="G50" i="41"/>
  <c r="F50" i="41"/>
  <c r="G49" i="41"/>
  <c r="F49" i="41"/>
  <c r="G48" i="41"/>
  <c r="F48" i="41"/>
  <c r="G47" i="41"/>
  <c r="F47" i="41"/>
  <c r="G46" i="41"/>
  <c r="F46" i="41"/>
  <c r="G45" i="41"/>
  <c r="F45" i="41"/>
  <c r="G44" i="41"/>
  <c r="F44" i="41"/>
  <c r="G43" i="41"/>
  <c r="F43" i="41"/>
  <c r="G42" i="41"/>
  <c r="F42" i="41"/>
  <c r="G41" i="41"/>
  <c r="F41" i="41"/>
  <c r="G40" i="41"/>
  <c r="F40" i="41"/>
  <c r="G39" i="41"/>
  <c r="F39" i="41"/>
  <c r="G38" i="41"/>
  <c r="F38" i="41"/>
  <c r="G37" i="41"/>
  <c r="F37" i="41"/>
  <c r="G36" i="41"/>
  <c r="F36" i="41"/>
  <c r="G35" i="41"/>
  <c r="F35" i="41"/>
  <c r="G34" i="41"/>
  <c r="F34" i="41"/>
  <c r="G33" i="41"/>
  <c r="F33" i="41"/>
  <c r="G32" i="41"/>
  <c r="F32" i="41"/>
  <c r="G31" i="41"/>
  <c r="F31" i="41"/>
  <c r="G30" i="41"/>
  <c r="F30" i="41"/>
  <c r="G29" i="41"/>
  <c r="F29" i="41"/>
  <c r="G28" i="41"/>
  <c r="F28" i="41"/>
  <c r="G27" i="41"/>
  <c r="F27" i="41"/>
  <c r="G26" i="41"/>
  <c r="F26" i="41"/>
  <c r="F25" i="41"/>
  <c r="G24" i="41"/>
  <c r="F24" i="41"/>
  <c r="G23" i="41"/>
  <c r="F23" i="41"/>
  <c r="G22" i="41"/>
  <c r="F22" i="41"/>
  <c r="G21" i="41"/>
  <c r="F21" i="41"/>
  <c r="G20" i="41"/>
  <c r="F20" i="41"/>
  <c r="G19" i="41"/>
  <c r="F19" i="41"/>
  <c r="G18" i="41"/>
  <c r="F18" i="41"/>
  <c r="G17" i="41"/>
  <c r="F17" i="41"/>
  <c r="G16" i="41"/>
  <c r="F16" i="41"/>
  <c r="G15" i="41"/>
  <c r="F15" i="41"/>
  <c r="G14" i="41"/>
  <c r="F14" i="41"/>
  <c r="G13" i="41"/>
  <c r="F13" i="41"/>
  <c r="G12" i="41"/>
  <c r="F12" i="41"/>
  <c r="G11" i="41"/>
  <c r="F11" i="41"/>
  <c r="G10" i="41"/>
  <c r="F10" i="41"/>
  <c r="G9" i="41"/>
  <c r="F9" i="41"/>
  <c r="F7" i="41"/>
  <c r="G140" i="40"/>
  <c r="F140" i="40"/>
  <c r="G139" i="40"/>
  <c r="F139" i="40"/>
  <c r="G138" i="40"/>
  <c r="F138" i="40"/>
  <c r="G137" i="40"/>
  <c r="F137" i="40"/>
  <c r="G136" i="40"/>
  <c r="F136" i="40"/>
  <c r="G135" i="40"/>
  <c r="F135" i="40"/>
  <c r="G134" i="40"/>
  <c r="F134" i="40"/>
  <c r="G133" i="40"/>
  <c r="F133" i="40"/>
  <c r="G132" i="40"/>
  <c r="F132" i="40"/>
  <c r="G131" i="40"/>
  <c r="F131" i="40"/>
  <c r="G130" i="40"/>
  <c r="F130" i="40"/>
  <c r="G129" i="40"/>
  <c r="F129" i="40"/>
  <c r="G128" i="40"/>
  <c r="F128" i="40"/>
  <c r="G127" i="40"/>
  <c r="F127" i="40"/>
  <c r="G126" i="40"/>
  <c r="F126" i="40"/>
  <c r="G125" i="40"/>
  <c r="F125" i="40"/>
  <c r="G124" i="40"/>
  <c r="F124" i="40"/>
  <c r="G123" i="40"/>
  <c r="F123" i="40"/>
  <c r="G122" i="40"/>
  <c r="F122" i="40"/>
  <c r="G121" i="40"/>
  <c r="F121" i="40"/>
  <c r="G120" i="40"/>
  <c r="F120" i="40"/>
  <c r="G119" i="40"/>
  <c r="F119" i="40"/>
  <c r="G118" i="40"/>
  <c r="F118" i="40"/>
  <c r="G117" i="40"/>
  <c r="F117" i="40"/>
  <c r="G116" i="40"/>
  <c r="F116" i="40"/>
  <c r="G115" i="40"/>
  <c r="F115" i="40"/>
  <c r="G114" i="40"/>
  <c r="F114" i="40"/>
  <c r="G113" i="40"/>
  <c r="F113" i="40"/>
  <c r="G112" i="40"/>
  <c r="F112" i="40"/>
  <c r="G111" i="40"/>
  <c r="F111" i="40"/>
  <c r="G110" i="40"/>
  <c r="F110" i="40"/>
  <c r="G109" i="40"/>
  <c r="F109" i="40"/>
  <c r="G108" i="40"/>
  <c r="F108" i="40"/>
  <c r="G107" i="40"/>
  <c r="F107" i="40"/>
  <c r="G106" i="40"/>
  <c r="F106" i="40"/>
  <c r="G105" i="40"/>
  <c r="F105" i="40"/>
  <c r="G104" i="40"/>
  <c r="F104" i="40"/>
  <c r="G103" i="40"/>
  <c r="F103" i="40"/>
  <c r="G102" i="40"/>
  <c r="F102" i="40"/>
  <c r="G101" i="40"/>
  <c r="F101" i="40"/>
  <c r="G100" i="40"/>
  <c r="F100" i="40"/>
  <c r="G99" i="40"/>
  <c r="F99" i="40"/>
  <c r="G98" i="40"/>
  <c r="F98" i="40"/>
  <c r="G97" i="40"/>
  <c r="F97" i="40"/>
  <c r="G96" i="40"/>
  <c r="F96" i="40"/>
  <c r="G95" i="40"/>
  <c r="F95" i="40"/>
  <c r="G94" i="40"/>
  <c r="F94" i="40"/>
  <c r="G93" i="40"/>
  <c r="F93" i="40"/>
  <c r="G92" i="40"/>
  <c r="F92" i="40"/>
  <c r="G91" i="40"/>
  <c r="F91" i="40"/>
  <c r="G90" i="40"/>
  <c r="F90" i="40"/>
  <c r="G89" i="40"/>
  <c r="F89" i="40"/>
  <c r="G88" i="40"/>
  <c r="F88" i="40"/>
  <c r="G87" i="40"/>
  <c r="F87" i="40"/>
  <c r="G86" i="40"/>
  <c r="F86" i="40"/>
  <c r="G85" i="40"/>
  <c r="F85" i="40"/>
  <c r="G84" i="40"/>
  <c r="F84" i="40"/>
  <c r="G83" i="40"/>
  <c r="F83" i="40"/>
  <c r="G82" i="40"/>
  <c r="F82" i="40"/>
  <c r="G81" i="40"/>
  <c r="F81" i="40"/>
  <c r="G80" i="40"/>
  <c r="F80" i="40"/>
  <c r="G79" i="40"/>
  <c r="F79" i="40"/>
  <c r="G78" i="40"/>
  <c r="F78" i="40"/>
  <c r="G77" i="40"/>
  <c r="F77" i="40"/>
  <c r="G76" i="40"/>
  <c r="F76" i="40"/>
  <c r="G75" i="40"/>
  <c r="F75" i="40"/>
  <c r="G74" i="40"/>
  <c r="F74" i="40"/>
  <c r="G73" i="40"/>
  <c r="F73" i="40"/>
  <c r="G72" i="40"/>
  <c r="F72" i="40"/>
  <c r="G71" i="40"/>
  <c r="F71" i="40"/>
  <c r="G70" i="40"/>
  <c r="F70" i="40"/>
  <c r="G69" i="40"/>
  <c r="F69" i="40"/>
  <c r="G68" i="40"/>
  <c r="F68" i="40"/>
  <c r="G67" i="40"/>
  <c r="F67" i="40"/>
  <c r="G66" i="40"/>
  <c r="F66" i="40"/>
  <c r="G65" i="40"/>
  <c r="F65" i="40"/>
  <c r="G64" i="40"/>
  <c r="F64" i="40"/>
  <c r="G63" i="40"/>
  <c r="F63" i="40"/>
  <c r="G62" i="40"/>
  <c r="F62" i="40"/>
  <c r="G61" i="40"/>
  <c r="F61" i="40"/>
  <c r="G60" i="40"/>
  <c r="F60" i="40"/>
  <c r="G59" i="40"/>
  <c r="F59" i="40"/>
  <c r="G58" i="40"/>
  <c r="F58" i="40"/>
  <c r="G57" i="40"/>
  <c r="F57" i="40"/>
  <c r="G56" i="40"/>
  <c r="F56" i="40"/>
  <c r="G55" i="40"/>
  <c r="F55" i="40"/>
  <c r="G54" i="40"/>
  <c r="F54" i="40"/>
  <c r="G53" i="40"/>
  <c r="F53" i="40"/>
  <c r="G52" i="40"/>
  <c r="F52" i="40"/>
  <c r="G51" i="40"/>
  <c r="F51" i="40"/>
  <c r="G50" i="40"/>
  <c r="F50" i="40"/>
  <c r="G49" i="40"/>
  <c r="F49" i="40"/>
  <c r="G48" i="40"/>
  <c r="F48" i="40"/>
  <c r="G47" i="40"/>
  <c r="F47" i="40"/>
  <c r="G46" i="40"/>
  <c r="F46" i="40"/>
  <c r="G45" i="40"/>
  <c r="F45" i="40"/>
  <c r="G44" i="40"/>
  <c r="F44" i="40"/>
  <c r="G43" i="40"/>
  <c r="F43" i="40"/>
  <c r="G42" i="40"/>
  <c r="F42" i="40"/>
  <c r="G41" i="40"/>
  <c r="F41" i="40"/>
  <c r="G40" i="40"/>
  <c r="F40" i="40"/>
  <c r="G39" i="40"/>
  <c r="F39" i="40"/>
  <c r="G38" i="40"/>
  <c r="F38" i="40"/>
  <c r="G37" i="40"/>
  <c r="F37" i="40"/>
  <c r="G36" i="40"/>
  <c r="F36" i="40"/>
  <c r="G35" i="40"/>
  <c r="F35" i="40"/>
  <c r="G34" i="40"/>
  <c r="F34" i="40"/>
  <c r="G33" i="40"/>
  <c r="F33" i="40"/>
  <c r="G32" i="40"/>
  <c r="F32" i="40"/>
  <c r="G31" i="40"/>
  <c r="F31" i="40"/>
  <c r="G30" i="40"/>
  <c r="F30" i="40"/>
  <c r="G29" i="40"/>
  <c r="F29" i="40"/>
  <c r="G28" i="40"/>
  <c r="F28" i="40"/>
  <c r="G27" i="40"/>
  <c r="F27" i="40"/>
  <c r="G26" i="40"/>
  <c r="F26" i="40"/>
  <c r="G25" i="40"/>
  <c r="F25" i="40"/>
  <c r="G24" i="40"/>
  <c r="F24" i="40"/>
  <c r="G23" i="40"/>
  <c r="F23" i="40"/>
  <c r="G22" i="40"/>
  <c r="F22" i="40"/>
  <c r="G21" i="40"/>
  <c r="F21" i="40"/>
  <c r="G20" i="40"/>
  <c r="F20" i="40"/>
  <c r="G19" i="40"/>
  <c r="F19" i="40"/>
  <c r="G18" i="40"/>
  <c r="F18" i="40"/>
  <c r="G17" i="40"/>
  <c r="F17" i="40"/>
  <c r="G16" i="40"/>
  <c r="F16" i="40"/>
  <c r="G15" i="40"/>
  <c r="F15" i="40"/>
  <c r="G14" i="40"/>
  <c r="F14" i="40"/>
  <c r="G13" i="40"/>
  <c r="F13" i="40"/>
  <c r="G12" i="40"/>
  <c r="F12" i="40"/>
  <c r="G11" i="40"/>
  <c r="F11" i="40"/>
  <c r="G10" i="40"/>
  <c r="F10" i="40"/>
  <c r="G9" i="40"/>
  <c r="F9" i="40"/>
  <c r="F13" i="39"/>
  <c r="F12" i="39"/>
  <c r="F11" i="39"/>
  <c r="F10" i="39"/>
  <c r="F9" i="39"/>
  <c r="F140" i="39"/>
  <c r="G139" i="39"/>
  <c r="F139" i="39"/>
  <c r="G138" i="39"/>
  <c r="F138" i="39"/>
  <c r="G137" i="39"/>
  <c r="F137" i="39"/>
  <c r="G136" i="39"/>
  <c r="F136" i="39"/>
  <c r="G135" i="39"/>
  <c r="F135" i="39"/>
  <c r="G134" i="39"/>
  <c r="F134" i="39"/>
  <c r="G133" i="39"/>
  <c r="F133" i="39"/>
  <c r="G132" i="39"/>
  <c r="F132" i="39"/>
  <c r="G131" i="39"/>
  <c r="F131" i="39"/>
  <c r="G130" i="39"/>
  <c r="F130" i="39"/>
  <c r="G129" i="39"/>
  <c r="F129" i="39"/>
  <c r="G128" i="39"/>
  <c r="F128" i="39"/>
  <c r="G127" i="39"/>
  <c r="F127" i="39"/>
  <c r="G126" i="39"/>
  <c r="F126" i="39"/>
  <c r="G125" i="39"/>
  <c r="F125" i="39"/>
  <c r="G124" i="39"/>
  <c r="F124" i="39"/>
  <c r="G123" i="39"/>
  <c r="F123" i="39"/>
  <c r="G122" i="39"/>
  <c r="F122" i="39"/>
  <c r="G121" i="39"/>
  <c r="F121" i="39"/>
  <c r="G120" i="39"/>
  <c r="F120" i="39"/>
  <c r="G119" i="39"/>
  <c r="F119" i="39"/>
  <c r="G118" i="39"/>
  <c r="F118" i="39"/>
  <c r="G117" i="39"/>
  <c r="F117" i="39"/>
  <c r="G116" i="39"/>
  <c r="F116" i="39"/>
  <c r="G115" i="39"/>
  <c r="F115" i="39"/>
  <c r="G114" i="39"/>
  <c r="F114" i="39"/>
  <c r="G113" i="39"/>
  <c r="F113" i="39"/>
  <c r="G112" i="39"/>
  <c r="F112" i="39"/>
  <c r="G111" i="39"/>
  <c r="F111" i="39"/>
  <c r="G110" i="39"/>
  <c r="F110" i="39"/>
  <c r="G109" i="39"/>
  <c r="F109" i="39"/>
  <c r="G108" i="39"/>
  <c r="F108" i="39"/>
  <c r="G107" i="39"/>
  <c r="F107" i="39"/>
  <c r="G106" i="39"/>
  <c r="F106" i="39"/>
  <c r="G105" i="39"/>
  <c r="F105" i="39"/>
  <c r="G104" i="39"/>
  <c r="F104" i="39"/>
  <c r="G103" i="39"/>
  <c r="F103" i="39"/>
  <c r="G102" i="39"/>
  <c r="F102" i="39"/>
  <c r="G101" i="39"/>
  <c r="F101" i="39"/>
  <c r="G100" i="39"/>
  <c r="F100" i="39"/>
  <c r="G99" i="39"/>
  <c r="F99" i="39"/>
  <c r="G98" i="39"/>
  <c r="F98" i="39"/>
  <c r="G97" i="39"/>
  <c r="F97" i="39"/>
  <c r="G96" i="39"/>
  <c r="F96" i="39"/>
  <c r="G95" i="39"/>
  <c r="F95" i="39"/>
  <c r="G94" i="39"/>
  <c r="F94" i="39"/>
  <c r="G93" i="39"/>
  <c r="F93" i="39"/>
  <c r="G92" i="39"/>
  <c r="F92" i="39"/>
  <c r="G91" i="39"/>
  <c r="F91" i="39"/>
  <c r="G90" i="39"/>
  <c r="F90" i="39"/>
  <c r="G89" i="39"/>
  <c r="F89" i="39"/>
  <c r="G88" i="39"/>
  <c r="F88" i="39"/>
  <c r="G87" i="39"/>
  <c r="F87" i="39"/>
  <c r="G86" i="39"/>
  <c r="F86" i="39"/>
  <c r="G85" i="39"/>
  <c r="F85" i="39"/>
  <c r="G84" i="39"/>
  <c r="F84" i="39"/>
  <c r="G83" i="39"/>
  <c r="F83" i="39"/>
  <c r="G82" i="39"/>
  <c r="F82" i="39"/>
  <c r="G81" i="39"/>
  <c r="F81" i="39"/>
  <c r="G80" i="39"/>
  <c r="F80" i="39"/>
  <c r="G79" i="39"/>
  <c r="F79" i="39"/>
  <c r="G78" i="39"/>
  <c r="F78" i="39"/>
  <c r="G77" i="39"/>
  <c r="F77" i="39"/>
  <c r="G76" i="39"/>
  <c r="F76" i="39"/>
  <c r="G75" i="39"/>
  <c r="F75" i="39"/>
  <c r="G74" i="39"/>
  <c r="F74" i="39"/>
  <c r="G73" i="39"/>
  <c r="F73" i="39"/>
  <c r="G72" i="39"/>
  <c r="F72" i="39"/>
  <c r="G71" i="39"/>
  <c r="F71" i="39"/>
  <c r="G70" i="39"/>
  <c r="F70" i="39"/>
  <c r="G69" i="39"/>
  <c r="F69" i="39"/>
  <c r="G68" i="39"/>
  <c r="F68" i="39"/>
  <c r="G67" i="39"/>
  <c r="F67" i="39"/>
  <c r="G66" i="39"/>
  <c r="F66" i="39"/>
  <c r="G65" i="39"/>
  <c r="F65" i="39"/>
  <c r="G64" i="39"/>
  <c r="F64" i="39"/>
  <c r="G63" i="39"/>
  <c r="F63" i="39"/>
  <c r="G62" i="39"/>
  <c r="F62" i="39"/>
  <c r="G61" i="39"/>
  <c r="F61" i="39"/>
  <c r="G60" i="39"/>
  <c r="F60" i="39"/>
  <c r="G59" i="39"/>
  <c r="F59" i="39"/>
  <c r="G58" i="39"/>
  <c r="F58" i="39"/>
  <c r="G57" i="39"/>
  <c r="F57" i="39"/>
  <c r="G56" i="39"/>
  <c r="F56" i="39"/>
  <c r="G55" i="39"/>
  <c r="F55" i="39"/>
  <c r="G54" i="39"/>
  <c r="F54" i="39"/>
  <c r="G53" i="39"/>
  <c r="F53" i="39"/>
  <c r="G52" i="39"/>
  <c r="F52" i="39"/>
  <c r="G51" i="39"/>
  <c r="F51" i="39"/>
  <c r="G50" i="39"/>
  <c r="F50" i="39"/>
  <c r="G49" i="39"/>
  <c r="F49" i="39"/>
  <c r="G48" i="39"/>
  <c r="F48" i="39"/>
  <c r="G47" i="39"/>
  <c r="F47" i="39"/>
  <c r="G46" i="39"/>
  <c r="F46" i="39"/>
  <c r="G45" i="39"/>
  <c r="F45" i="39"/>
  <c r="G44" i="39"/>
  <c r="F44" i="39"/>
  <c r="G43" i="39"/>
  <c r="F43" i="39"/>
  <c r="G42" i="39"/>
  <c r="F42" i="39"/>
  <c r="G41" i="39"/>
  <c r="F41" i="39"/>
  <c r="G40" i="39"/>
  <c r="F40" i="39"/>
  <c r="G39" i="39"/>
  <c r="F39" i="39"/>
  <c r="G38" i="39"/>
  <c r="F38" i="39"/>
  <c r="G37" i="39"/>
  <c r="F37" i="39"/>
  <c r="G36" i="39"/>
  <c r="F36" i="39"/>
  <c r="G35" i="39"/>
  <c r="F35" i="39"/>
  <c r="G34" i="39"/>
  <c r="F34" i="39"/>
  <c r="G33" i="39"/>
  <c r="F33" i="39"/>
  <c r="G32" i="39"/>
  <c r="F32" i="39"/>
  <c r="G31" i="39"/>
  <c r="F31" i="39"/>
  <c r="G30" i="39"/>
  <c r="F30" i="39"/>
  <c r="G29" i="39"/>
  <c r="F29" i="39"/>
  <c r="G28" i="39"/>
  <c r="F28" i="39"/>
  <c r="G27" i="39"/>
  <c r="F27" i="39"/>
  <c r="G26" i="39"/>
  <c r="F26" i="39"/>
  <c r="G25" i="39"/>
  <c r="F25" i="39"/>
  <c r="G24" i="39"/>
  <c r="F24" i="39"/>
  <c r="G23" i="39"/>
  <c r="F23" i="39"/>
  <c r="G22" i="39"/>
  <c r="F22" i="39"/>
  <c r="G21" i="39"/>
  <c r="F21" i="39"/>
  <c r="G20" i="39"/>
  <c r="F20" i="39"/>
  <c r="G19" i="39"/>
  <c r="F19" i="39"/>
  <c r="G18" i="39"/>
  <c r="F18" i="39"/>
  <c r="G17" i="39"/>
  <c r="F17" i="39"/>
  <c r="G16" i="39"/>
  <c r="F16" i="39"/>
  <c r="G15" i="39"/>
  <c r="F15" i="39"/>
  <c r="G14" i="39"/>
  <c r="F14" i="39"/>
  <c r="G13" i="39"/>
  <c r="G12" i="39"/>
  <c r="G11" i="39"/>
  <c r="G10" i="39"/>
  <c r="G9" i="39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G61" i="38"/>
  <c r="G60" i="38"/>
  <c r="G59" i="38"/>
  <c r="G58" i="38"/>
  <c r="G57" i="38"/>
  <c r="G56" i="38"/>
  <c r="G55" i="38"/>
  <c r="G54" i="38"/>
  <c r="G53" i="38"/>
  <c r="G52" i="38"/>
  <c r="G51" i="38"/>
  <c r="G50" i="38"/>
  <c r="G49" i="38"/>
  <c r="G48" i="38"/>
  <c r="G47" i="38"/>
  <c r="G46" i="38"/>
  <c r="G45" i="38"/>
  <c r="G44" i="38"/>
  <c r="G43" i="38"/>
  <c r="G42" i="38"/>
  <c r="G41" i="38"/>
  <c r="G40" i="38"/>
  <c r="G39" i="38"/>
  <c r="G38" i="38"/>
  <c r="G37" i="38"/>
  <c r="G36" i="38"/>
  <c r="G35" i="38"/>
  <c r="G34" i="38"/>
  <c r="G33" i="38"/>
  <c r="G32" i="38"/>
  <c r="G31" i="38"/>
  <c r="G30" i="38"/>
  <c r="G29" i="38"/>
  <c r="G28" i="38"/>
  <c r="G27" i="38"/>
  <c r="G26" i="38"/>
  <c r="G25" i="38"/>
  <c r="G24" i="38"/>
  <c r="G23" i="38"/>
  <c r="G22" i="38"/>
  <c r="G21" i="38"/>
  <c r="G20" i="38"/>
  <c r="G19" i="38"/>
  <c r="G18" i="38"/>
  <c r="G17" i="38"/>
  <c r="G16" i="38"/>
  <c r="G15" i="38"/>
  <c r="G14" i="38"/>
  <c r="G13" i="38"/>
  <c r="G12" i="38"/>
  <c r="G11" i="38"/>
  <c r="G10" i="38"/>
  <c r="F140" i="38"/>
  <c r="F139" i="38"/>
  <c r="F138" i="38"/>
  <c r="F137" i="38"/>
  <c r="F136" i="38"/>
  <c r="F135" i="38"/>
  <c r="F134" i="38"/>
  <c r="F133" i="38"/>
  <c r="F132" i="38"/>
  <c r="F131" i="38"/>
  <c r="F130" i="38"/>
  <c r="F129" i="38"/>
  <c r="F128" i="38"/>
  <c r="F127" i="38"/>
  <c r="F126" i="38"/>
  <c r="F125" i="38"/>
  <c r="F124" i="38"/>
  <c r="F123" i="38"/>
  <c r="F122" i="38"/>
  <c r="F121" i="38"/>
  <c r="F120" i="38"/>
  <c r="F119" i="38"/>
  <c r="F118" i="38"/>
  <c r="F117" i="38"/>
  <c r="F116" i="38"/>
  <c r="F115" i="38"/>
  <c r="F114" i="38"/>
  <c r="F113" i="38"/>
  <c r="F112" i="38"/>
  <c r="F111" i="38"/>
  <c r="F110" i="38"/>
  <c r="F109" i="38"/>
  <c r="F108" i="38"/>
  <c r="F107" i="38"/>
  <c r="F106" i="38"/>
  <c r="F105" i="38"/>
  <c r="F104" i="38"/>
  <c r="F103" i="38"/>
  <c r="F102" i="38"/>
  <c r="F101" i="38"/>
  <c r="F100" i="38"/>
  <c r="F99" i="38"/>
  <c r="F98" i="38"/>
  <c r="F97" i="38"/>
  <c r="F96" i="38"/>
  <c r="F95" i="38"/>
  <c r="F94" i="38"/>
  <c r="F93" i="38"/>
  <c r="F92" i="38"/>
  <c r="F91" i="38"/>
  <c r="F90" i="38"/>
  <c r="F89" i="38"/>
  <c r="F88" i="38"/>
  <c r="F87" i="38"/>
  <c r="F86" i="38"/>
  <c r="F85" i="38"/>
  <c r="F84" i="38"/>
  <c r="F83" i="38"/>
  <c r="F82" i="38"/>
  <c r="F81" i="38"/>
  <c r="F80" i="38"/>
  <c r="F79" i="38"/>
  <c r="F78" i="38"/>
  <c r="F77" i="38"/>
  <c r="F76" i="38"/>
  <c r="F75" i="38"/>
  <c r="F74" i="38"/>
  <c r="F73" i="38"/>
  <c r="F72" i="38"/>
  <c r="F71" i="38"/>
  <c r="F70" i="38"/>
  <c r="F69" i="38"/>
  <c r="F68" i="38"/>
  <c r="F67" i="38"/>
  <c r="F66" i="38"/>
  <c r="F65" i="38"/>
  <c r="F64" i="38"/>
  <c r="F63" i="38"/>
  <c r="F62" i="38"/>
  <c r="F61" i="38"/>
  <c r="F60" i="38"/>
  <c r="F59" i="38"/>
  <c r="F58" i="38"/>
  <c r="F57" i="38"/>
  <c r="F56" i="38"/>
  <c r="F55" i="38"/>
  <c r="F54" i="38"/>
  <c r="F53" i="38"/>
  <c r="F52" i="38"/>
  <c r="F51" i="38"/>
  <c r="F50" i="38"/>
  <c r="F49" i="38"/>
  <c r="F48" i="38"/>
  <c r="F47" i="38"/>
  <c r="F46" i="38"/>
  <c r="F45" i="38"/>
  <c r="F44" i="38"/>
  <c r="F43" i="38"/>
  <c r="F42" i="38"/>
  <c r="F41" i="38"/>
  <c r="F40" i="38"/>
  <c r="F39" i="38"/>
  <c r="F38" i="38"/>
  <c r="F37" i="38"/>
  <c r="F36" i="38"/>
  <c r="F35" i="38"/>
  <c r="F34" i="38"/>
  <c r="F33" i="38"/>
  <c r="F32" i="38"/>
  <c r="F31" i="38"/>
  <c r="F30" i="38"/>
  <c r="F29" i="38"/>
  <c r="F28" i="38"/>
  <c r="F27" i="38"/>
  <c r="F26" i="38"/>
  <c r="F25" i="38"/>
  <c r="F24" i="38"/>
  <c r="F23" i="38"/>
  <c r="F22" i="38"/>
  <c r="F21" i="38"/>
  <c r="F20" i="38"/>
  <c r="F19" i="38"/>
  <c r="F18" i="38"/>
  <c r="F17" i="38"/>
  <c r="F16" i="38"/>
  <c r="F15" i="38"/>
  <c r="F14" i="38"/>
  <c r="F13" i="38"/>
  <c r="F12" i="38"/>
  <c r="F11" i="38"/>
  <c r="F10" i="38"/>
  <c r="H18" i="38" l="1"/>
  <c r="H30" i="38"/>
  <c r="H91" i="38"/>
  <c r="H115" i="38"/>
  <c r="H127" i="38"/>
  <c r="H17" i="38"/>
  <c r="H29" i="38"/>
  <c r="H41" i="38"/>
  <c r="H53" i="38"/>
  <c r="H28" i="38"/>
  <c r="H40" i="38"/>
  <c r="H42" i="38"/>
  <c r="G7" i="41"/>
  <c r="H9" i="41" s="1"/>
  <c r="G7" i="40"/>
  <c r="H60" i="40" s="1"/>
  <c r="H34" i="39"/>
  <c r="H106" i="40" l="1"/>
  <c r="H46" i="40"/>
  <c r="H138" i="40"/>
  <c r="H132" i="40"/>
  <c r="H122" i="40"/>
  <c r="H102" i="40"/>
  <c r="H116" i="40"/>
  <c r="H96" i="40"/>
  <c r="H86" i="40"/>
  <c r="H66" i="40"/>
  <c r="H80" i="40"/>
  <c r="H30" i="40"/>
  <c r="H50" i="40"/>
  <c r="H24" i="40"/>
  <c r="H14" i="40"/>
  <c r="H58" i="40"/>
  <c r="H52" i="40"/>
  <c r="H112" i="40"/>
  <c r="H74" i="39"/>
  <c r="H136" i="39"/>
  <c r="H64" i="39"/>
  <c r="H84" i="39"/>
  <c r="H12" i="39"/>
  <c r="H79" i="38"/>
  <c r="H64" i="38"/>
  <c r="H54" i="38"/>
  <c r="H52" i="38"/>
  <c r="H9" i="38"/>
  <c r="H135" i="38"/>
  <c r="H123" i="38"/>
  <c r="H111" i="38"/>
  <c r="H99" i="38"/>
  <c r="H87" i="38"/>
  <c r="H75" i="38"/>
  <c r="H63" i="38"/>
  <c r="H51" i="38"/>
  <c r="H39" i="38"/>
  <c r="H27" i="38"/>
  <c r="H15" i="38"/>
  <c r="H134" i="38"/>
  <c r="H122" i="38"/>
  <c r="H110" i="38"/>
  <c r="H98" i="38"/>
  <c r="H86" i="38"/>
  <c r="H74" i="38"/>
  <c r="H62" i="38"/>
  <c r="H50" i="38"/>
  <c r="H38" i="38"/>
  <c r="H26" i="38"/>
  <c r="H14" i="38"/>
  <c r="H133" i="38"/>
  <c r="H121" i="38"/>
  <c r="H109" i="38"/>
  <c r="H97" i="38"/>
  <c r="H85" i="38"/>
  <c r="H73" i="38"/>
  <c r="H61" i="38"/>
  <c r="H49" i="38"/>
  <c r="H37" i="38"/>
  <c r="H25" i="38"/>
  <c r="H13" i="38"/>
  <c r="H132" i="38"/>
  <c r="H120" i="38"/>
  <c r="H108" i="38"/>
  <c r="H96" i="38"/>
  <c r="H84" i="38"/>
  <c r="H72" i="38"/>
  <c r="H60" i="38"/>
  <c r="H48" i="38"/>
  <c r="H36" i="38"/>
  <c r="H24" i="38"/>
  <c r="H12" i="38"/>
  <c r="H131" i="38"/>
  <c r="H119" i="38"/>
  <c r="H107" i="38"/>
  <c r="H95" i="38"/>
  <c r="H83" i="38"/>
  <c r="H71" i="38"/>
  <c r="H59" i="38"/>
  <c r="H47" i="38"/>
  <c r="H35" i="38"/>
  <c r="H23" i="38"/>
  <c r="H11" i="38"/>
  <c r="H130" i="38"/>
  <c r="H118" i="38"/>
  <c r="H106" i="38"/>
  <c r="H94" i="38"/>
  <c r="H82" i="38"/>
  <c r="H70" i="38"/>
  <c r="H129" i="38"/>
  <c r="H93" i="38"/>
  <c r="H58" i="38"/>
  <c r="H57" i="38"/>
  <c r="H22" i="38"/>
  <c r="H117" i="38"/>
  <c r="H81" i="38"/>
  <c r="H21" i="38"/>
  <c r="H46" i="38"/>
  <c r="H45" i="38"/>
  <c r="H105" i="38"/>
  <c r="H69" i="38"/>
  <c r="H140" i="38"/>
  <c r="H104" i="38"/>
  <c r="H68" i="38"/>
  <c r="H139" i="38"/>
  <c r="H103" i="38"/>
  <c r="H67" i="38"/>
  <c r="H34" i="38"/>
  <c r="H138" i="38"/>
  <c r="H102" i="38"/>
  <c r="H66" i="38"/>
  <c r="H33" i="38"/>
  <c r="H16" i="38"/>
  <c r="H128" i="38"/>
  <c r="H55" i="38"/>
  <c r="H10" i="38"/>
  <c r="H137" i="38"/>
  <c r="H116" i="38"/>
  <c r="H43" i="38"/>
  <c r="H136" i="38"/>
  <c r="H125" i="38"/>
  <c r="H92" i="38"/>
  <c r="H31" i="38"/>
  <c r="H124" i="38"/>
  <c r="H113" i="38"/>
  <c r="H80" i="38"/>
  <c r="H19" i="38"/>
  <c r="H112" i="38"/>
  <c r="H101" i="38"/>
  <c r="H56" i="38"/>
  <c r="H126" i="38"/>
  <c r="H100" i="38"/>
  <c r="H89" i="38"/>
  <c r="H44" i="38"/>
  <c r="H114" i="38"/>
  <c r="H88" i="38"/>
  <c r="H77" i="38"/>
  <c r="H32" i="38"/>
  <c r="H90" i="38"/>
  <c r="H76" i="38"/>
  <c r="H65" i="38"/>
  <c r="H20" i="38"/>
  <c r="H78" i="38"/>
  <c r="H47" i="41"/>
  <c r="H55" i="41"/>
  <c r="H125" i="41"/>
  <c r="H12" i="41"/>
  <c r="H105" i="41"/>
  <c r="H51" i="41"/>
  <c r="H98" i="41"/>
  <c r="H115" i="41"/>
  <c r="H84" i="41"/>
  <c r="H11" i="41"/>
  <c r="H80" i="41"/>
  <c r="H91" i="41"/>
  <c r="H66" i="41"/>
  <c r="H62" i="41"/>
  <c r="H73" i="41"/>
  <c r="H14" i="41"/>
  <c r="H131" i="41"/>
  <c r="H20" i="41"/>
  <c r="H37" i="41"/>
  <c r="H36" i="41"/>
  <c r="H95" i="41"/>
  <c r="H77" i="41"/>
  <c r="H59" i="41"/>
  <c r="H44" i="41"/>
  <c r="H8" i="41"/>
  <c r="H30" i="41"/>
  <c r="H109" i="41"/>
  <c r="H88" i="41"/>
  <c r="H70" i="41"/>
  <c r="H52" i="41"/>
  <c r="H135" i="41"/>
  <c r="H99" i="41"/>
  <c r="H81" i="41"/>
  <c r="H63" i="41"/>
  <c r="H27" i="41"/>
  <c r="H119" i="41"/>
  <c r="H74" i="41"/>
  <c r="H41" i="41"/>
  <c r="H139" i="41"/>
  <c r="H85" i="41"/>
  <c r="H22" i="41"/>
  <c r="H78" i="41"/>
  <c r="H21" i="41"/>
  <c r="H113" i="41"/>
  <c r="H71" i="41"/>
  <c r="H38" i="41"/>
  <c r="H133" i="41"/>
  <c r="H82" i="41"/>
  <c r="H10" i="41"/>
  <c r="H45" i="41"/>
  <c r="H107" i="41"/>
  <c r="H18" i="41"/>
  <c r="H127" i="41"/>
  <c r="H61" i="41"/>
  <c r="H117" i="41"/>
  <c r="H90" i="41"/>
  <c r="H54" i="41"/>
  <c r="H42" i="41"/>
  <c r="H29" i="41"/>
  <c r="H140" i="41"/>
  <c r="H138" i="41"/>
  <c r="H136" i="41"/>
  <c r="H134" i="41"/>
  <c r="H132" i="41"/>
  <c r="H130" i="41"/>
  <c r="H128" i="41"/>
  <c r="H126" i="41"/>
  <c r="H124" i="41"/>
  <c r="H122" i="41"/>
  <c r="H120" i="41"/>
  <c r="H118" i="41"/>
  <c r="H116" i="41"/>
  <c r="H114" i="41"/>
  <c r="H112" i="41"/>
  <c r="H110" i="41"/>
  <c r="H108" i="41"/>
  <c r="H106" i="41"/>
  <c r="H104" i="41"/>
  <c r="H102" i="41"/>
  <c r="H25" i="41"/>
  <c r="H13" i="41"/>
  <c r="H31" i="41"/>
  <c r="H19" i="41"/>
  <c r="H33" i="41"/>
  <c r="H92" i="41"/>
  <c r="H56" i="41"/>
  <c r="H46" i="41"/>
  <c r="H103" i="41"/>
  <c r="H67" i="41"/>
  <c r="H129" i="41"/>
  <c r="H96" i="41"/>
  <c r="H60" i="41"/>
  <c r="H48" i="41"/>
  <c r="H28" i="41"/>
  <c r="H89" i="41"/>
  <c r="H53" i="41"/>
  <c r="H43" i="41"/>
  <c r="H100" i="41"/>
  <c r="H64" i="41"/>
  <c r="H123" i="41"/>
  <c r="H93" i="41"/>
  <c r="H75" i="41"/>
  <c r="H57" i="41"/>
  <c r="H16" i="41"/>
  <c r="H15" i="41"/>
  <c r="H86" i="41"/>
  <c r="H68" i="41"/>
  <c r="H35" i="41"/>
  <c r="H34" i="41"/>
  <c r="H97" i="41"/>
  <c r="H79" i="41"/>
  <c r="H49" i="41"/>
  <c r="H72" i="41"/>
  <c r="H137" i="41"/>
  <c r="H101" i="41"/>
  <c r="H83" i="41"/>
  <c r="H65" i="41"/>
  <c r="H50" i="41"/>
  <c r="H32" i="41"/>
  <c r="H24" i="41"/>
  <c r="H121" i="41"/>
  <c r="H94" i="41"/>
  <c r="H76" i="41"/>
  <c r="H58" i="41"/>
  <c r="H40" i="41"/>
  <c r="H111" i="41"/>
  <c r="H87" i="41"/>
  <c r="H69" i="41"/>
  <c r="H26" i="41"/>
  <c r="H39" i="41"/>
  <c r="H17" i="41"/>
  <c r="H23" i="41"/>
  <c r="H44" i="40"/>
  <c r="H40" i="40"/>
  <c r="H139" i="40"/>
  <c r="H137" i="40"/>
  <c r="H135" i="40"/>
  <c r="H133" i="40"/>
  <c r="H131" i="40"/>
  <c r="H129" i="40"/>
  <c r="H127" i="40"/>
  <c r="H125" i="40"/>
  <c r="H123" i="40"/>
  <c r="H121" i="40"/>
  <c r="H119" i="40"/>
  <c r="H117" i="40"/>
  <c r="H115" i="40"/>
  <c r="H113" i="40"/>
  <c r="H111" i="40"/>
  <c r="H109" i="40"/>
  <c r="H107" i="40"/>
  <c r="H105" i="40"/>
  <c r="H103" i="40"/>
  <c r="H101" i="40"/>
  <c r="H99" i="40"/>
  <c r="H97" i="40"/>
  <c r="H95" i="40"/>
  <c r="H93" i="40"/>
  <c r="H91" i="40"/>
  <c r="H89" i="40"/>
  <c r="H87" i="40"/>
  <c r="H85" i="40"/>
  <c r="H83" i="40"/>
  <c r="H81" i="40"/>
  <c r="H79" i="40"/>
  <c r="H77" i="40"/>
  <c r="H75" i="40"/>
  <c r="H73" i="40"/>
  <c r="H71" i="40"/>
  <c r="H69" i="40"/>
  <c r="H67" i="40"/>
  <c r="H65" i="40"/>
  <c r="H63" i="40"/>
  <c r="H61" i="40"/>
  <c r="H59" i="40"/>
  <c r="H57" i="40"/>
  <c r="H55" i="40"/>
  <c r="H53" i="40"/>
  <c r="H51" i="40"/>
  <c r="H49" i="40"/>
  <c r="H47" i="40"/>
  <c r="H45" i="40"/>
  <c r="H43" i="40"/>
  <c r="H41" i="40"/>
  <c r="H39" i="40"/>
  <c r="H37" i="40"/>
  <c r="H35" i="40"/>
  <c r="H33" i="40"/>
  <c r="H31" i="40"/>
  <c r="H29" i="40"/>
  <c r="H27" i="40"/>
  <c r="H25" i="40"/>
  <c r="H23" i="40"/>
  <c r="H21" i="40"/>
  <c r="H19" i="40"/>
  <c r="H17" i="40"/>
  <c r="H15" i="40"/>
  <c r="H13" i="40"/>
  <c r="H11" i="40"/>
  <c r="H9" i="40"/>
  <c r="H110" i="40"/>
  <c r="H74" i="40"/>
  <c r="H38" i="40"/>
  <c r="H136" i="40"/>
  <c r="H94" i="40"/>
  <c r="H28" i="40"/>
  <c r="H126" i="40"/>
  <c r="H90" i="40"/>
  <c r="H54" i="40"/>
  <c r="H18" i="40"/>
  <c r="H34" i="40"/>
  <c r="H140" i="40"/>
  <c r="H104" i="40"/>
  <c r="H68" i="40"/>
  <c r="H32" i="40"/>
  <c r="H130" i="40"/>
  <c r="H88" i="40"/>
  <c r="H22" i="40"/>
  <c r="H120" i="40"/>
  <c r="H84" i="40"/>
  <c r="H48" i="40"/>
  <c r="H12" i="40"/>
  <c r="H16" i="40"/>
  <c r="H134" i="40"/>
  <c r="H98" i="40"/>
  <c r="H62" i="40"/>
  <c r="H26" i="40"/>
  <c r="H124" i="40"/>
  <c r="H76" i="40"/>
  <c r="H10" i="40"/>
  <c r="H114" i="40"/>
  <c r="H78" i="40"/>
  <c r="H42" i="40"/>
  <c r="H100" i="40"/>
  <c r="H128" i="40"/>
  <c r="H92" i="40"/>
  <c r="H56" i="40"/>
  <c r="H20" i="40"/>
  <c r="H118" i="40"/>
  <c r="H64" i="40"/>
  <c r="H70" i="40"/>
  <c r="H108" i="40"/>
  <c r="H72" i="40"/>
  <c r="H36" i="40"/>
  <c r="H82" i="40"/>
  <c r="H78" i="39"/>
  <c r="H68" i="39"/>
  <c r="H130" i="39"/>
  <c r="H58" i="39"/>
  <c r="H132" i="39"/>
  <c r="H60" i="39"/>
  <c r="H122" i="39"/>
  <c r="H50" i="39"/>
  <c r="H112" i="39"/>
  <c r="H28" i="39"/>
  <c r="H120" i="39"/>
  <c r="H48" i="39"/>
  <c r="H110" i="39"/>
  <c r="H38" i="39"/>
  <c r="H100" i="39"/>
  <c r="H22" i="39"/>
  <c r="H114" i="39"/>
  <c r="H42" i="39"/>
  <c r="H104" i="39"/>
  <c r="H32" i="39"/>
  <c r="H94" i="39"/>
  <c r="H96" i="39"/>
  <c r="H24" i="39"/>
  <c r="H86" i="39"/>
  <c r="H14" i="39"/>
  <c r="H76" i="39"/>
  <c r="H40" i="39"/>
  <c r="H126" i="39"/>
  <c r="H90" i="39"/>
  <c r="H54" i="39"/>
  <c r="H18" i="39"/>
  <c r="H116" i="39"/>
  <c r="H80" i="39"/>
  <c r="H44" i="39"/>
  <c r="H8" i="39"/>
  <c r="H106" i="39"/>
  <c r="H70" i="39"/>
  <c r="H137" i="39"/>
  <c r="H135" i="39"/>
  <c r="H133" i="39"/>
  <c r="H131" i="39"/>
  <c r="H129" i="39"/>
  <c r="H127" i="39"/>
  <c r="H125" i="39"/>
  <c r="H123" i="39"/>
  <c r="H121" i="39"/>
  <c r="H119" i="39"/>
  <c r="H117" i="39"/>
  <c r="H115" i="39"/>
  <c r="H113" i="39"/>
  <c r="H111" i="39"/>
  <c r="H109" i="39"/>
  <c r="H107" i="39"/>
  <c r="H105" i="39"/>
  <c r="H103" i="39"/>
  <c r="H101" i="39"/>
  <c r="H99" i="39"/>
  <c r="H97" i="39"/>
  <c r="H95" i="39"/>
  <c r="H93" i="39"/>
  <c r="H91" i="39"/>
  <c r="H89" i="39"/>
  <c r="H87" i="39"/>
  <c r="H85" i="39"/>
  <c r="H83" i="39"/>
  <c r="H81" i="39"/>
  <c r="H79" i="39"/>
  <c r="H77" i="39"/>
  <c r="H75" i="39"/>
  <c r="H73" i="39"/>
  <c r="H71" i="39"/>
  <c r="H69" i="39"/>
  <c r="H67" i="39"/>
  <c r="H65" i="39"/>
  <c r="H63" i="39"/>
  <c r="H61" i="39"/>
  <c r="H59" i="39"/>
  <c r="H57" i="39"/>
  <c r="H55" i="39"/>
  <c r="H53" i="39"/>
  <c r="H51" i="39"/>
  <c r="H49" i="39"/>
  <c r="H47" i="39"/>
  <c r="H45" i="39"/>
  <c r="H43" i="39"/>
  <c r="H41" i="39"/>
  <c r="H39" i="39"/>
  <c r="H37" i="39"/>
  <c r="H35" i="39"/>
  <c r="H33" i="39"/>
  <c r="H31" i="39"/>
  <c r="H29" i="39"/>
  <c r="H27" i="39"/>
  <c r="H25" i="39"/>
  <c r="H23" i="39"/>
  <c r="H21" i="39"/>
  <c r="H19" i="39"/>
  <c r="H17" i="39"/>
  <c r="H15" i="39"/>
  <c r="H13" i="39"/>
  <c r="H11" i="39"/>
  <c r="H9" i="39"/>
  <c r="H108" i="39"/>
  <c r="H72" i="39"/>
  <c r="H36" i="39"/>
  <c r="H134" i="39"/>
  <c r="H98" i="39"/>
  <c r="H62" i="39"/>
  <c r="H26" i="39"/>
  <c r="H124" i="39"/>
  <c r="H88" i="39"/>
  <c r="H52" i="39"/>
  <c r="H16" i="39"/>
  <c r="H138" i="39"/>
  <c r="H102" i="39"/>
  <c r="H66" i="39"/>
  <c r="H30" i="39"/>
  <c r="H128" i="39"/>
  <c r="H92" i="39"/>
  <c r="H56" i="39"/>
  <c r="H20" i="39"/>
  <c r="H118" i="39"/>
  <c r="H82" i="39"/>
  <c r="H46" i="39"/>
  <c r="H10" i="39"/>
  <c r="H7" i="40" l="1"/>
  <c r="H7" i="38"/>
  <c r="H7" i="41"/>
  <c r="H7" i="39"/>
  <c r="N9" i="43" l="1"/>
  <c r="N10" i="43"/>
  <c r="N11" i="43"/>
  <c r="N8" i="43"/>
  <c r="L9" i="43"/>
  <c r="L10" i="43"/>
  <c r="L11" i="43"/>
  <c r="L8" i="43"/>
  <c r="J9" i="43"/>
  <c r="J10" i="43"/>
  <c r="J11" i="43"/>
  <c r="J8" i="43"/>
  <c r="H9" i="43"/>
  <c r="H10" i="43"/>
  <c r="H11" i="43"/>
  <c r="H8" i="43"/>
  <c r="F9" i="43"/>
  <c r="F10" i="43"/>
  <c r="F11" i="43"/>
  <c r="F8" i="43"/>
  <c r="D8" i="43"/>
  <c r="D9" i="43"/>
  <c r="D10" i="43"/>
  <c r="D11" i="43"/>
  <c r="AO299" i="28" l="1"/>
  <c r="AO300" i="28"/>
  <c r="AO301" i="28"/>
  <c r="AO302" i="28"/>
  <c r="AO303" i="28"/>
  <c r="AO304" i="28"/>
  <c r="AO305" i="28"/>
</calcChain>
</file>

<file path=xl/sharedStrings.xml><?xml version="1.0" encoding="utf-8"?>
<sst xmlns="http://schemas.openxmlformats.org/spreadsheetml/2006/main" count="5774" uniqueCount="1000">
  <si>
    <t>Años</t>
  </si>
  <si>
    <t>Promedio</t>
  </si>
  <si>
    <t>-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</si>
  <si>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</si>
  <si>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</si>
  <si>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</si>
  <si>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</si>
  <si>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</si>
  <si>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</si>
  <si>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</si>
  <si>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</si>
  <si>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</si>
  <si>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</si>
  <si>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</si>
  <si>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</si>
  <si>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Bebidas Alcohólicas</t>
  </si>
  <si>
    <t>Vivienda</t>
  </si>
  <si>
    <t>Salud</t>
  </si>
  <si>
    <t>Transporte</t>
  </si>
  <si>
    <t>Comunicaciones</t>
  </si>
  <si>
    <t>Educación</t>
  </si>
  <si>
    <t>Periodo</t>
  </si>
  <si>
    <t>Período</t>
  </si>
  <si>
    <t>Tasa de Inflación</t>
  </si>
  <si>
    <t>IPC</t>
  </si>
  <si>
    <t>Bienes</t>
  </si>
  <si>
    <t>Mensual</t>
  </si>
  <si>
    <t>Dic. 1999</t>
  </si>
  <si>
    <t>Dic. 2000</t>
  </si>
  <si>
    <t>Dic. 2001</t>
  </si>
  <si>
    <t>Dic. 2002</t>
  </si>
  <si>
    <t>Dic. 2003</t>
  </si>
  <si>
    <t>Dic. 2004</t>
  </si>
  <si>
    <t>Dic. 2005</t>
  </si>
  <si>
    <t>Dic. 2006</t>
  </si>
  <si>
    <t>Dic. 2007</t>
  </si>
  <si>
    <t>Dic. 2008</t>
  </si>
  <si>
    <t>Dic. 2009</t>
  </si>
  <si>
    <t>Dic. 2010</t>
  </si>
  <si>
    <t>Dic. 2011</t>
  </si>
  <si>
    <t>Nacional</t>
  </si>
  <si>
    <t>Quintil 1</t>
  </si>
  <si>
    <t>Quintil 2</t>
  </si>
  <si>
    <t>Quintil 3</t>
  </si>
  <si>
    <t>Quintil 4</t>
  </si>
  <si>
    <t>Quintil 5</t>
  </si>
  <si>
    <t xml:space="preserve">Noviembre </t>
  </si>
  <si>
    <t xml:space="preserve">Diciembre </t>
  </si>
  <si>
    <t xml:space="preserve">Marzo </t>
  </si>
  <si>
    <t xml:space="preserve">Agosto </t>
  </si>
  <si>
    <t xml:space="preserve">Enero </t>
  </si>
  <si>
    <t>Acumulada</t>
  </si>
  <si>
    <t xml:space="preserve">Julio </t>
  </si>
  <si>
    <t>Código</t>
  </si>
  <si>
    <t>Ponderación</t>
  </si>
  <si>
    <t xml:space="preserve">Febrero </t>
  </si>
  <si>
    <t xml:space="preserve">Abril </t>
  </si>
  <si>
    <t xml:space="preserve">Mayo </t>
  </si>
  <si>
    <t xml:space="preserve">Junio </t>
  </si>
  <si>
    <t xml:space="preserve">Septiembre </t>
  </si>
  <si>
    <t xml:space="preserve">Octubre </t>
  </si>
  <si>
    <t>Indice General</t>
  </si>
  <si>
    <t>Alimentos y Bebidas No Alcohólicas</t>
  </si>
  <si>
    <t>Alimentos</t>
  </si>
  <si>
    <t>Otros productos alimenticios</t>
  </si>
  <si>
    <t>Bebidas No Alcohólicas</t>
  </si>
  <si>
    <t>Aguas minerales, refrescos y jugos de frutas</t>
  </si>
  <si>
    <t>Bebidas Alcohólicas y Tabaco</t>
  </si>
  <si>
    <t>Bebidas destiladas</t>
  </si>
  <si>
    <t>Vino</t>
  </si>
  <si>
    <t>Cerveza</t>
  </si>
  <si>
    <t>Tabaco</t>
  </si>
  <si>
    <t>Prendas de Vestir y Calzado</t>
  </si>
  <si>
    <t>Calzado</t>
  </si>
  <si>
    <t>Alquileres Efectivos de Alojamiento</t>
  </si>
  <si>
    <t>Conservación y Reparación de la Vivienda</t>
  </si>
  <si>
    <t>Suministro de Agua y Servicios Relacionados con la Vivienda</t>
  </si>
  <si>
    <t>Suministro de agua</t>
  </si>
  <si>
    <t>Recogida de basura</t>
  </si>
  <si>
    <t>Electricidad, Gas y Otros Combustibles</t>
  </si>
  <si>
    <t>Electricidad</t>
  </si>
  <si>
    <t>Gas</t>
  </si>
  <si>
    <t>Muebles y Artículos para el Hogar</t>
  </si>
  <si>
    <t>Muebles y Accesorios</t>
  </si>
  <si>
    <t>Muebles y accesorios</t>
  </si>
  <si>
    <t>Reparación de muebles</t>
  </si>
  <si>
    <t>Productos Textiles para el Hogar</t>
  </si>
  <si>
    <t>Productos textiles para el hogar</t>
  </si>
  <si>
    <t>Artefactos para el Hogar</t>
  </si>
  <si>
    <t>Artículos de Vidrio y Utensilios para el  Hogar</t>
  </si>
  <si>
    <t>Bienes y Servicios para Conservación del Hogar</t>
  </si>
  <si>
    <t>Productos, Artefactos y Equipos Médicos</t>
  </si>
  <si>
    <t>Artefactos y equipo terapéuticos</t>
  </si>
  <si>
    <t>Servicios para Pacientes Externos</t>
  </si>
  <si>
    <t>Servicios médicos</t>
  </si>
  <si>
    <t>Servicios dentales</t>
  </si>
  <si>
    <t>Servicios de Hospital</t>
  </si>
  <si>
    <t>Servicios de hospital</t>
  </si>
  <si>
    <t>Adquisición de Vehículos</t>
  </si>
  <si>
    <t>Motocicletas</t>
  </si>
  <si>
    <t>Gasolina regular</t>
  </si>
  <si>
    <t>Servicios de Transporte</t>
  </si>
  <si>
    <t>Recreación y Cultura</t>
  </si>
  <si>
    <t>Equipo Audiovisual  y de Procesamiento de Información</t>
  </si>
  <si>
    <t>Otros Artículos y Equipo para Recreación y Animales Domésticos</t>
  </si>
  <si>
    <t>Equipo de deportes y recreación al aire libre</t>
  </si>
  <si>
    <t>Juegos y juguetes</t>
  </si>
  <si>
    <t>Servicios de Recreación y Culturales</t>
  </si>
  <si>
    <t>Juegos de azar</t>
  </si>
  <si>
    <t>Periódicos, Libros y Papeles y Útiles de Oficina</t>
  </si>
  <si>
    <t>Libros</t>
  </si>
  <si>
    <t>Papel y útiles de oficina</t>
  </si>
  <si>
    <t>Paquetes Turísticos</t>
  </si>
  <si>
    <t>Paquetes turísticos</t>
  </si>
  <si>
    <t>Enseñanza Preescolar y Enseñanza Primaria</t>
  </si>
  <si>
    <t>Enseñanza Secundaria</t>
  </si>
  <si>
    <t>Enseñanza secundaria</t>
  </si>
  <si>
    <t>Enseñanza Terciaria</t>
  </si>
  <si>
    <t>Enseñanza no Atribuible a Ningún Nivel</t>
  </si>
  <si>
    <t>Enseñanza no atribuible a ningún nivel</t>
  </si>
  <si>
    <t>Restaurantes y Hoteles</t>
  </si>
  <si>
    <t>Servicios de Suministro de Comidas por Contrato</t>
  </si>
  <si>
    <t>Servicios de Alojamiento</t>
  </si>
  <si>
    <t>Servicios de alojamiento</t>
  </si>
  <si>
    <t>Bienes y Servicios Diversos</t>
  </si>
  <si>
    <t>Cuidado Personal</t>
  </si>
  <si>
    <t>Otros efectos personales</t>
  </si>
  <si>
    <t>Seguros</t>
  </si>
  <si>
    <t>Seguro relacionado con el transporte</t>
  </si>
  <si>
    <t>Otros servicios</t>
  </si>
  <si>
    <t>%</t>
  </si>
  <si>
    <t xml:space="preserve"> </t>
  </si>
  <si>
    <t xml:space="preserve">Julio  </t>
  </si>
  <si>
    <t xml:space="preserve">Agosto  </t>
  </si>
  <si>
    <t xml:space="preserve">Noviembre  </t>
  </si>
  <si>
    <t>Costo RD$</t>
  </si>
  <si>
    <t xml:space="preserve">Norte </t>
  </si>
  <si>
    <t>Este</t>
  </si>
  <si>
    <t>Sur</t>
  </si>
  <si>
    <t>RD$ por galón</t>
  </si>
  <si>
    <t>Precio</t>
  </si>
  <si>
    <t>US$/Barril</t>
  </si>
  <si>
    <t>Descripción</t>
  </si>
  <si>
    <t>Dic. 2012</t>
  </si>
  <si>
    <t>Dic. 2013</t>
  </si>
  <si>
    <t>Dic. 2014</t>
  </si>
  <si>
    <t>Dic. 2015</t>
  </si>
  <si>
    <t>Dic. 2016</t>
  </si>
  <si>
    <t>Incidencia (p.p.)</t>
  </si>
  <si>
    <t>Dic. 2017</t>
  </si>
  <si>
    <t>Dic. 2018</t>
  </si>
  <si>
    <t>Dic. 2019</t>
  </si>
  <si>
    <t>Índice</t>
  </si>
  <si>
    <t>Variación porcentual (%)</t>
  </si>
  <si>
    <t>Promedio 
12 meses</t>
  </si>
  <si>
    <t xml:space="preserve">Muebles </t>
  </si>
  <si>
    <t>Acumulada 
(con dic.)</t>
  </si>
  <si>
    <t>Cuadro No. 3.1</t>
  </si>
  <si>
    <t>Cuadro No. 3.2</t>
  </si>
  <si>
    <t>Indice de precios al consumidor nacional</t>
  </si>
  <si>
    <t>Cuadro No. 3.3</t>
  </si>
  <si>
    <t>Incidencia 
(p.p.)</t>
  </si>
  <si>
    <t>Cuadro No. 3.4</t>
  </si>
  <si>
    <t>Cuadro No. 3.7</t>
  </si>
  <si>
    <t>Cuadro No. 3.8</t>
  </si>
  <si>
    <t>Cuadro No. 3.10</t>
  </si>
  <si>
    <t>Cuadro No. 3.11</t>
  </si>
  <si>
    <t>Cuadro No. 3.12</t>
  </si>
  <si>
    <t>Cuadro No. 3.13</t>
  </si>
  <si>
    <t>Cuadro No. 3.15</t>
  </si>
  <si>
    <t>Cuadro No. 3.16</t>
  </si>
  <si>
    <t>Precios promedios de los combustibles</t>
  </si>
  <si>
    <t>Var. (%)</t>
  </si>
  <si>
    <t>Dic. 2020</t>
  </si>
  <si>
    <t>Pan y cereales</t>
  </si>
  <si>
    <t>Carnes</t>
  </si>
  <si>
    <t>Pescado</t>
  </si>
  <si>
    <t>Leche, queso y huevos</t>
  </si>
  <si>
    <t>Aceites y grasas</t>
  </si>
  <si>
    <t>Frutas</t>
  </si>
  <si>
    <t>Legumbres-Hortalizas</t>
  </si>
  <si>
    <t>Azúcar,  chocolate y dulces de azúcar</t>
  </si>
  <si>
    <t>Café y cacao</t>
  </si>
  <si>
    <t>Prendas de Vestir</t>
  </si>
  <si>
    <t>Prendas de vestir</t>
  </si>
  <si>
    <t>Otros artículos y  accesorios de vestir</t>
  </si>
  <si>
    <t>Limpieza, reparación y alquiler de prendas de vestir</t>
  </si>
  <si>
    <t>Zapatos y otros calzados</t>
  </si>
  <si>
    <t>Alquileres efectivos</t>
  </si>
  <si>
    <t>Materiales para la conservación y reparación de la vivienda</t>
  </si>
  <si>
    <t>Servicios para la conservación y la reparación de la vivienda</t>
  </si>
  <si>
    <t>Otros servicios relacionados con la vivienda</t>
  </si>
  <si>
    <t>Combustibles líquidos</t>
  </si>
  <si>
    <t>Combustibles sólidos</t>
  </si>
  <si>
    <t>Artefactos para el hogar grandes, eléctricos o no</t>
  </si>
  <si>
    <t>Artefactos eléctricos para el hogar pequeños</t>
  </si>
  <si>
    <t>Artículos de vidrio y utensilios no eléctricoss</t>
  </si>
  <si>
    <t>Herramientas y Equipos para el Hogar</t>
  </si>
  <si>
    <t>Herramientas pequeñas y accesorios diversos</t>
  </si>
  <si>
    <t>Bienes para el hogar no duraderos</t>
  </si>
  <si>
    <t>Servicios domésticos y  para el hogar</t>
  </si>
  <si>
    <t>Productos Farmacéuticos</t>
  </si>
  <si>
    <t>Servicios paramédicos</t>
  </si>
  <si>
    <t>Vehículos a motor</t>
  </si>
  <si>
    <t>Funcionamiento de Equipo de Transporte</t>
  </si>
  <si>
    <t>Piezas de repuestos y accesorios para equipo de transporte</t>
  </si>
  <si>
    <t>Combustibles y lubricantes para equipo de transporte</t>
  </si>
  <si>
    <t>Conservación y reparación de equipo de transporte</t>
  </si>
  <si>
    <t>Otros servicios relativos al equipo de transporte</t>
  </si>
  <si>
    <t>Transporte de pasajeros por carretera</t>
  </si>
  <si>
    <t>Transporte de pasajeros por aire</t>
  </si>
  <si>
    <t>Equipos Telefónicos</t>
  </si>
  <si>
    <t>Servicios Telefónicos</t>
  </si>
  <si>
    <t>Servicios telefónicos</t>
  </si>
  <si>
    <t>Equipo para la recepción, grabación, y reproducción de sonidos e imágenes</t>
  </si>
  <si>
    <t>Equipo de procesamiento</t>
  </si>
  <si>
    <t>Animales domésticos</t>
  </si>
  <si>
    <t>Servicios de veterinaria y de otros tipos de animales domésticos</t>
  </si>
  <si>
    <t>Servicios de recreación y deportivos</t>
  </si>
  <si>
    <t>Servicios culturales</t>
  </si>
  <si>
    <t>Enseñanza preescolar y enseñanza primaria</t>
  </si>
  <si>
    <t>Enseñanza terciaria</t>
  </si>
  <si>
    <t>Restaurantes, cafés y establecimientos similares</t>
  </si>
  <si>
    <t>Salones de peluquería</t>
  </si>
  <si>
    <t>Otros aparatos, artículos y productos para la atención personal</t>
  </si>
  <si>
    <t>Efectos Personales</t>
  </si>
  <si>
    <t>Joyería, relojes de pared y relojes de pulsera</t>
  </si>
  <si>
    <t>Protección social</t>
  </si>
  <si>
    <t>Seguro relacionado con la salud</t>
  </si>
  <si>
    <t>Otros seguros</t>
  </si>
  <si>
    <t>Otros Servicios</t>
  </si>
  <si>
    <t>Cuadro No. 3.6</t>
  </si>
  <si>
    <t>Cuadro No. 3.14.2</t>
  </si>
  <si>
    <t>Dic. 2021</t>
  </si>
  <si>
    <t>Cuadro No. 3.17</t>
  </si>
  <si>
    <t>Cocoa</t>
  </si>
  <si>
    <t>Café, Arábica</t>
  </si>
  <si>
    <t>Café, Robusta</t>
  </si>
  <si>
    <t>Maní</t>
  </si>
  <si>
    <t xml:space="preserve">Soya </t>
  </si>
  <si>
    <t xml:space="preserve">Maíz </t>
  </si>
  <si>
    <t>Sorgo</t>
  </si>
  <si>
    <t>Arroz, Thai 5%</t>
  </si>
  <si>
    <t>Arroz, Thai 25%</t>
  </si>
  <si>
    <t>Arroz, Thai A.1</t>
  </si>
  <si>
    <t>Trigo, SRW US</t>
  </si>
  <si>
    <t>Trigo, HRW US</t>
  </si>
  <si>
    <t>Naranja</t>
  </si>
  <si>
    <t>Camarones, México</t>
  </si>
  <si>
    <t>Azúcar, EU</t>
  </si>
  <si>
    <t>Azúcar, US</t>
  </si>
  <si>
    <t>Tabaco, importaciones EU. U.V.</t>
  </si>
  <si>
    <t>Roca de fosfato</t>
  </si>
  <si>
    <t>DAP</t>
  </si>
  <si>
    <t>TSP</t>
  </si>
  <si>
    <t xml:space="preserve">Urea </t>
  </si>
  <si>
    <t>Cloruro de potasio</t>
  </si>
  <si>
    <t>($/bbl)</t>
  </si>
  <si>
    <t>($/mmbtu)</t>
  </si>
  <si>
    <t>(2010=100)</t>
  </si>
  <si>
    <t>($/kg)</t>
  </si>
  <si>
    <t>($/mt)</t>
  </si>
  <si>
    <t>Cuadro No. 3.18</t>
  </si>
  <si>
    <t>Base octubre 2019-septiembre 2020=100</t>
  </si>
  <si>
    <t>IPC general</t>
  </si>
  <si>
    <t>Indice</t>
  </si>
  <si>
    <t>Dic. 2022</t>
  </si>
  <si>
    <t>..</t>
  </si>
  <si>
    <t>Base enero 1999</t>
  </si>
  <si>
    <t>Base diciembre 2010</t>
  </si>
  <si>
    <t>Base anual oct 2019-sept 2020</t>
  </si>
  <si>
    <t>Interanual</t>
  </si>
  <si>
    <t>Base 
noviembre 1984</t>
  </si>
  <si>
    <t>Base 
enero 1999</t>
  </si>
  <si>
    <t>Base 
diciembre 2010*</t>
  </si>
  <si>
    <t>Base anual 
oct 19-sept 20*</t>
  </si>
  <si>
    <t>general</t>
  </si>
  <si>
    <t>Con dic.</t>
  </si>
  <si>
    <t>transables</t>
  </si>
  <si>
    <t>no transables</t>
  </si>
  <si>
    <t xml:space="preserve">Dic. </t>
  </si>
  <si>
    <t>Base anual : octubre 2019 - septiembre 2020=100</t>
  </si>
  <si>
    <t>Inflación general</t>
  </si>
  <si>
    <t>subyacente</t>
  </si>
  <si>
    <t xml:space="preserve">dic </t>
  </si>
  <si>
    <t xml:space="preserve">nov </t>
  </si>
  <si>
    <t xml:space="preserve">oct </t>
  </si>
  <si>
    <t xml:space="preserve">sep </t>
  </si>
  <si>
    <t xml:space="preserve">ene </t>
  </si>
  <si>
    <t xml:space="preserve">feb </t>
  </si>
  <si>
    <t xml:space="preserve">mar </t>
  </si>
  <si>
    <t xml:space="preserve">abr </t>
  </si>
  <si>
    <t xml:space="preserve">may </t>
  </si>
  <si>
    <t xml:space="preserve">jun </t>
  </si>
  <si>
    <t xml:space="preserve">jul </t>
  </si>
  <si>
    <t xml:space="preserve">ago </t>
  </si>
  <si>
    <t>Gas-oil regular</t>
  </si>
  <si>
    <t>GLP</t>
  </si>
  <si>
    <t>IPC combustibles, servicios de transporte y energía eléctrica</t>
  </si>
  <si>
    <t>Cuadro No. 3.14.1</t>
  </si>
  <si>
    <r>
      <t>Inflación subyacente</t>
    </r>
    <r>
      <rPr>
        <vertAlign val="superscript"/>
        <sz val="11"/>
        <color theme="1" tint="0.34998626667073579"/>
        <rFont val="Arial"/>
        <family val="2"/>
      </rPr>
      <t xml:space="preserve"> 1/</t>
    </r>
  </si>
  <si>
    <r>
      <t xml:space="preserve">Ozama </t>
    </r>
    <r>
      <rPr>
        <vertAlign val="superscript"/>
        <sz val="11"/>
        <color theme="1" tint="0.34998626667073579"/>
        <rFont val="Arial"/>
        <family val="2"/>
      </rPr>
      <t>1/</t>
    </r>
  </si>
  <si>
    <r>
      <t xml:space="preserve">Gasolina </t>
    </r>
    <r>
      <rPr>
        <i/>
        <sz val="11"/>
        <color theme="1" tint="0.34998626667073579"/>
        <rFont val="Arial"/>
        <family val="2"/>
      </rPr>
      <t>premium</t>
    </r>
  </si>
  <si>
    <r>
      <t xml:space="preserve">Gas-oil </t>
    </r>
    <r>
      <rPr>
        <i/>
        <sz val="11"/>
        <color theme="1" tint="0.34998626667073579"/>
        <rFont val="Arial"/>
        <family val="2"/>
      </rPr>
      <t>premium</t>
    </r>
    <r>
      <rPr>
        <sz val="11"/>
        <color theme="1" tint="0.34998626667073579"/>
        <rFont val="Arial"/>
        <family val="2"/>
      </rPr>
      <t xml:space="preserve"> (óptimo)</t>
    </r>
  </si>
  <si>
    <r>
      <t xml:space="preserve">IPC X </t>
    </r>
    <r>
      <rPr>
        <vertAlign val="superscript"/>
        <sz val="11"/>
        <color theme="1" tint="0.34998626667073579"/>
        <rFont val="Arial"/>
        <family val="2"/>
      </rPr>
      <t>1/</t>
    </r>
  </si>
  <si>
    <t>Cuadros</t>
  </si>
  <si>
    <t>Fuente: World Bank Commodity Price Data (The Pink Sheet) http://www.worldbank.org/en/research/commodity-markets</t>
  </si>
  <si>
    <t>Fuente: Avisos del Ministerio de Industria, Comercio y Mipymes (MICM).</t>
  </si>
  <si>
    <t>Fuente: Banco Central de la República Dominicana</t>
  </si>
  <si>
    <r>
      <rPr>
        <vertAlign val="superscript"/>
        <sz val="10"/>
        <color rgb="FF000000"/>
        <rFont val="Arial"/>
        <family val="2"/>
      </rPr>
      <t>1/</t>
    </r>
    <r>
      <rPr>
        <sz val="10"/>
        <color indexed="8"/>
        <rFont val="Arial"/>
        <family val="2"/>
      </rPr>
      <t xml:space="preserve"> Comprende el Distrito Nacional y la Provincia Santo Domingo.</t>
    </r>
  </si>
  <si>
    <r>
      <rPr>
        <vertAlign val="superscript"/>
        <sz val="10"/>
        <color theme="1"/>
        <rFont val="Arial"/>
        <family val="2"/>
      </rPr>
      <t>*/</t>
    </r>
    <r>
      <rPr>
        <sz val="10"/>
        <color theme="1"/>
        <rFont val="Arial"/>
        <family val="2"/>
      </rPr>
      <t>Comprende el Distrito Nacional y la Provincia Santo Domingo.</t>
    </r>
  </si>
  <si>
    <r>
      <rPr>
        <vertAlign val="superscript"/>
        <sz val="10"/>
        <rFont val="Arial"/>
        <family val="2"/>
      </rPr>
      <t>1/</t>
    </r>
    <r>
      <rPr>
        <sz val="10"/>
        <rFont val="Arial"/>
        <family val="2"/>
      </rPr>
      <t xml:space="preserve"> Excluye los precios de las combustibles, servicios de transporte y energía eléctrica. </t>
    </r>
  </si>
  <si>
    <t>Dic. 2023</t>
  </si>
  <si>
    <t>...</t>
  </si>
  <si>
    <t>…</t>
  </si>
  <si>
    <t>Petróleo Crudo, promedio</t>
  </si>
  <si>
    <t>Petróleo Crudo, Brent</t>
  </si>
  <si>
    <t>Petróleo Crudo, Dubai</t>
  </si>
  <si>
    <t>Petróleo Crudo, WTI</t>
  </si>
  <si>
    <t>Gas Natural, US</t>
  </si>
  <si>
    <t>Indice Gas Natural</t>
  </si>
  <si>
    <t>Aceite de Coco</t>
  </si>
  <si>
    <t>Aceite de Maní</t>
  </si>
  <si>
    <t>Aceite de Palma</t>
  </si>
  <si>
    <t>Aceite de Palmiste</t>
  </si>
  <si>
    <t>Aceite de Soya</t>
  </si>
  <si>
    <t>Carne de Soya</t>
  </si>
  <si>
    <t>Aceite de Colza</t>
  </si>
  <si>
    <t>Aceite de Girasol</t>
  </si>
  <si>
    <t>Cebada</t>
  </si>
  <si>
    <t>Arroz, Vietnamita 5%</t>
  </si>
  <si>
    <t>Guineo Maduro, Europa</t>
  </si>
  <si>
    <t>Guineo Maduro, US</t>
  </si>
  <si>
    <t>Carne de Vaca</t>
  </si>
  <si>
    <t>Carne de Pollo</t>
  </si>
  <si>
    <t>Azúcar, Mundo</t>
  </si>
  <si>
    <t>Indice de Algodón</t>
  </si>
  <si>
    <t>Aluminum</t>
  </si>
  <si>
    <t>Copper</t>
  </si>
  <si>
    <t>Cuadro No. 3.5</t>
  </si>
  <si>
    <t>Cuadro No. 3.9</t>
  </si>
  <si>
    <t>Dic. 2024</t>
  </si>
  <si>
    <t>dic 2024</t>
  </si>
  <si>
    <t>*El IPC  se transformó de la base diciembre 2010 a la base anual : octubre 2019 - septiembre 2020 =100, mediante un coeficiente de enlace 1.358727436.</t>
  </si>
  <si>
    <t>*El IPC  se transformó de la  base diciembre 2010 a la base anual : octubre 2019 - septiembre 2020 =100, mediante un coeficiente de enlace 1.358727436.</t>
  </si>
  <si>
    <t>Ozama*</t>
  </si>
  <si>
    <t>Cibao</t>
  </si>
  <si>
    <t>*El IPC  se transformó de la base diciembre 2010=100 a la base anual : octubre 2019 - septiembre 2020 =100, mediante un coeficiente de enlace de 1.358727436 para el Ipc general y 1.32848182223636 para el IPC de inflación  subyacente.</t>
  </si>
  <si>
    <t>1/ Excluye algunos bienes agropecuarios de alta volatilidad, bebidas alcohólicas, tabaco, combustibles, servicios administrados y de transporte, que representan el 30.19% de la canasta base anual octubre 2019-septiembre 2020=100.</t>
  </si>
  <si>
    <t>Fuente: Elaborado en base a los resultados de la Encuesta Nacional de Gastos e Ingresos de los Hogares (ENGIH 2018) realizada por el Banco Central de la República Dominicana (BCRD) e indexado por la evolución del Indice de Precios al Consumidor  (IPC) base octubre 2019-septiembre 2020 =100.</t>
  </si>
  <si>
    <t xml:space="preserve">
http://www.eia.gov/dnav/pet/pet_pri_spt_s1_d.htm</t>
  </si>
  <si>
    <t>Fuente: Informaciones de la Energy Information Administration (EIA).</t>
  </si>
  <si>
    <t>Var. Mensual (%)</t>
  </si>
  <si>
    <t>*Los coeficientes de enlace 1.35873, 1.35253 y 1.36449 se utilizaron como factores para convertir las series del IPC general, transables y no transables diciembre 2010=100 a la base anual octubre 2019 - septiembre 2020=100.</t>
  </si>
  <si>
    <t>Servicios</t>
  </si>
  <si>
    <t>*El IPC se transformó de la  base diciembre 2010 a la base anual : octubre 2019 - septiembre 2020 =100, mediante un coeficiente de enlace 1.358727436,  el IPC general, 1.36709724110069 Bienes y 1.34435805846518 Servicios.</t>
  </si>
  <si>
    <t>Índice de precios al consumidor nacional, 1984 - 2025</t>
  </si>
  <si>
    <t>Serie anual 1947 - 2025</t>
  </si>
  <si>
    <t>Índice de precios al consumidor por grupos de bienes y servicios, 1999 - 2025</t>
  </si>
  <si>
    <t>Dic. 2025</t>
  </si>
  <si>
    <t>Indice de precios al consumidor nacional, transables y no transables, 1999 - 2025</t>
  </si>
  <si>
    <t>Índice de precios al consumidor nacional y por quintiles de ingreso, 2020 - 2025</t>
  </si>
  <si>
    <t>Índice de precios al consumidor nacional y por regiones geográficas, 2011 - 2025</t>
  </si>
  <si>
    <t>Índice de precios al consumidor nacional, bienes y servicios, 2004 - 2025</t>
  </si>
  <si>
    <t>Índice de precios al consumidor nacional y subyacente, 2000 - 2025</t>
  </si>
  <si>
    <t>01 Alimentos y Bebidas No Alcohólicas</t>
  </si>
  <si>
    <t>011 Alimentos</t>
  </si>
  <si>
    <t xml:space="preserve">0111 Pan y cereales </t>
  </si>
  <si>
    <t>01111 Pan</t>
  </si>
  <si>
    <t>0111101 Pan sobado</t>
  </si>
  <si>
    <t>0111102 Pan de agua</t>
  </si>
  <si>
    <t>0111104 Pan Integral</t>
  </si>
  <si>
    <t>01112 Galletas y productos de panadería</t>
  </si>
  <si>
    <t>0111201 Galletas saladas</t>
  </si>
  <si>
    <t>0111202 Bizcochos</t>
  </si>
  <si>
    <t>0111203 Galletas dulces</t>
  </si>
  <si>
    <t>0111204 Galletas de harina</t>
  </si>
  <si>
    <t>0111205 Galletas de soda</t>
  </si>
  <si>
    <t>0111206 Galletas integrales</t>
  </si>
  <si>
    <t>01113 Cereales y harinas</t>
  </si>
  <si>
    <t>0111301 Corn Flakes</t>
  </si>
  <si>
    <t>0111302 Avena</t>
  </si>
  <si>
    <t>0111303 Harina de maíz</t>
  </si>
  <si>
    <t>0111304 Harina de trigo</t>
  </si>
  <si>
    <t>0111305 Cereales envasados</t>
  </si>
  <si>
    <t>01114 Arroz</t>
  </si>
  <si>
    <t>0111401 Arroz</t>
  </si>
  <si>
    <t>01115 Pastas alimenticias</t>
  </si>
  <si>
    <t>0111501 Spaghetti</t>
  </si>
  <si>
    <t>0111502 Fideos</t>
  </si>
  <si>
    <t>0111503 Pastas cortas</t>
  </si>
  <si>
    <t xml:space="preserve">0112 Carnes </t>
  </si>
  <si>
    <t>01121 Carne de res</t>
  </si>
  <si>
    <t>0112101 Carne corriente de res</t>
  </si>
  <si>
    <t>0112102 Carne de bola</t>
  </si>
  <si>
    <t>0112103 Carne molida de res</t>
  </si>
  <si>
    <t>01122 Carne de aves</t>
  </si>
  <si>
    <t>0112201 Pollo fresco</t>
  </si>
  <si>
    <t>0112202 Carne de gallina</t>
  </si>
  <si>
    <t>0112203 Pechuga de pollo</t>
  </si>
  <si>
    <t>01123 Carne de cerdo</t>
  </si>
  <si>
    <t>0112301 Carne corriente de cerdo</t>
  </si>
  <si>
    <t>0112302 Chuleta de cerdo</t>
  </si>
  <si>
    <t>0112304 Pierna de cerdo</t>
  </si>
  <si>
    <t>0112305 Costillas de cerdo</t>
  </si>
  <si>
    <t>01124 Otras carnes</t>
  </si>
  <si>
    <t>0112402 Hígado de res</t>
  </si>
  <si>
    <t>01125 Embutidos y carnes preparadas</t>
  </si>
  <si>
    <t>0112501 Salami</t>
  </si>
  <si>
    <t>0112502 Chuleta ahumada</t>
  </si>
  <si>
    <t>0112503 Jamones</t>
  </si>
  <si>
    <t>0112504 Longaniza</t>
  </si>
  <si>
    <t>0112506 Salchichas</t>
  </si>
  <si>
    <t>0112507 Costillita ahumada de cerdo</t>
  </si>
  <si>
    <t>0112508 Jamoneta</t>
  </si>
  <si>
    <t xml:space="preserve">0113 Pescado </t>
  </si>
  <si>
    <t>01131 Pescados y mariscos frescos, refrigerados y congelados</t>
  </si>
  <si>
    <t>0113101 Pescado fresco y refrigerado</t>
  </si>
  <si>
    <t>0113102 Camarones</t>
  </si>
  <si>
    <t>0113103 Tilapia</t>
  </si>
  <si>
    <t>01132 Pescados procesados y en conserva</t>
  </si>
  <si>
    <t>0113201 Bacalao</t>
  </si>
  <si>
    <t>0113202 Sardinas</t>
  </si>
  <si>
    <t>0113203 Arenque</t>
  </si>
  <si>
    <t>0113204 Atún</t>
  </si>
  <si>
    <t xml:space="preserve">0114 Leche, queso y huevos </t>
  </si>
  <si>
    <t>01141 Leche</t>
  </si>
  <si>
    <t>0114101 Leche en polvo</t>
  </si>
  <si>
    <t>0114102 Leche evaporada</t>
  </si>
  <si>
    <t>0114103 Leche líquida</t>
  </si>
  <si>
    <t>0114104 Leche maternizada</t>
  </si>
  <si>
    <t>0114105 Suplementos alimenticios (Ensure y similares)</t>
  </si>
  <si>
    <t>0114106 Leche de origen vegetal</t>
  </si>
  <si>
    <t>0114107 Leche saborizada</t>
  </si>
  <si>
    <t>0114108 Leche reforzada</t>
  </si>
  <si>
    <t>01142 Quesos</t>
  </si>
  <si>
    <t>0114201 Queso blanco</t>
  </si>
  <si>
    <t>0114202 Queso cheddar amarillo</t>
  </si>
  <si>
    <t>0114203 Queso holandés</t>
  </si>
  <si>
    <t>0114204 Otros Quesos (Mozarella, Danes)</t>
  </si>
  <si>
    <t>0114205 Queso de hoja</t>
  </si>
  <si>
    <t>01143 Yogurt y otros productos lácteos</t>
  </si>
  <si>
    <t>0114301 Yogurt</t>
  </si>
  <si>
    <t>01144 Huevos</t>
  </si>
  <si>
    <t>0114401 Huevos</t>
  </si>
  <si>
    <t xml:space="preserve">0115 Aceites y grasas </t>
  </si>
  <si>
    <t>01151 Aceites</t>
  </si>
  <si>
    <t>0115101 Aceite de soya</t>
  </si>
  <si>
    <t>0115104 Aceite puro de origen vegetal</t>
  </si>
  <si>
    <t>01152 Margarina y mantequilla</t>
  </si>
  <si>
    <t>0115202 Margarina</t>
  </si>
  <si>
    <t xml:space="preserve">0116 Frutas </t>
  </si>
  <si>
    <t>01161 Frutas frescas</t>
  </si>
  <si>
    <t>0116101 Plátano verde</t>
  </si>
  <si>
    <t>0116102 Guineo verde</t>
  </si>
  <si>
    <t>0116103 Aguacate</t>
  </si>
  <si>
    <t>0116104 Plátano maduro</t>
  </si>
  <si>
    <t>0116105 Lechoza</t>
  </si>
  <si>
    <t>0116106 Naranjas</t>
  </si>
  <si>
    <t>0116107 Limón agrio</t>
  </si>
  <si>
    <t>0116108 Guineo maduro</t>
  </si>
  <si>
    <t>0116109 Piña</t>
  </si>
  <si>
    <t>0116110 Manzanas</t>
  </si>
  <si>
    <t>0116112 Chinola</t>
  </si>
  <si>
    <t>0116113 Uvas</t>
  </si>
  <si>
    <t>01162 Frutas secas y procesadas</t>
  </si>
  <si>
    <t>0116201 Cocos secos</t>
  </si>
  <si>
    <t xml:space="preserve">0117 Legumbres-Hortalizas </t>
  </si>
  <si>
    <t>01171 Leguminosas</t>
  </si>
  <si>
    <t>0117101 Habichuelas pintas secas</t>
  </si>
  <si>
    <t>0117102 Habichuelas rojas secas</t>
  </si>
  <si>
    <t>0117103 Guandules verdes</t>
  </si>
  <si>
    <t>0117104 Habichuelas negras secas</t>
  </si>
  <si>
    <t>01172 Tubérculos</t>
  </si>
  <si>
    <t>0117201 Yuca</t>
  </si>
  <si>
    <t>0117202 Papa</t>
  </si>
  <si>
    <t>0117203 Ñame</t>
  </si>
  <si>
    <t>0117204 Yautía</t>
  </si>
  <si>
    <t>0117205 Batata</t>
  </si>
  <si>
    <t>01173 Hortalizas frescas</t>
  </si>
  <si>
    <t>0117301 Cebolla</t>
  </si>
  <si>
    <t>0117302 Ajo</t>
  </si>
  <si>
    <t>0117303 Ajíes</t>
  </si>
  <si>
    <t>0117304 Tomates</t>
  </si>
  <si>
    <t>0117305 Berenjena</t>
  </si>
  <si>
    <t>0117306 Auyama</t>
  </si>
  <si>
    <t>0117307 Lechuga</t>
  </si>
  <si>
    <t>0117308 Repollo</t>
  </si>
  <si>
    <t>0117309 Zanahoria</t>
  </si>
  <si>
    <t>0117310 Tayota</t>
  </si>
  <si>
    <t>0117311 Apio</t>
  </si>
  <si>
    <t>0117312 Pepino</t>
  </si>
  <si>
    <t>0117313 Brócoli y Coliflor</t>
  </si>
  <si>
    <t>01174 Productos vegetales en conserva</t>
  </si>
  <si>
    <t>0117402 Guandules verdes en lata</t>
  </si>
  <si>
    <t>0117403 Maíz en lata</t>
  </si>
  <si>
    <t>01175 Derivados de tubérculos</t>
  </si>
  <si>
    <t>0117501 Papitas fritas snacks</t>
  </si>
  <si>
    <t>0117502 Snacks y picaderas de todo tipo (excepto papitas fritas)</t>
  </si>
  <si>
    <t xml:space="preserve">0118 Azúcar,  chocolate y dulces de azúcar </t>
  </si>
  <si>
    <t>01181 Azúcar</t>
  </si>
  <si>
    <t>0118101 Azúcar morena</t>
  </si>
  <si>
    <t>0118102 Azúcar blanca refinada</t>
  </si>
  <si>
    <t>01182 Dulces, chocolates y golosinas</t>
  </si>
  <si>
    <t>0118202 Chocolates dulces</t>
  </si>
  <si>
    <t>0118204 Miel</t>
  </si>
  <si>
    <t>0118205 Mentas y Chiclets</t>
  </si>
  <si>
    <t>01183 Helados</t>
  </si>
  <si>
    <t>0118301 Helados</t>
  </si>
  <si>
    <t>0118302 Hielo</t>
  </si>
  <si>
    <t>0119 Otros productos alimenticios</t>
  </si>
  <si>
    <t>01191 Sal</t>
  </si>
  <si>
    <t>0119101 Sal</t>
  </si>
  <si>
    <t>01192 Condimentos, especies y aderezos</t>
  </si>
  <si>
    <t>0119201 Pasta de tomate</t>
  </si>
  <si>
    <t>0119202 Verduras</t>
  </si>
  <si>
    <t>0119203 Sazón en polvo</t>
  </si>
  <si>
    <t>0119204 Sazón líquido</t>
  </si>
  <si>
    <t>0119205 Mayonesa</t>
  </si>
  <si>
    <t>0119206 Vinagre</t>
  </si>
  <si>
    <t>0119207 Canela</t>
  </si>
  <si>
    <t>0119208 Orégano</t>
  </si>
  <si>
    <t>0119209 Catchup</t>
  </si>
  <si>
    <t>01193 Otros productos alimenticios</t>
  </si>
  <si>
    <t>0119301 Caldo de pollo</t>
  </si>
  <si>
    <t>0119302 Compota</t>
  </si>
  <si>
    <t>0119303 Sopa instantánea (sopa china)</t>
  </si>
  <si>
    <t>012 Bebidas No Alcohólicas</t>
  </si>
  <si>
    <t xml:space="preserve">0121 Café y cacao </t>
  </si>
  <si>
    <t xml:space="preserve">01211 Café </t>
  </si>
  <si>
    <t>0121101 Café</t>
  </si>
  <si>
    <t>01212 Chocolates para bebidas</t>
  </si>
  <si>
    <t>0121201 Chocolate en barra</t>
  </si>
  <si>
    <t>0121202 Chocolate en polvo</t>
  </si>
  <si>
    <t>0122 Aguas minerales, refrescos y jugos de frutas</t>
  </si>
  <si>
    <t>01221 Refrescos</t>
  </si>
  <si>
    <t>0122101 Refrescos</t>
  </si>
  <si>
    <t>0122103 Bebidas hidratantes</t>
  </si>
  <si>
    <t>01222 Jugos y aguas minerales</t>
  </si>
  <si>
    <t>0122201 Agua purificada</t>
  </si>
  <si>
    <t>0122202 Jugos envasados</t>
  </si>
  <si>
    <t>0122203 Jugos en polvo</t>
  </si>
  <si>
    <t>0122204 Jugo de naranja pasteurizado</t>
  </si>
  <si>
    <t>02 Bebidas Alcohólicas y Tabaco</t>
  </si>
  <si>
    <t>021 Bebidas Alcohólicas</t>
  </si>
  <si>
    <t xml:space="preserve">0211 Bebidas destiladas </t>
  </si>
  <si>
    <t>02111 Bebidas destiladas</t>
  </si>
  <si>
    <t>0211101 Whisky</t>
  </si>
  <si>
    <t>0211102 Ron añejo</t>
  </si>
  <si>
    <t>0211103 Ron blanco</t>
  </si>
  <si>
    <t>0211104 Ron dorado</t>
  </si>
  <si>
    <t xml:space="preserve">0212 Vino </t>
  </si>
  <si>
    <t>02121 Vinos</t>
  </si>
  <si>
    <t>0212101 Vino</t>
  </si>
  <si>
    <t xml:space="preserve">0213 Cerveza </t>
  </si>
  <si>
    <t>02131 Cerveza</t>
  </si>
  <si>
    <t>0213101 Cerveza envasada</t>
  </si>
  <si>
    <t>0213102 Malta</t>
  </si>
  <si>
    <t>022 Tabaco</t>
  </si>
  <si>
    <t xml:space="preserve">0221 Tabaco </t>
  </si>
  <si>
    <t>02211 Cigarrillos y tabaco</t>
  </si>
  <si>
    <t>0221101 Cigarrillos</t>
  </si>
  <si>
    <t>03 Prendas de Vestir y Calzado</t>
  </si>
  <si>
    <t xml:space="preserve">031 Prendas de Vestir </t>
  </si>
  <si>
    <t xml:space="preserve">0312 Prendas de vestir </t>
  </si>
  <si>
    <t>03121 Prendas de vestir para hombre y niño</t>
  </si>
  <si>
    <t>0312101 Pantalón sport de hombre</t>
  </si>
  <si>
    <t>0312102 Poloshirt para hombre</t>
  </si>
  <si>
    <t>0312103 Camisa de vestir para hombre</t>
  </si>
  <si>
    <t>0312105 Pantalón de vestir de hombre</t>
  </si>
  <si>
    <t>0312107 Pantaloncillos</t>
  </si>
  <si>
    <t>0312110 Camiseta interior para hombre</t>
  </si>
  <si>
    <t>03122 Prendas de vestir para mujer</t>
  </si>
  <si>
    <t>0312201 Blusa de vestir para mujer</t>
  </si>
  <si>
    <t>0312202 Blusa sport de mujer</t>
  </si>
  <si>
    <t>0312203 Pantalón sport de mujer</t>
  </si>
  <si>
    <t>0312204 Panties</t>
  </si>
  <si>
    <t>0312205 Trajes para mujer</t>
  </si>
  <si>
    <t>0312206 Brassiers</t>
  </si>
  <si>
    <t>0312207 Pantalón de vestir de mujer</t>
  </si>
  <si>
    <t>0312209 Falda para mujer</t>
  </si>
  <si>
    <t>03123 Prendas de vestir de niños y niñas</t>
  </si>
  <si>
    <t>0312301 Conjunto para bebé</t>
  </si>
  <si>
    <t>0312302 Pantalón de jeans para niños</t>
  </si>
  <si>
    <t>0312303 T-shirt para niño</t>
  </si>
  <si>
    <t>0312304 Conjunto para niña</t>
  </si>
  <si>
    <t>0312305 Uniforme escolar</t>
  </si>
  <si>
    <t>0312306 T-shirt para niña</t>
  </si>
  <si>
    <t xml:space="preserve">0313 Otros artículos y  accesorios de vestir </t>
  </si>
  <si>
    <t>03131 Accesorios de vestir</t>
  </si>
  <si>
    <t>0313101 Correa de cuero</t>
  </si>
  <si>
    <t>0313102 Gorra deportiva para hombre</t>
  </si>
  <si>
    <t xml:space="preserve">0314 Limpieza, reparación y alquiler de prendas de vestir </t>
  </si>
  <si>
    <t>03141 Confección y reparación de ropa</t>
  </si>
  <si>
    <t>0314102 Limpieza de ropa en lavandería</t>
  </si>
  <si>
    <t>032 Calzado</t>
  </si>
  <si>
    <t xml:space="preserve">0321 Zapatos y otros calzados </t>
  </si>
  <si>
    <t>03211 Zapatos para hombre</t>
  </si>
  <si>
    <t>0321101 Tenis para hombres</t>
  </si>
  <si>
    <t>0321102 Zapatos para hombre</t>
  </si>
  <si>
    <t>0321104 Chancleta o calipso para hombre</t>
  </si>
  <si>
    <t>03212 Zapatos para mujer</t>
  </si>
  <si>
    <t>0321201 Zapatillas para mujer</t>
  </si>
  <si>
    <t>0321202 Zapatos para mujer</t>
  </si>
  <si>
    <t>0321203 Tenis para mujer</t>
  </si>
  <si>
    <t>0321205 Chancleta o calipso para mujer</t>
  </si>
  <si>
    <t>03214 Zapatos para niños y niñas</t>
  </si>
  <si>
    <t>0321401 Tenis para niños</t>
  </si>
  <si>
    <t>0321402 Zapatos para niños</t>
  </si>
  <si>
    <t>04 Vivienda</t>
  </si>
  <si>
    <t>041 Alquileres Efectivos de Alojamiento</t>
  </si>
  <si>
    <t xml:space="preserve">0411 Alquileres efectivos </t>
  </si>
  <si>
    <t>04111 Alquiler de la vivienda</t>
  </si>
  <si>
    <t>0411101 Alquiler de vivienda</t>
  </si>
  <si>
    <t>043 Conservación y Reparación de la Vivienda</t>
  </si>
  <si>
    <t xml:space="preserve">0431 Materiales para la conservación y reparación de la vivienda </t>
  </si>
  <si>
    <t>04311 Materiales para la conservación de la vivienda</t>
  </si>
  <si>
    <t>0431101 Pinturas</t>
  </si>
  <si>
    <t xml:space="preserve">0432 Servicios para la conservación y la reparación de la vivienda </t>
  </si>
  <si>
    <t>04321 Servicios para la conservación de la vivienda</t>
  </si>
  <si>
    <t>0432101 Reparación de puertas</t>
  </si>
  <si>
    <t>0432103 Servicios de mantenimiento de la vivienda</t>
  </si>
  <si>
    <t>044 Suministro de Agua y Servicios Relacionados con la Vivienda</t>
  </si>
  <si>
    <t xml:space="preserve">0441 Suministro de agua </t>
  </si>
  <si>
    <t>04411 Suministro de agua</t>
  </si>
  <si>
    <t>0441101 Servicio de agua</t>
  </si>
  <si>
    <t>0441102 Agua servida por camiones</t>
  </si>
  <si>
    <t xml:space="preserve">0442 Recogida de basura </t>
  </si>
  <si>
    <t>04421 Recogida de basura</t>
  </si>
  <si>
    <t>0442101 Servicio de recogida de basura</t>
  </si>
  <si>
    <t>0443 Otros servicios relacionados con la vivienda</t>
  </si>
  <si>
    <t>04431 Otros servicios relacionados con la vivienda</t>
  </si>
  <si>
    <t>0443101 Gastos comunes en copropiedad</t>
  </si>
  <si>
    <t>045 Electricidad, Gas y Otros Combustibles</t>
  </si>
  <si>
    <t xml:space="preserve">0451 Electricidad </t>
  </si>
  <si>
    <t>04511 Electricidad</t>
  </si>
  <si>
    <t>0451101 Servicio de energía eléctrica</t>
  </si>
  <si>
    <t xml:space="preserve">0452 Gas </t>
  </si>
  <si>
    <t>04521 Gas</t>
  </si>
  <si>
    <t>0452101 Gas licuado de uso doméstico</t>
  </si>
  <si>
    <t xml:space="preserve">0453 Combustibles líquidos </t>
  </si>
  <si>
    <t>04531 Otros combustibles</t>
  </si>
  <si>
    <t>0453101 Gas kerosene</t>
  </si>
  <si>
    <t>0453102 Trementina</t>
  </si>
  <si>
    <t>0454 Combustibles sólidos</t>
  </si>
  <si>
    <t>04541 Combustibles sólidos</t>
  </si>
  <si>
    <t>0454101 Carbón vegetal</t>
  </si>
  <si>
    <t>05 Muebles y Artículos para el Hogar</t>
  </si>
  <si>
    <t>051 Muebles y Accesorios</t>
  </si>
  <si>
    <t xml:space="preserve">0511 Muebles y accesorios </t>
  </si>
  <si>
    <t>05111 Muebles y accesorios</t>
  </si>
  <si>
    <t>0511101 Juego de sala</t>
  </si>
  <si>
    <t>0511102 Camas</t>
  </si>
  <si>
    <t>0511103 Juego de comedor</t>
  </si>
  <si>
    <t>0511104 Colchón</t>
  </si>
  <si>
    <t>0511105 Cuna</t>
  </si>
  <si>
    <t>0513 Reparación de muebles</t>
  </si>
  <si>
    <t>05131 Reparación de muebles</t>
  </si>
  <si>
    <t>0513101 Reparación de muebles</t>
  </si>
  <si>
    <t>052 Productos Textiles para el Hogar</t>
  </si>
  <si>
    <t xml:space="preserve">0521 Productos textiles para el hogar </t>
  </si>
  <si>
    <t>05211 Productos textiles para el hogar</t>
  </si>
  <si>
    <t>0521101 Sábanas</t>
  </si>
  <si>
    <t>0521103 Mosquiteros</t>
  </si>
  <si>
    <t>0521104 Toallas</t>
  </si>
  <si>
    <t>0521105 Colchas ó cubrecamas</t>
  </si>
  <si>
    <t>0521106 Cortinas de tela</t>
  </si>
  <si>
    <t>0521107 Almohadas</t>
  </si>
  <si>
    <t>053 Artefactos para el Hogar</t>
  </si>
  <si>
    <t xml:space="preserve">0531 Artefactos para el hogar grandes, eléctricos o no </t>
  </si>
  <si>
    <t>05311 Artefactos grandes para el hogar</t>
  </si>
  <si>
    <t>0531101 Nevera</t>
  </si>
  <si>
    <t>0531102 Lavadora</t>
  </si>
  <si>
    <t>0531103 Estufa de gas</t>
  </si>
  <si>
    <t>0531105 Equipos de climatización</t>
  </si>
  <si>
    <t xml:space="preserve">0532 Artefactos eléctricos para el hogar pequeños </t>
  </si>
  <si>
    <t>05321 Artefactos pequeños para el hogar</t>
  </si>
  <si>
    <t>0532101 Abanicos portátiles</t>
  </si>
  <si>
    <t>0532102 Licuadora</t>
  </si>
  <si>
    <t>054 Artículos de Vidrio y Utensilios para el  Hogar</t>
  </si>
  <si>
    <t xml:space="preserve">0541 Artículos de vidrio y utensilios no eléctricoss </t>
  </si>
  <si>
    <t>05411 Artículos y utensilios para el hogar</t>
  </si>
  <si>
    <t>0541103 Cuchillo</t>
  </si>
  <si>
    <t>0541104 Utensilios para cocina</t>
  </si>
  <si>
    <t>0541105 Vajilla para el hogar</t>
  </si>
  <si>
    <t xml:space="preserve">055 Herramientas y Equipos para el Hogar </t>
  </si>
  <si>
    <t xml:space="preserve">0552 Herramientas pequeñas y accesorios diversos </t>
  </si>
  <si>
    <t>05521 Herramientas y artefactos pequeños para el hogar</t>
  </si>
  <si>
    <t>0552101 Bombillas</t>
  </si>
  <si>
    <t>0552103 Cerradura de puerta para el hogar</t>
  </si>
  <si>
    <t>056 Bienes y Servicios para Conservación del Hogar</t>
  </si>
  <si>
    <t xml:space="preserve">0561 Bienes para el hogar no duraderos </t>
  </si>
  <si>
    <t>05611 Productos de limpieza y artículos para el hogar</t>
  </si>
  <si>
    <t>0561101 Detergentes</t>
  </si>
  <si>
    <t>0561102 Cloro</t>
  </si>
  <si>
    <t>0561103 Jabones</t>
  </si>
  <si>
    <t>0561104 Velas</t>
  </si>
  <si>
    <t>0561105 Desinfectantes</t>
  </si>
  <si>
    <t>0561106 Suavizante de ropa</t>
  </si>
  <si>
    <t>0561107 Fósforos</t>
  </si>
  <si>
    <t>0561109 Brillo verde</t>
  </si>
  <si>
    <t>0561110 Ambientadores</t>
  </si>
  <si>
    <t>0561111 Escobas y suaper</t>
  </si>
  <si>
    <t xml:space="preserve">0562 Servicios domésticos y  para el hogar </t>
  </si>
  <si>
    <t>05621 Servicio doméstico</t>
  </si>
  <si>
    <t>0562101 Servicio doméstico</t>
  </si>
  <si>
    <t>06 Salud</t>
  </si>
  <si>
    <t>061 Productos, Artefactos y Equipos Médicos</t>
  </si>
  <si>
    <t xml:space="preserve">0611 Productos Farmacéuticos </t>
  </si>
  <si>
    <t>06111 Productos farmacéuticos</t>
  </si>
  <si>
    <t>0611101 Antihipertensivos</t>
  </si>
  <si>
    <t>0611102 Antibióticos</t>
  </si>
  <si>
    <t>0611103 Antigripales</t>
  </si>
  <si>
    <t>0611104 Analgésicos</t>
  </si>
  <si>
    <t>0611105 Vitaminas</t>
  </si>
  <si>
    <t>0611106 Antiinflamatorios</t>
  </si>
  <si>
    <t>0611107 Insulina</t>
  </si>
  <si>
    <t>0611108 Antiácidos</t>
  </si>
  <si>
    <t>0611109 Antidiarréicos y antiespasmódicos</t>
  </si>
  <si>
    <t>0611110 Antiparasitarios</t>
  </si>
  <si>
    <t>0611111 Complejo B</t>
  </si>
  <si>
    <t>0611112 Gotas oftálmologicas</t>
  </si>
  <si>
    <t>0611113 Antialérgicos y Antihistamínicos</t>
  </si>
  <si>
    <t>0611114 Medicamento para las Tiroides</t>
  </si>
  <si>
    <t>0611115 Medicamento para la diabetes (no insulina)</t>
  </si>
  <si>
    <t>0611116 Antiulceroso</t>
  </si>
  <si>
    <t>0611117 Medicamentos para el sistema nervioso</t>
  </si>
  <si>
    <t>0611120 Medicamento para Osteoporosis</t>
  </si>
  <si>
    <t>0611122 Antitusivo y broncodilatador</t>
  </si>
  <si>
    <t>0611123 Anticonceptivo oral</t>
  </si>
  <si>
    <t xml:space="preserve">0613 Artefactos y equipo terapéuticos </t>
  </si>
  <si>
    <t>06131 Artefactos y equipo terapéuticos</t>
  </si>
  <si>
    <t>0613101 Anteojos</t>
  </si>
  <si>
    <t>062 Servicios para Pacientes Externos</t>
  </si>
  <si>
    <t xml:space="preserve">0621 Servicios médicos </t>
  </si>
  <si>
    <t>06211 Servicios médicos</t>
  </si>
  <si>
    <t>0621101 Consulta médico ginecólogo</t>
  </si>
  <si>
    <t>0621102 Consulta médico general</t>
  </si>
  <si>
    <t>0621103 Consulta médico cardiólogo</t>
  </si>
  <si>
    <t>0621104 Consulta médico pediatra</t>
  </si>
  <si>
    <t xml:space="preserve">0622 Servicios dentales </t>
  </si>
  <si>
    <t>06221 Servicios dentales</t>
  </si>
  <si>
    <t>0622102 Consulta odontológica</t>
  </si>
  <si>
    <t>0622104 Servicio de ortodoncia</t>
  </si>
  <si>
    <t xml:space="preserve">0623 Servicios paramédicos </t>
  </si>
  <si>
    <t>06231 Análisis de laboratorio</t>
  </si>
  <si>
    <t>0623101 Análisis de laboratorio</t>
  </si>
  <si>
    <t>06232 Estudios de sonido e imagen</t>
  </si>
  <si>
    <t>0623201 Análisis de imágenes</t>
  </si>
  <si>
    <t>0623202 Pruebas de imágenes especializadas</t>
  </si>
  <si>
    <t>063 Servicios de Hospital</t>
  </si>
  <si>
    <t xml:space="preserve">0631 Servicios de hospital  </t>
  </si>
  <si>
    <t>06311 Servicios de hospital</t>
  </si>
  <si>
    <t>0631101 Internamiento</t>
  </si>
  <si>
    <t>0631102 Costo de cirugía</t>
  </si>
  <si>
    <t>07 Transporte</t>
  </si>
  <si>
    <t>071 Adquisición de Vehículos</t>
  </si>
  <si>
    <t xml:space="preserve">0711 Vehículos a motor </t>
  </si>
  <si>
    <t>07111 Adquisición de vehículos</t>
  </si>
  <si>
    <t>0711101 Automóviles</t>
  </si>
  <si>
    <t xml:space="preserve">0712 Motocicletas </t>
  </si>
  <si>
    <t>07121 Adquisición de motocicletas</t>
  </si>
  <si>
    <t>0712101 Motocicletas</t>
  </si>
  <si>
    <t xml:space="preserve">072 Funcionamiento de Equipo de Transporte </t>
  </si>
  <si>
    <t xml:space="preserve">0721 Piezas de repuestos y accesorios para equipo de transporte </t>
  </si>
  <si>
    <t>07211 Repuestos y accesorios para vehículos</t>
  </si>
  <si>
    <t>0721101 Gomas</t>
  </si>
  <si>
    <t>0721102 Baterías de vehículo</t>
  </si>
  <si>
    <t>0721103 Filtros de vehículo</t>
  </si>
  <si>
    <t>0721104 Bujías</t>
  </si>
  <si>
    <t>0721105 Banda de frenos</t>
  </si>
  <si>
    <t xml:space="preserve">0722 Combustibles y lubricantes para equipo de transporte </t>
  </si>
  <si>
    <t>07221 Combustibles y lubricantes para vehículos</t>
  </si>
  <si>
    <t>0722101 Gasolina regular</t>
  </si>
  <si>
    <t>0722102 Gasolina premium</t>
  </si>
  <si>
    <t>0722103 Gas licuado para vehículos (GLP)</t>
  </si>
  <si>
    <t>0722104 Gasoil</t>
  </si>
  <si>
    <t>0722105 Lubricantes y aceites para vehículos</t>
  </si>
  <si>
    <t xml:space="preserve">0723 Conservación y reparación de equipo de transporte </t>
  </si>
  <si>
    <t>07231 Conservación y reparación de vehículos</t>
  </si>
  <si>
    <t>0723101 Servicio de reparación de vehículos</t>
  </si>
  <si>
    <t>0723102 Lavado del vehículo</t>
  </si>
  <si>
    <t>0724 Otros servicios relativos al equipo de transporte</t>
  </si>
  <si>
    <t>07241 Otros servicios relativos al equipo de transporte</t>
  </si>
  <si>
    <t>0724101 Peajes</t>
  </si>
  <si>
    <t>0724102 Licencia de conducir (renovación)</t>
  </si>
  <si>
    <t>073 Servicios de Transporte</t>
  </si>
  <si>
    <t xml:space="preserve">0732 Transporte de pasajeros por carretera </t>
  </si>
  <si>
    <t>07321 Transporte terrestre urbano</t>
  </si>
  <si>
    <t>0732101 Pasaje en carro público</t>
  </si>
  <si>
    <t>0732102 Pasaje en motoconcho</t>
  </si>
  <si>
    <t>0732103 Pasaje en autobús urbano</t>
  </si>
  <si>
    <t>0732104 Servicio de taxi</t>
  </si>
  <si>
    <t>0732105 Transporte escolar</t>
  </si>
  <si>
    <t>0732106 Metro</t>
  </si>
  <si>
    <t>07322 Transporte terrestre interurbano</t>
  </si>
  <si>
    <t>0732201 Pasaje en guaguas sindicalizadas</t>
  </si>
  <si>
    <t>0732202 Pasajes en guaguas (Metro, Caribe Tours...)</t>
  </si>
  <si>
    <t>0732203 Pasaje interurbano en camioneta</t>
  </si>
  <si>
    <t xml:space="preserve">0733 Transporte de pasajeros por aire </t>
  </si>
  <si>
    <t>07331 Transporte aéreo</t>
  </si>
  <si>
    <t>0733101 Pasaje al exterior</t>
  </si>
  <si>
    <t>08 Comunicaciones</t>
  </si>
  <si>
    <t>082 Equipos Telefónicos</t>
  </si>
  <si>
    <t>0821 Equipos Telefónicos</t>
  </si>
  <si>
    <t>08211 Equipos Telefónicos</t>
  </si>
  <si>
    <t>0821101 Equipo telefónico celular</t>
  </si>
  <si>
    <t xml:space="preserve">083 Servicios Telefónicos </t>
  </si>
  <si>
    <t xml:space="preserve">0831 Servicios telefónicos </t>
  </si>
  <si>
    <t>08311 Servicios de telefonía fija</t>
  </si>
  <si>
    <t>0831101 Servicio telefónico fijo</t>
  </si>
  <si>
    <t>0831102 Servicio de internet</t>
  </si>
  <si>
    <t>0831104 Servicios combinados de telefonía, televisión pagada e internet</t>
  </si>
  <si>
    <t>08312 Servicios de telefonía celular</t>
  </si>
  <si>
    <t>0831201 Servicios de telefonía celular</t>
  </si>
  <si>
    <t>09 Recreación y Cultura</t>
  </si>
  <si>
    <t>091 Equipo Audiovisual  y de Procesamiento de Información</t>
  </si>
  <si>
    <t xml:space="preserve">0911 Equipo para la recepción, grabación, y reproducción de sonidos e imágenes </t>
  </si>
  <si>
    <t>09111 Equipos de audio y video</t>
  </si>
  <si>
    <t>0911101 Televisor</t>
  </si>
  <si>
    <t>0911104 Accesorios para equipos de  sonido</t>
  </si>
  <si>
    <t xml:space="preserve">0913 Equipo de procesamiento </t>
  </si>
  <si>
    <t xml:space="preserve">09131 Equipo de procesamiento </t>
  </si>
  <si>
    <t>0913101 Computadoras y tablets</t>
  </si>
  <si>
    <t>093 Otros Artículos y Equipo para Recreación y Animales Domésticos</t>
  </si>
  <si>
    <t xml:space="preserve">0931 Juegos y juguetes  </t>
  </si>
  <si>
    <t>09311 Juegos y juguetes</t>
  </si>
  <si>
    <t>0931101 Juguetes</t>
  </si>
  <si>
    <t>0932 Equipo de deportes y recreación al aire libre</t>
  </si>
  <si>
    <t>09321 Equipos de deporte y recreación</t>
  </si>
  <si>
    <t>0932102 Equipos para deportes</t>
  </si>
  <si>
    <t xml:space="preserve">0934 Animales domésticos </t>
  </si>
  <si>
    <t>09341 Animales domésticos y productos conexos</t>
  </si>
  <si>
    <t>0934101 Alimentos para animales domésticos</t>
  </si>
  <si>
    <t>0934102 Productos para cuidado de mascotas</t>
  </si>
  <si>
    <t>0935 Servicios de veterinaria y de otros tipos de animales domésticos</t>
  </si>
  <si>
    <t>09351 Servicios de veterinaria y de otros tipos de animales domésticos</t>
  </si>
  <si>
    <t>0935101 Servicios de veterinaria para animales domésticos</t>
  </si>
  <si>
    <t>094 Servicios de Recreación y Culturales</t>
  </si>
  <si>
    <t xml:space="preserve">0941 Servicios de recreación y deportivos </t>
  </si>
  <si>
    <t>09411 Servicio de recreación y deporte</t>
  </si>
  <si>
    <t>0941101 Cuota de gimnasio</t>
  </si>
  <si>
    <t xml:space="preserve">0942 Servicios culturales </t>
  </si>
  <si>
    <t>09421 Servicio de cultura</t>
  </si>
  <si>
    <t>0942101 Televisión por suscripción</t>
  </si>
  <si>
    <t>0942103 Cine</t>
  </si>
  <si>
    <t xml:space="preserve">0943 Juegos de azar </t>
  </si>
  <si>
    <t>09431 Juegos de azar</t>
  </si>
  <si>
    <t>0943101 Loterias</t>
  </si>
  <si>
    <t>095 Periódicos, Libros y Papeles y Útiles de Oficina</t>
  </si>
  <si>
    <t xml:space="preserve">0951 Libros </t>
  </si>
  <si>
    <t>09511 Libros</t>
  </si>
  <si>
    <t>0951101 Libros escolares</t>
  </si>
  <si>
    <t>0951102 Textos universitarios</t>
  </si>
  <si>
    <t>0954 Papel y útiles de oficina</t>
  </si>
  <si>
    <t xml:space="preserve">09541 Papel y útiles de oficina </t>
  </si>
  <si>
    <t>0954101 Cuadernos</t>
  </si>
  <si>
    <t>0954102 Lápiz</t>
  </si>
  <si>
    <t>0954103 Goma de borrar</t>
  </si>
  <si>
    <t>0954104 Resma de papel blanco 8.5" x 11"</t>
  </si>
  <si>
    <t>096 Paquetes Turísticos</t>
  </si>
  <si>
    <t xml:space="preserve">0961 Paquetes turísticos </t>
  </si>
  <si>
    <t>09611 Paquetes turísticos</t>
  </si>
  <si>
    <t>0961101 Paquetes turísticos</t>
  </si>
  <si>
    <t>10 Educación</t>
  </si>
  <si>
    <t>101 Enseñanza Preescolar y Enseñanza Primaria</t>
  </si>
  <si>
    <t xml:space="preserve">1011 Enseñanza preescolar y enseñanza primaria </t>
  </si>
  <si>
    <t>10111 Enseñanza preescolar</t>
  </si>
  <si>
    <t>1011101 Enseñanza preescolar</t>
  </si>
  <si>
    <t>10112 Enseñanza primaria</t>
  </si>
  <si>
    <t>1011201 Enseñanza primaria</t>
  </si>
  <si>
    <t>102 Enseñanza Secundaria</t>
  </si>
  <si>
    <t xml:space="preserve">1021 Enseñanza secundaria </t>
  </si>
  <si>
    <t>10211 Enseñanza secundaria</t>
  </si>
  <si>
    <t>1021101 Enseñanza secundaria</t>
  </si>
  <si>
    <t>104 Enseñanza Terciaria</t>
  </si>
  <si>
    <t xml:space="preserve">1041 Enseñanza terciaria </t>
  </si>
  <si>
    <t>10411 Enseñanza universitaria</t>
  </si>
  <si>
    <t>1041101 Enseñanza universitaria</t>
  </si>
  <si>
    <t>105 Enseñanza no Atribuible a Ningún Nivel</t>
  </si>
  <si>
    <t xml:space="preserve">1051 Enseñanza no atribuible a ningún nivel </t>
  </si>
  <si>
    <t>10511 Enseñanza no atribuible a ningún nivel</t>
  </si>
  <si>
    <t>1051101 Clases de idiomas</t>
  </si>
  <si>
    <t>11 Restaurantes y Hoteles</t>
  </si>
  <si>
    <t>111 Servicios de Suministro de Comidas por Contrato</t>
  </si>
  <si>
    <t xml:space="preserve">1111 Restaurantes, cafés y establecimientos similares </t>
  </si>
  <si>
    <t>11111 Servicio de comida fuera del hogar</t>
  </si>
  <si>
    <t>1111101 Plato del día</t>
  </si>
  <si>
    <t>1111102 Servicio de víveres con acompañamiento</t>
  </si>
  <si>
    <t>1111103 Servicio de pollo</t>
  </si>
  <si>
    <t>1111104 Sandwiches</t>
  </si>
  <si>
    <t>1111105 Pizza</t>
  </si>
  <si>
    <t>1111106 Empanadas</t>
  </si>
  <si>
    <t>1111107 Comida china</t>
  </si>
  <si>
    <t>1111108 Hamburguesas</t>
  </si>
  <si>
    <t>1111116 Postres</t>
  </si>
  <si>
    <t>1111117 Hot Dog</t>
  </si>
  <si>
    <t>11112 Bebidas alcohólicas y no alcohólicas servidas</t>
  </si>
  <si>
    <t>1111201 Cerveza servida fuera del hogar</t>
  </si>
  <si>
    <t>1111202 Jugo servido fuera del hogar</t>
  </si>
  <si>
    <t>1111203 Batida de fruta con leche</t>
  </si>
  <si>
    <t>1111204 Gaseosa servida fuera del hogar</t>
  </si>
  <si>
    <t>1111205 Café servido fuera del hogar</t>
  </si>
  <si>
    <t>112 Servicios de Alojamiento</t>
  </si>
  <si>
    <t xml:space="preserve">1121 Servicios de alojamiento </t>
  </si>
  <si>
    <t>11211 Servicios de alojamiento</t>
  </si>
  <si>
    <t>1121101 Servicio de alojamiento</t>
  </si>
  <si>
    <t>12 Bienes y Servicios Diversos</t>
  </si>
  <si>
    <t>121 Cuidado Personal</t>
  </si>
  <si>
    <t xml:space="preserve">1211 Salones de peluquería </t>
  </si>
  <si>
    <t>12111 Servicios de cuidado personal</t>
  </si>
  <si>
    <t>1211101 Lavado y peinado de pelo</t>
  </si>
  <si>
    <t>1211102 Corte de pelo para hombre</t>
  </si>
  <si>
    <t>1211103 Aplicación de desrizado</t>
  </si>
  <si>
    <t>1211104 Aplicación de tintes</t>
  </si>
  <si>
    <t>1211105 Arreglo de uñas (Manicure)</t>
  </si>
  <si>
    <t>1211106 Arreglo de pies (Pedicure)</t>
  </si>
  <si>
    <t>1211107 Corte de pelo para mujer</t>
  </si>
  <si>
    <t>1211108 Afeitado, Arreglo de barba y Cerquillo</t>
  </si>
  <si>
    <t xml:space="preserve">1213 Otros aparatos, artículos y productos para la atención personal </t>
  </si>
  <si>
    <t>12131 Artículos de cuidado personal</t>
  </si>
  <si>
    <t>1213101 Pañales desechables</t>
  </si>
  <si>
    <t>1213102 Desodorantes</t>
  </si>
  <si>
    <t>1213103 Papel higiénico</t>
  </si>
  <si>
    <t>1213104 Perfumes</t>
  </si>
  <si>
    <t>1213105 Pasta dental</t>
  </si>
  <si>
    <t>1213106 Toallas sanitarias</t>
  </si>
  <si>
    <t>1213107 Jabón de baño</t>
  </si>
  <si>
    <t>1213108 Rasuradora</t>
  </si>
  <si>
    <t>1213109 Shampoo</t>
  </si>
  <si>
    <t>1213110 Tratamientos para el pelo</t>
  </si>
  <si>
    <t>1213111 Tintes para el cabello</t>
  </si>
  <si>
    <t>1213112 Cremas para la piel</t>
  </si>
  <si>
    <t>1213113 Rinse y acondicionador</t>
  </si>
  <si>
    <t>1213114 Enjuague bucal</t>
  </si>
  <si>
    <t>1213115 Cepillos de dientes</t>
  </si>
  <si>
    <t>1213117 Cepillos para el cabello</t>
  </si>
  <si>
    <t>1213118 Toallitas húmedas (Wipers)</t>
  </si>
  <si>
    <t>1213119 Linea de productos para el pelo</t>
  </si>
  <si>
    <t>1213120 Jabones íntimos</t>
  </si>
  <si>
    <t>1213122 Crema facial</t>
  </si>
  <si>
    <t>1213124 Cosméticos</t>
  </si>
  <si>
    <t>1213125 Esmalte de uñas</t>
  </si>
  <si>
    <t>1213126 Crema para pañales</t>
  </si>
  <si>
    <t xml:space="preserve">123 Efectos Personales </t>
  </si>
  <si>
    <t xml:space="preserve">1231 Joyería, relojes de pared y relojes de pulsera </t>
  </si>
  <si>
    <t>12311 Joyería y relojes</t>
  </si>
  <si>
    <t>1231102 Relojes de pulsera</t>
  </si>
  <si>
    <t>1231103 Joyas de fantasía</t>
  </si>
  <si>
    <t xml:space="preserve">1232 Otros efectos personales </t>
  </si>
  <si>
    <t>12321 Otros efectos personales</t>
  </si>
  <si>
    <t>1232101 Carteras para mujer</t>
  </si>
  <si>
    <t>1232102 Mochilas</t>
  </si>
  <si>
    <t>1232103 Lentes de sol</t>
  </si>
  <si>
    <t>124 Protección social</t>
  </si>
  <si>
    <t>1241 Protección social</t>
  </si>
  <si>
    <t>12411 Protección social</t>
  </si>
  <si>
    <t>1241101 Guardería</t>
  </si>
  <si>
    <t>125 Seguros</t>
  </si>
  <si>
    <t>1253 Seguro relacionado con la salud</t>
  </si>
  <si>
    <t>12531 Seguro relacionado con la salud</t>
  </si>
  <si>
    <t>1253101 Seguro de salud</t>
  </si>
  <si>
    <t xml:space="preserve">1254 Seguro relacionado con el transporte </t>
  </si>
  <si>
    <t>12541 Seguro relacionado con el transporte</t>
  </si>
  <si>
    <t>1254101 Seguros de vehículos</t>
  </si>
  <si>
    <t>1255 Otros seguros</t>
  </si>
  <si>
    <t>12551 Otros Seguros</t>
  </si>
  <si>
    <t>1255101 Seguros de servicio funerario</t>
  </si>
  <si>
    <t xml:space="preserve">127 Otros Servicios </t>
  </si>
  <si>
    <t xml:space="preserve">1271 Otros servicios </t>
  </si>
  <si>
    <t>12711 Otros servicios</t>
  </si>
  <si>
    <t>1271101 Celebración de cumpleaños</t>
  </si>
  <si>
    <t>1271102 Honorarios a abogados</t>
  </si>
  <si>
    <t>1271103 Servicios funerarios</t>
  </si>
  <si>
    <t>1271104 Fotocopias</t>
  </si>
  <si>
    <t>1271105 Trámite para pasaporte (renovación)</t>
  </si>
  <si>
    <t>Índice de precios al consumidor nacional por artículos, 2025</t>
  </si>
  <si>
    <t>Grupo</t>
  </si>
  <si>
    <t>Subgrupo</t>
  </si>
  <si>
    <t>Clase</t>
  </si>
  <si>
    <t>Subclase</t>
  </si>
  <si>
    <t>Artículo</t>
  </si>
  <si>
    <t>Costo de la canasta familiar : quintiles de ingreso y nacional, 2018 -  2025</t>
  </si>
  <si>
    <t>Costo de la canasta familiar: regiones y nacional, 2020 - 2025</t>
  </si>
  <si>
    <t xml:space="preserve"> 2008 - 2025</t>
  </si>
  <si>
    <t>Precios Crudo West Texas Intermediate, 2007 - 2025</t>
  </si>
  <si>
    <t>Índice de precios al consumidor nacional e impacto de los combustibles, 2020 - 2025</t>
  </si>
  <si>
    <t>mar 2025</t>
  </si>
  <si>
    <t>dic. 24/
mar 25</t>
  </si>
  <si>
    <t>Índice de precios al consumidor nacional, tasa de variación e incidencia, diciembre 2024 - marzo 2025</t>
  </si>
  <si>
    <t>Índice de precios al consumidor nacional, tasa de variación e incidencia, diciembre 2024 - junio 2025</t>
  </si>
  <si>
    <t>jun 2025</t>
  </si>
  <si>
    <t>dic. 24/
jun 25</t>
  </si>
  <si>
    <t>Índice de precios al consumidor nacional, tasa de variación e incidencia, diciembre 2024 - septiembre 2025</t>
  </si>
  <si>
    <t>sep 2025</t>
  </si>
  <si>
    <t>dic. 24/
sep 25</t>
  </si>
  <si>
    <t>Índice de precios al consumidor nacional, tasa de variación e incidencia, diciembre 2024 - diciembre 2025</t>
  </si>
  <si>
    <t>dic 2025</t>
  </si>
  <si>
    <t>dic. 24/
dic 25</t>
  </si>
  <si>
    <t>Precios Internacionales de los commodities, 2006 - 2025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</si>
</sst>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_([$€-2]* #,##0.00_);_([$€-2]* \(#,##0.00\);_([$€-2]* &quot;-&quot;??_)"/>
    <numFmt numFmtId="166" formatCode="* _(#,##0.0_)\ _P_-;* \(#,##0.0\)\ _P_-;_-* &quot;-&quot;??\ _P_-;_-@_-"/>
    <numFmt numFmtId="167" formatCode="0.000"/>
    <numFmt numFmtId="168" formatCode="0.0"/>
    <numFmt numFmtId="169" formatCode="&quot;   &quot;@"/>
    <numFmt numFmtId="170" formatCode="&quot;      &quot;@"/>
    <numFmt numFmtId="171" formatCode="&quot;         &quot;@"/>
    <numFmt numFmtId="172" formatCode="&quot;            &quot;@"/>
    <numFmt numFmtId="173" formatCode="&quot;               &quot;@"/>
    <numFmt numFmtId="174" formatCode="_-* #,##0.0\ _P_-;\-* #,##0.0\ _P_-;_-* &quot;-&quot;??\ _P_-;_-@_-"/>
    <numFmt numFmtId="175" formatCode="#,##0.0;\-#,##0.0;&quot;--&quot;"/>
    <numFmt numFmtId="176" formatCode="mmmm\ d\,\ yyyy"/>
    <numFmt numFmtId="177" formatCode="#.##000"/>
    <numFmt numFmtId="178" formatCode="#,#00"/>
    <numFmt numFmtId="179" formatCode="#,"/>
    <numFmt numFmtId="180" formatCode="#,##0.0"/>
    <numFmt numFmtId="181" formatCode="_ * #,##0.00_)_P_t_s_ ;_ * \(#,##0.00\)_P_t_s_ ;_ * &quot;-&quot;??_)_P_t_s_ ;_ @_ "/>
    <numFmt numFmtId="182" formatCode="&quot;Cr$&quot;#,##0_);[Red]\(&quot;Cr$&quot;#,##0\)"/>
    <numFmt numFmtId="183" formatCode="&quot;Cr$&quot;#,##0.00_);[Red]\(&quot;Cr$&quot;#,##0.00\)"/>
    <numFmt numFmtId="184" formatCode="\$#,"/>
    <numFmt numFmtId="185" formatCode="&quot;$&quot;#,#00"/>
    <numFmt numFmtId="186" formatCode="&quot;$&quot;#,"/>
    <numFmt numFmtId="187" formatCode="[&gt;=0.05]#,##0.0;[&lt;=-0.05]\-#,##0.0;?0.0"/>
    <numFmt numFmtId="188" formatCode="[Black]#,##0.0;[Black]\-#,##0.0;;"/>
    <numFmt numFmtId="189" formatCode="[Black][&gt;0.05]#,##0.0;[Black][&lt;-0.05]\-#,##0.0;;"/>
    <numFmt numFmtId="190" formatCode="[Black][&gt;0.5]#,##0;[Black][&lt;-0.5]\-#,##0;;"/>
    <numFmt numFmtId="191" formatCode="%#,#00"/>
    <numFmt numFmtId="192" formatCode="dd\-mmm\-yy_)"/>
    <numFmt numFmtId="193" formatCode="#.##0,"/>
    <numFmt numFmtId="194" formatCode="#,##0.000000"/>
    <numFmt numFmtId="195" formatCode="mmm\ dd\,\ yyyy"/>
    <numFmt numFmtId="196" formatCode="\$#,##0.00\ ;\(\$#,##0.00\)"/>
    <numFmt numFmtId="197" formatCode="_-* #,##0.00\ _€_-;\-* #,##0.00\ _€_-;_-* &quot;-&quot;??\ _€_-;_-@_-"/>
    <numFmt numFmtId="198" formatCode="_(* #,##0.00000_);_(* \(#,##0.00000\);_(* &quot;-&quot;??_);_(@_)"/>
    <numFmt numFmtId="199" formatCode="#,##0.000000000000"/>
    <numFmt numFmtId="200" formatCode="0.000000000000000"/>
    <numFmt numFmtId="201" formatCode="0.0000"/>
    <numFmt numFmtId="202" formatCode="0.00000000000"/>
  </numFmts>
  <fonts count="68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Arial MT"/>
    </font>
    <font>
      <sz val="10"/>
      <name val="Tahoma"/>
      <family val="2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Arial MT"/>
    </font>
    <font>
      <sz val="8"/>
      <color indexed="12"/>
      <name val="Helv"/>
    </font>
    <font>
      <sz val="10"/>
      <name val="Geneva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2"/>
      <name val="Helv"/>
    </font>
    <font>
      <b/>
      <i/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Courier"/>
      <family val="3"/>
    </font>
    <font>
      <u/>
      <sz val="10"/>
      <color indexed="36"/>
      <name val="Courier"/>
      <family val="3"/>
    </font>
    <font>
      <u/>
      <sz val="5"/>
      <color indexed="12"/>
      <name val="Courier"/>
      <family val="3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color indexed="8"/>
      <name val="Helv"/>
    </font>
    <font>
      <sz val="10"/>
      <name val="MS Sans Serif"/>
      <family val="2"/>
    </font>
    <font>
      <sz val="10"/>
      <name val="Helv"/>
    </font>
    <font>
      <sz val="10"/>
      <name val="Tms Rmn"/>
    </font>
    <font>
      <sz val="10"/>
      <color indexed="8"/>
      <name val="MS Sans Serif"/>
      <family val="2"/>
    </font>
    <font>
      <sz val="10"/>
      <color indexed="10"/>
      <name val="MS Sans Serif"/>
      <family val="2"/>
    </font>
    <font>
      <sz val="8"/>
      <name val="Helv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1"/>
      <name val="Tahoma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theme="1" tint="0.34998626667073579"/>
      <name val="Arial"/>
      <family val="2"/>
    </font>
    <font>
      <i/>
      <sz val="11"/>
      <name val="Arial"/>
      <family val="2"/>
    </font>
    <font>
      <sz val="9"/>
      <color theme="1"/>
      <name val="Arial"/>
      <family val="2"/>
    </font>
    <font>
      <sz val="10.5"/>
      <name val="Arial"/>
      <family val="2"/>
    </font>
    <font>
      <sz val="8"/>
      <color theme="1"/>
      <name val="Arial"/>
      <family val="2"/>
    </font>
    <font>
      <vertAlign val="superscript"/>
      <sz val="11"/>
      <color theme="1" tint="0.34998626667073579"/>
      <name val="Arial"/>
      <family val="2"/>
    </font>
    <font>
      <vertAlign val="superscript"/>
      <sz val="11"/>
      <name val="Arial"/>
      <family val="2"/>
    </font>
    <font>
      <sz val="11"/>
      <color rgb="FFFF0000"/>
      <name val="Arial"/>
      <family val="2"/>
    </font>
    <font>
      <sz val="11"/>
      <color theme="3"/>
      <name val="Arial"/>
      <family val="2"/>
    </font>
    <font>
      <sz val="11"/>
      <color theme="3" tint="-0.249977111117893"/>
      <name val="Arial"/>
      <family val="2"/>
    </font>
    <font>
      <sz val="9"/>
      <name val="Arial"/>
      <family val="2"/>
    </font>
    <font>
      <i/>
      <sz val="11"/>
      <color theme="1" tint="0.34998626667073579"/>
      <name val="Arial"/>
      <family val="2"/>
    </font>
    <font>
      <sz val="11"/>
      <color indexed="56"/>
      <name val="Arial"/>
      <family val="2"/>
    </font>
    <font>
      <sz val="11"/>
      <color indexed="8"/>
      <name val="Arial"/>
      <family val="2"/>
    </font>
    <font>
      <sz val="16"/>
      <color theme="1"/>
      <name val="Arial"/>
      <family val="2"/>
    </font>
    <font>
      <sz val="16"/>
      <color theme="1" tint="0.34998626667073579"/>
      <name val="Arial"/>
      <family val="2"/>
    </font>
    <font>
      <sz val="28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4" tint="-0.499984740745262"/>
      <name val="Arial"/>
      <family val="2"/>
    </font>
    <font>
      <vertAlign val="superscript"/>
      <sz val="10"/>
      <color rgb="FF00000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34998626667073579"/>
      <name val="Gotham Medium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754E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medium">
        <color rgb="FF84754E"/>
      </top>
      <bottom style="medium">
        <color rgb="FF84754E"/>
      </bottom>
      <diagonal/>
    </border>
    <border>
      <left/>
      <right/>
      <top/>
      <bottom style="thin">
        <color rgb="FFD0C7B0"/>
      </bottom>
      <diagonal/>
    </border>
    <border>
      <left/>
      <right/>
      <top style="medium">
        <color rgb="FF84754E"/>
      </top>
      <bottom/>
      <diagonal/>
    </border>
    <border>
      <left/>
      <right/>
      <top/>
      <bottom style="medium">
        <color rgb="FF84754E"/>
      </bottom>
      <diagonal/>
    </border>
    <border>
      <left style="thin">
        <color theme="0"/>
      </left>
      <right/>
      <top style="medium">
        <color rgb="FF84754E"/>
      </top>
      <bottom style="medium">
        <color rgb="FF84754E"/>
      </bottom>
      <diagonal/>
    </border>
    <border>
      <left/>
      <right style="thin">
        <color theme="0"/>
      </right>
      <top style="medium">
        <color rgb="FF84754E"/>
      </top>
      <bottom style="medium">
        <color rgb="FF84754E"/>
      </bottom>
      <diagonal/>
    </border>
    <border>
      <left style="thin">
        <color theme="0"/>
      </left>
      <right/>
      <top style="medium">
        <color rgb="FF84754E"/>
      </top>
      <bottom/>
      <diagonal/>
    </border>
    <border>
      <left/>
      <right/>
      <top style="thick">
        <color rgb="FF84754E"/>
      </top>
      <bottom style="thick">
        <color rgb="FF84754E"/>
      </bottom>
      <diagonal/>
    </border>
    <border>
      <left/>
      <right/>
      <top style="thick">
        <color rgb="FF84754E"/>
      </top>
      <bottom/>
      <diagonal/>
    </border>
    <border>
      <left/>
      <right/>
      <top/>
      <bottom style="thick">
        <color rgb="FF84754E"/>
      </bottom>
      <diagonal/>
    </border>
    <border>
      <left style="thin">
        <color rgb="FFD0C7B0"/>
      </left>
      <right style="thin">
        <color rgb="FFD0C7B0"/>
      </right>
      <top style="thick">
        <color rgb="FF84754E"/>
      </top>
      <bottom/>
      <diagonal/>
    </border>
    <border>
      <left style="thin">
        <color rgb="FFD0C7B0"/>
      </left>
      <right style="thin">
        <color rgb="FFD0C7B0"/>
      </right>
      <top/>
      <bottom/>
      <diagonal/>
    </border>
    <border>
      <left style="thin">
        <color rgb="FFD0C7B0"/>
      </left>
      <right style="thin">
        <color rgb="FFD0C7B0"/>
      </right>
      <top/>
      <bottom style="thin">
        <color rgb="FFD0C7B0"/>
      </bottom>
      <diagonal/>
    </border>
    <border>
      <left/>
      <right style="thin">
        <color rgb="FFD0C7B0"/>
      </right>
      <top style="thick">
        <color rgb="FF84754E"/>
      </top>
      <bottom/>
      <diagonal/>
    </border>
    <border>
      <left style="thin">
        <color rgb="FFD0C7B0"/>
      </left>
      <right/>
      <top style="thick">
        <color rgb="FF84754E"/>
      </top>
      <bottom/>
      <diagonal/>
    </border>
    <border>
      <left/>
      <right style="thin">
        <color rgb="FFD0C7B0"/>
      </right>
      <top/>
      <bottom/>
      <diagonal/>
    </border>
    <border>
      <left style="thin">
        <color rgb="FFD0C7B0"/>
      </left>
      <right/>
      <top/>
      <bottom/>
      <diagonal/>
    </border>
    <border>
      <left/>
      <right style="thin">
        <color rgb="FFD0C7B0"/>
      </right>
      <top/>
      <bottom style="thin">
        <color rgb="FFD0C7B0"/>
      </bottom>
      <diagonal/>
    </border>
    <border>
      <left/>
      <right/>
      <top style="thin">
        <color rgb="FFD0C7B0"/>
      </top>
      <bottom/>
      <diagonal/>
    </border>
    <border>
      <left style="thin">
        <color rgb="FFD0C7B0"/>
      </left>
      <right style="thin">
        <color rgb="FFD0C7B0"/>
      </right>
      <top/>
      <bottom style="thin">
        <color rgb="FFC3B799"/>
      </bottom>
      <diagonal/>
    </border>
    <border>
      <left style="thin">
        <color rgb="FFC3B799"/>
      </left>
      <right style="thin">
        <color rgb="FFD0C7B0"/>
      </right>
      <top/>
      <bottom/>
      <diagonal/>
    </border>
    <border>
      <left style="thin">
        <color rgb="FFC3B799"/>
      </left>
      <right style="thin">
        <color rgb="FFD0C7B0"/>
      </right>
      <top/>
      <bottom style="thin">
        <color rgb="FFC3B799"/>
      </bottom>
      <diagonal/>
    </border>
    <border>
      <left/>
      <right/>
      <top/>
      <bottom style="thin">
        <color rgb="FFC3B799"/>
      </bottom>
      <diagonal/>
    </border>
    <border>
      <left/>
      <right style="thin">
        <color rgb="FFD0C7B0"/>
      </right>
      <top/>
      <bottom style="thin">
        <color rgb="FFC3B799"/>
      </bottom>
      <diagonal/>
    </border>
    <border>
      <left style="thin">
        <color rgb="FFC3B799"/>
      </left>
      <right style="thin">
        <color rgb="FFC3B799"/>
      </right>
      <top/>
      <bottom style="thin">
        <color rgb="FFC3B799"/>
      </bottom>
      <diagonal/>
    </border>
    <border>
      <left style="thin">
        <color rgb="FFC3B799"/>
      </left>
      <right style="thin">
        <color rgb="FFC3B799"/>
      </right>
      <top/>
      <bottom/>
      <diagonal/>
    </border>
    <border>
      <left style="thin">
        <color theme="0"/>
      </left>
      <right/>
      <top style="thick">
        <color rgb="FF84754E"/>
      </top>
      <bottom/>
      <diagonal/>
    </border>
    <border>
      <left style="thin">
        <color theme="0"/>
      </left>
      <right/>
      <top/>
      <bottom style="thick">
        <color rgb="FF84754E"/>
      </bottom>
      <diagonal/>
    </border>
    <border>
      <left/>
      <right style="thin">
        <color theme="0"/>
      </right>
      <top style="thick">
        <color rgb="FF84754E"/>
      </top>
      <bottom/>
      <diagonal/>
    </border>
    <border>
      <left/>
      <right style="thin">
        <color theme="0"/>
      </right>
      <top/>
      <bottom style="thick">
        <color rgb="FF84754E"/>
      </bottom>
      <diagonal/>
    </border>
    <border>
      <left/>
      <right style="thin">
        <color rgb="FFC3B799"/>
      </right>
      <top/>
      <bottom style="thin">
        <color rgb="FFC3B799"/>
      </bottom>
      <diagonal/>
    </border>
    <border>
      <left/>
      <right style="thin">
        <color rgb="FFC3B799"/>
      </right>
      <top/>
      <bottom/>
      <diagonal/>
    </border>
    <border>
      <left style="thin">
        <color rgb="FFC3B799"/>
      </left>
      <right/>
      <top/>
      <bottom style="thin">
        <color rgb="FFC3B799"/>
      </bottom>
      <diagonal/>
    </border>
    <border>
      <left style="thin">
        <color rgb="FFC3B799"/>
      </left>
      <right/>
      <top/>
      <bottom/>
      <diagonal/>
    </border>
  </borders>
  <cellStyleXfs count="231">
    <xf numFmtId="0" fontId="0" fillId="0" borderId="0"/>
    <xf numFmtId="0" fontId="1" fillId="0" borderId="0"/>
    <xf numFmtId="164" fontId="2" fillId="0" borderId="0"/>
    <xf numFmtId="165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7" fillId="0" borderId="4" applyBorder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8" fillId="0" borderId="0" applyBorder="0">
      <alignment horizontal="center"/>
    </xf>
    <xf numFmtId="0" fontId="9" fillId="0" borderId="3">
      <protection hidden="1"/>
    </xf>
    <xf numFmtId="0" fontId="10" fillId="4" borderId="3" applyNumberFormat="0" applyFont="0" applyBorder="0" applyAlignment="0" applyProtection="0">
      <protection hidden="1"/>
    </xf>
    <xf numFmtId="2" fontId="11" fillId="0" borderId="0">
      <protection locked="0"/>
    </xf>
    <xf numFmtId="2" fontId="12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/>
    <xf numFmtId="3" fontId="5" fillId="0" borderId="0" applyFill="0" applyBorder="0" applyAlignment="0" applyProtection="0"/>
    <xf numFmtId="5" fontId="5" fillId="0" borderId="0" applyFill="0" applyBorder="0" applyAlignment="0" applyProtection="0"/>
    <xf numFmtId="2" fontId="11" fillId="0" borderId="0">
      <protection locked="0"/>
    </xf>
    <xf numFmtId="176" fontId="5" fillId="0" borderId="0" applyFill="0" applyBorder="0" applyAlignment="0" applyProtection="0"/>
    <xf numFmtId="165" fontId="5" fillId="0" borderId="0" applyFont="0" applyFill="0" applyBorder="0" applyAlignment="0" applyProtection="0"/>
    <xf numFmtId="164" fontId="13" fillId="0" borderId="0"/>
    <xf numFmtId="177" fontId="14" fillId="0" borderId="0">
      <protection locked="0"/>
    </xf>
    <xf numFmtId="177" fontId="14" fillId="0" borderId="0">
      <protection locked="0"/>
    </xf>
    <xf numFmtId="177" fontId="12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1" fillId="0" borderId="0">
      <protection locked="0"/>
    </xf>
    <xf numFmtId="177" fontId="12" fillId="0" borderId="0">
      <protection locked="0"/>
    </xf>
    <xf numFmtId="0" fontId="11" fillId="0" borderId="0">
      <protection locked="0"/>
    </xf>
    <xf numFmtId="178" fontId="11" fillId="0" borderId="0">
      <protection locked="0"/>
    </xf>
    <xf numFmtId="2" fontId="5" fillId="0" borderId="0" applyFill="0" applyBorder="0" applyAlignment="0" applyProtection="0"/>
    <xf numFmtId="178" fontId="11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180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21" fillId="0" borderId="3">
      <alignment horizontal="left"/>
      <protection locked="0"/>
    </xf>
    <xf numFmtId="18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4" fontId="11" fillId="0" borderId="0">
      <protection locked="0"/>
    </xf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5" fontId="11" fillId="0" borderId="0">
      <protection locked="0"/>
    </xf>
    <xf numFmtId="186" fontId="11" fillId="0" borderId="0">
      <protection locked="0"/>
    </xf>
    <xf numFmtId="0" fontId="23" fillId="0" borderId="0"/>
    <xf numFmtId="0" fontId="24" fillId="0" borderId="0"/>
    <xf numFmtId="0" fontId="2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5" fillId="0" borderId="0"/>
    <xf numFmtId="0" fontId="25" fillId="0" borderId="0"/>
    <xf numFmtId="187" fontId="1" fillId="0" borderId="0" applyFill="0" applyBorder="0" applyAlignment="0" applyProtection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1" fontId="11" fillId="0" borderId="0">
      <protection locked="0"/>
    </xf>
    <xf numFmtId="177" fontId="11" fillId="0" borderId="0">
      <protection locked="0"/>
    </xf>
    <xf numFmtId="192" fontId="5" fillId="0" borderId="0" applyFont="0" applyFill="0" applyBorder="0" applyAlignment="0" applyProtection="0"/>
    <xf numFmtId="191" fontId="11" fillId="0" borderId="0">
      <protection locked="0"/>
    </xf>
    <xf numFmtId="0" fontId="4" fillId="0" borderId="0"/>
    <xf numFmtId="177" fontId="11" fillId="0" borderId="0">
      <protection locked="0"/>
    </xf>
    <xf numFmtId="193" fontId="11" fillId="0" borderId="0">
      <protection locked="0"/>
    </xf>
    <xf numFmtId="0" fontId="26" fillId="0" borderId="3" applyNumberFormat="0" applyFill="0" applyBorder="0" applyAlignment="0" applyProtection="0">
      <protection hidden="1"/>
    </xf>
    <xf numFmtId="38" fontId="22" fillId="0" borderId="5"/>
    <xf numFmtId="194" fontId="5" fillId="0" borderId="0">
      <protection locked="0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195" fontId="5" fillId="0" borderId="0" applyFill="0" applyBorder="0" applyAlignment="0" applyProtection="0">
      <alignment wrapText="1"/>
    </xf>
    <xf numFmtId="0" fontId="5" fillId="0" borderId="0" applyNumberFormat="0"/>
    <xf numFmtId="2" fontId="15" fillId="0" borderId="0">
      <protection locked="0"/>
    </xf>
    <xf numFmtId="2" fontId="15" fillId="0" borderId="0">
      <protection locked="0"/>
    </xf>
    <xf numFmtId="0" fontId="27" fillId="4" borderId="3"/>
    <xf numFmtId="177" fontId="11" fillId="0" borderId="0">
      <protection locked="0"/>
    </xf>
    <xf numFmtId="193" fontId="11" fillId="0" borderId="0">
      <protection locked="0"/>
    </xf>
    <xf numFmtId="4" fontId="5" fillId="0" borderId="0" applyFont="0" applyFill="0" applyBorder="0" applyAlignment="0" applyProtection="0"/>
    <xf numFmtId="0" fontId="28" fillId="0" borderId="0" applyProtection="0"/>
    <xf numFmtId="196" fontId="28" fillId="0" borderId="0" applyProtection="0"/>
    <xf numFmtId="0" fontId="29" fillId="0" borderId="0" applyProtection="0"/>
    <xf numFmtId="0" fontId="30" fillId="0" borderId="0" applyProtection="0"/>
    <xf numFmtId="0" fontId="28" fillId="0" borderId="6" applyProtection="0"/>
    <xf numFmtId="0" fontId="28" fillId="0" borderId="0"/>
    <xf numFmtId="10" fontId="28" fillId="0" borderId="0" applyProtection="0"/>
    <xf numFmtId="0" fontId="28" fillId="0" borderId="0"/>
    <xf numFmtId="2" fontId="28" fillId="0" borderId="0" applyProtection="0"/>
    <xf numFmtId="4" fontId="28" fillId="0" borderId="0" applyProtection="0"/>
    <xf numFmtId="43" fontId="3" fillId="0" borderId="0" applyFont="0" applyFill="0" applyBorder="0" applyAlignment="0" applyProtection="0"/>
    <xf numFmtId="164" fontId="2" fillId="0" borderId="0"/>
    <xf numFmtId="0" fontId="31" fillId="0" borderId="0"/>
    <xf numFmtId="19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5" fillId="0" borderId="0"/>
    <xf numFmtId="0" fontId="32" fillId="0" borderId="0"/>
    <xf numFmtId="0" fontId="33" fillId="0" borderId="0" applyNumberForma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88">
    <xf numFmtId="0" fontId="0" fillId="0" borderId="0" xfId="0"/>
    <xf numFmtId="0" fontId="35" fillId="0" borderId="0" xfId="0" applyFont="1"/>
    <xf numFmtId="164" fontId="34" fillId="0" borderId="0" xfId="2" applyFont="1" applyAlignment="1">
      <alignment horizontal="right"/>
    </xf>
    <xf numFmtId="164" fontId="5" fillId="0" borderId="0" xfId="2" applyFont="1"/>
    <xf numFmtId="164" fontId="5" fillId="3" borderId="0" xfId="2" applyFont="1" applyFill="1"/>
    <xf numFmtId="164" fontId="7" fillId="0" borderId="0" xfId="2" applyFont="1"/>
    <xf numFmtId="0" fontId="36" fillId="0" borderId="0" xfId="4" applyFont="1"/>
    <xf numFmtId="0" fontId="36" fillId="3" borderId="0" xfId="4" applyFont="1" applyFill="1" applyAlignment="1">
      <alignment horizontal="right"/>
    </xf>
    <xf numFmtId="0" fontId="36" fillId="0" borderId="0" xfId="4" applyFont="1" applyAlignment="1">
      <alignment horizontal="right"/>
    </xf>
    <xf numFmtId="164" fontId="38" fillId="0" borderId="0" xfId="217" applyFont="1"/>
    <xf numFmtId="164" fontId="34" fillId="0" borderId="0" xfId="228" applyNumberFormat="1" applyFont="1"/>
    <xf numFmtId="164" fontId="39" fillId="0" borderId="0" xfId="2" applyFont="1"/>
    <xf numFmtId="164" fontId="40" fillId="0" borderId="0" xfId="228" applyNumberFormat="1" applyFont="1" applyAlignment="1">
      <alignment horizontal="centerContinuous"/>
    </xf>
    <xf numFmtId="164" fontId="41" fillId="0" borderId="0" xfId="228" applyNumberFormat="1" applyFont="1"/>
    <xf numFmtId="164" fontId="39" fillId="0" borderId="0" xfId="2" applyFont="1" applyAlignment="1">
      <alignment horizontal="center"/>
    </xf>
    <xf numFmtId="164" fontId="34" fillId="0" borderId="0" xfId="2" applyFont="1"/>
    <xf numFmtId="164" fontId="34" fillId="0" borderId="11" xfId="2" applyFont="1" applyBorder="1"/>
    <xf numFmtId="164" fontId="34" fillId="0" borderId="11" xfId="2" applyFont="1" applyBorder="1" applyAlignment="1">
      <alignment horizontal="right"/>
    </xf>
    <xf numFmtId="164" fontId="34" fillId="0" borderId="0" xfId="2" applyFont="1" applyAlignment="1">
      <alignment horizontal="left"/>
    </xf>
    <xf numFmtId="4" fontId="34" fillId="0" borderId="0" xfId="21" applyNumberFormat="1" applyFont="1" applyFill="1" applyBorder="1" applyAlignment="1" applyProtection="1">
      <alignment horizontal="center"/>
    </xf>
    <xf numFmtId="2" fontId="34" fillId="0" borderId="0" xfId="2" applyNumberFormat="1" applyFont="1" applyAlignment="1">
      <alignment horizontal="center"/>
    </xf>
    <xf numFmtId="4" fontId="34" fillId="0" borderId="0" xfId="2" applyNumberFormat="1" applyFont="1" applyAlignment="1">
      <alignment horizontal="center"/>
    </xf>
    <xf numFmtId="0" fontId="35" fillId="3" borderId="0" xfId="161" applyFont="1" applyFill="1"/>
    <xf numFmtId="164" fontId="34" fillId="0" borderId="10" xfId="2" applyFont="1" applyBorder="1"/>
    <xf numFmtId="164" fontId="34" fillId="0" borderId="10" xfId="2" applyFont="1" applyBorder="1" applyAlignment="1">
      <alignment horizontal="left"/>
    </xf>
    <xf numFmtId="2" fontId="34" fillId="0" borderId="10" xfId="2" applyNumberFormat="1" applyFont="1" applyBorder="1" applyAlignment="1">
      <alignment horizontal="center"/>
    </xf>
    <xf numFmtId="4" fontId="34" fillId="0" borderId="10" xfId="2" applyNumberFormat="1" applyFont="1" applyBorder="1" applyAlignment="1">
      <alignment horizontal="center"/>
    </xf>
    <xf numFmtId="39" fontId="34" fillId="0" borderId="0" xfId="2" applyNumberFormat="1" applyFont="1"/>
    <xf numFmtId="164" fontId="43" fillId="0" borderId="0" xfId="2" applyFont="1" applyAlignment="1">
      <alignment horizontal="left"/>
    </xf>
    <xf numFmtId="164" fontId="34" fillId="0" borderId="0" xfId="2" applyFont="1" applyAlignment="1">
      <alignment horizontal="left" vertical="center" wrapText="1"/>
    </xf>
    <xf numFmtId="164" fontId="34" fillId="0" borderId="0" xfId="2" applyFont="1" applyAlignment="1">
      <alignment horizontal="center"/>
    </xf>
    <xf numFmtId="4" fontId="34" fillId="0" borderId="0" xfId="2" applyNumberFormat="1" applyFont="1" applyAlignment="1">
      <alignment horizontal="left"/>
    </xf>
    <xf numFmtId="164" fontId="34" fillId="2" borderId="0" xfId="2" applyFont="1" applyFill="1" applyAlignment="1">
      <alignment horizontal="left"/>
    </xf>
    <xf numFmtId="4" fontId="34" fillId="2" borderId="0" xfId="2" applyNumberFormat="1" applyFont="1" applyFill="1" applyAlignment="1">
      <alignment horizontal="center"/>
    </xf>
    <xf numFmtId="164" fontId="43" fillId="0" borderId="0" xfId="2" applyFont="1"/>
    <xf numFmtId="198" fontId="34" fillId="0" borderId="0" xfId="21" applyNumberFormat="1" applyFont="1" applyBorder="1"/>
    <xf numFmtId="164" fontId="34" fillId="0" borderId="0" xfId="2" quotePrefix="1" applyFont="1"/>
    <xf numFmtId="164" fontId="34" fillId="2" borderId="0" xfId="2" applyFont="1" applyFill="1"/>
    <xf numFmtId="164" fontId="34" fillId="3" borderId="0" xfId="2" applyFont="1" applyFill="1"/>
    <xf numFmtId="4" fontId="34" fillId="3" borderId="0" xfId="21" applyNumberFormat="1" applyFont="1" applyFill="1" applyBorder="1" applyAlignment="1" applyProtection="1">
      <alignment horizontal="center"/>
    </xf>
    <xf numFmtId="2" fontId="34" fillId="3" borderId="0" xfId="2" applyNumberFormat="1" applyFont="1" applyFill="1" applyAlignment="1">
      <alignment horizontal="right"/>
    </xf>
    <xf numFmtId="4" fontId="34" fillId="3" borderId="0" xfId="2" applyNumberFormat="1" applyFont="1" applyFill="1" applyAlignment="1">
      <alignment horizontal="right"/>
    </xf>
    <xf numFmtId="164" fontId="34" fillId="2" borderId="10" xfId="2" applyFont="1" applyFill="1" applyBorder="1" applyAlignment="1">
      <alignment horizontal="left"/>
    </xf>
    <xf numFmtId="0" fontId="34" fillId="0" borderId="0" xfId="1" applyFont="1"/>
    <xf numFmtId="164" fontId="41" fillId="0" borderId="0" xfId="2" applyFont="1"/>
    <xf numFmtId="164" fontId="41" fillId="0" borderId="7" xfId="2" applyFont="1" applyBorder="1"/>
    <xf numFmtId="164" fontId="34" fillId="0" borderId="11" xfId="2" applyFont="1" applyBorder="1" applyAlignment="1">
      <alignment horizontal="left"/>
    </xf>
    <xf numFmtId="4" fontId="34" fillId="0" borderId="11" xfId="216" applyNumberFormat="1" applyFont="1" applyFill="1" applyBorder="1" applyAlignment="1" applyProtection="1">
      <alignment horizontal="center"/>
    </xf>
    <xf numFmtId="2" fontId="34" fillId="0" borderId="11" xfId="2" applyNumberFormat="1" applyFont="1" applyBorder="1" applyAlignment="1">
      <alignment horizontal="center"/>
    </xf>
    <xf numFmtId="4" fontId="34" fillId="0" borderId="0" xfId="216" applyNumberFormat="1" applyFont="1" applyFill="1" applyBorder="1" applyAlignment="1" applyProtection="1">
      <alignment horizontal="center"/>
    </xf>
    <xf numFmtId="4" fontId="34" fillId="0" borderId="0" xfId="2" applyNumberFormat="1" applyFont="1" applyAlignment="1">
      <alignment horizontal="right"/>
    </xf>
    <xf numFmtId="164" fontId="34" fillId="3" borderId="0" xfId="2" applyFont="1" applyFill="1" applyAlignment="1">
      <alignment horizontal="left"/>
    </xf>
    <xf numFmtId="4" fontId="34" fillId="3" borderId="0" xfId="2" applyNumberFormat="1" applyFont="1" applyFill="1" applyAlignment="1">
      <alignment horizontal="center"/>
    </xf>
    <xf numFmtId="2" fontId="34" fillId="3" borderId="0" xfId="4" applyNumberFormat="1" applyFont="1" applyFill="1" applyAlignment="1">
      <alignment horizontal="center"/>
    </xf>
    <xf numFmtId="4" fontId="7" fillId="3" borderId="0" xfId="2" applyNumberFormat="1" applyFont="1" applyFill="1" applyAlignment="1">
      <alignment horizontal="center"/>
    </xf>
    <xf numFmtId="4" fontId="7" fillId="2" borderId="0" xfId="2" applyNumberFormat="1" applyFont="1" applyFill="1" applyAlignment="1">
      <alignment horizontal="center"/>
    </xf>
    <xf numFmtId="2" fontId="7" fillId="3" borderId="0" xfId="152" applyNumberFormat="1" applyFont="1" applyFill="1" applyAlignment="1">
      <alignment horizontal="center"/>
    </xf>
    <xf numFmtId="164" fontId="34" fillId="3" borderId="10" xfId="2" applyFont="1" applyFill="1" applyBorder="1" applyAlignment="1">
      <alignment horizontal="left"/>
    </xf>
    <xf numFmtId="4" fontId="34" fillId="3" borderId="10" xfId="2" applyNumberFormat="1" applyFont="1" applyFill="1" applyBorder="1" applyAlignment="1">
      <alignment horizontal="center"/>
    </xf>
    <xf numFmtId="2" fontId="34" fillId="3" borderId="10" xfId="4" applyNumberFormat="1" applyFont="1" applyFill="1" applyBorder="1" applyAlignment="1">
      <alignment horizontal="center"/>
    </xf>
    <xf numFmtId="164" fontId="45" fillId="3" borderId="0" xfId="2" applyFont="1" applyFill="1" applyAlignment="1">
      <alignment wrapText="1"/>
    </xf>
    <xf numFmtId="43" fontId="34" fillId="3" borderId="0" xfId="5" applyFont="1" applyFill="1" applyAlignment="1">
      <alignment horizontal="center" wrapText="1"/>
    </xf>
    <xf numFmtId="0" fontId="34" fillId="3" borderId="0" xfId="4" applyFont="1" applyFill="1" applyAlignment="1">
      <alignment horizontal="center" wrapText="1"/>
    </xf>
    <xf numFmtId="0" fontId="35" fillId="0" borderId="0" xfId="0" applyFont="1" applyAlignment="1">
      <alignment wrapText="1"/>
    </xf>
    <xf numFmtId="0" fontId="35" fillId="3" borderId="0" xfId="0" applyFont="1" applyFill="1"/>
    <xf numFmtId="164" fontId="42" fillId="0" borderId="15" xfId="2" applyFont="1" applyBorder="1" applyAlignment="1">
      <alignment horizontal="center" vertical="center" wrapText="1"/>
    </xf>
    <xf numFmtId="0" fontId="35" fillId="3" borderId="8" xfId="0" applyFont="1" applyFill="1" applyBorder="1"/>
    <xf numFmtId="0" fontId="35" fillId="3" borderId="11" xfId="0" applyFont="1" applyFill="1" applyBorder="1" applyAlignment="1">
      <alignment horizontal="left"/>
    </xf>
    <xf numFmtId="2" fontId="35" fillId="3" borderId="11" xfId="0" applyNumberFormat="1" applyFont="1" applyFill="1" applyBorder="1" applyAlignment="1">
      <alignment horizontal="center"/>
    </xf>
    <xf numFmtId="0" fontId="35" fillId="3" borderId="0" xfId="0" applyFont="1" applyFill="1" applyAlignment="1">
      <alignment horizontal="left"/>
    </xf>
    <xf numFmtId="2" fontId="35" fillId="3" borderId="0" xfId="0" applyNumberFormat="1" applyFont="1" applyFill="1" applyAlignment="1">
      <alignment horizontal="center"/>
    </xf>
    <xf numFmtId="0" fontId="35" fillId="3" borderId="0" xfId="0" applyFont="1" applyFill="1" applyAlignment="1">
      <alignment horizontal="center"/>
    </xf>
    <xf numFmtId="0" fontId="35" fillId="3" borderId="10" xfId="0" applyFont="1" applyFill="1" applyBorder="1" applyAlignment="1">
      <alignment horizontal="left"/>
    </xf>
    <xf numFmtId="2" fontId="35" fillId="3" borderId="10" xfId="0" applyNumberFormat="1" applyFont="1" applyFill="1" applyBorder="1" applyAlignment="1">
      <alignment horizontal="center"/>
    </xf>
    <xf numFmtId="164" fontId="41" fillId="3" borderId="0" xfId="2" applyFont="1" applyFill="1" applyAlignment="1">
      <alignment horizontal="center"/>
    </xf>
    <xf numFmtId="0" fontId="35" fillId="3" borderId="17" xfId="0" applyFont="1" applyFill="1" applyBorder="1" applyAlignment="1">
      <alignment horizontal="left"/>
    </xf>
    <xf numFmtId="4" fontId="35" fillId="3" borderId="2" xfId="0" applyNumberFormat="1" applyFont="1" applyFill="1" applyBorder="1" applyAlignment="1">
      <alignment horizontal="center"/>
    </xf>
    <xf numFmtId="4" fontId="35" fillId="3" borderId="0" xfId="0" applyNumberFormat="1" applyFont="1" applyFill="1" applyAlignment="1">
      <alignment horizontal="center"/>
    </xf>
    <xf numFmtId="2" fontId="35" fillId="3" borderId="0" xfId="0" applyNumberFormat="1" applyFont="1" applyFill="1"/>
    <xf numFmtId="168" fontId="35" fillId="3" borderId="0" xfId="0" applyNumberFormat="1" applyFont="1" applyFill="1" applyAlignment="1">
      <alignment horizontal="center"/>
    </xf>
    <xf numFmtId="199" fontId="35" fillId="3" borderId="0" xfId="0" applyNumberFormat="1" applyFont="1" applyFill="1"/>
    <xf numFmtId="168" fontId="35" fillId="3" borderId="0" xfId="0" applyNumberFormat="1" applyFont="1" applyFill="1" applyAlignment="1">
      <alignment horizontal="left"/>
    </xf>
    <xf numFmtId="2" fontId="35" fillId="0" borderId="0" xfId="0" applyNumberFormat="1" applyFont="1" applyAlignment="1">
      <alignment horizontal="center"/>
    </xf>
    <xf numFmtId="200" fontId="35" fillId="0" borderId="0" xfId="0" applyNumberFormat="1" applyFont="1"/>
    <xf numFmtId="168" fontId="35" fillId="3" borderId="10" xfId="0" applyNumberFormat="1" applyFont="1" applyFill="1" applyBorder="1" applyAlignment="1">
      <alignment horizontal="left"/>
    </xf>
    <xf numFmtId="0" fontId="34" fillId="3" borderId="17" xfId="2" quotePrefix="1" applyNumberFormat="1" applyFont="1" applyFill="1" applyBorder="1" applyAlignment="1">
      <alignment horizontal="left"/>
    </xf>
    <xf numFmtId="4" fontId="34" fillId="3" borderId="17" xfId="2" applyNumberFormat="1" applyFont="1" applyFill="1" applyBorder="1" applyAlignment="1">
      <alignment horizontal="left"/>
    </xf>
    <xf numFmtId="4" fontId="34" fillId="3" borderId="17" xfId="5" applyNumberFormat="1" applyFont="1" applyFill="1" applyBorder="1" applyAlignment="1" applyProtection="1">
      <alignment horizontal="center"/>
    </xf>
    <xf numFmtId="4" fontId="34" fillId="3" borderId="17" xfId="2" applyNumberFormat="1" applyFont="1" applyFill="1" applyBorder="1" applyAlignment="1">
      <alignment horizontal="center"/>
    </xf>
    <xf numFmtId="0" fontId="34" fillId="3" borderId="0" xfId="2" quotePrefix="1" applyNumberFormat="1" applyFont="1" applyFill="1" applyAlignment="1">
      <alignment horizontal="left"/>
    </xf>
    <xf numFmtId="4" fontId="34" fillId="3" borderId="0" xfId="2" applyNumberFormat="1" applyFont="1" applyFill="1" applyAlignment="1">
      <alignment horizontal="left"/>
    </xf>
    <xf numFmtId="4" fontId="34" fillId="3" borderId="0" xfId="5" applyNumberFormat="1" applyFont="1" applyFill="1" applyBorder="1" applyAlignment="1" applyProtection="1">
      <alignment horizontal="center"/>
    </xf>
    <xf numFmtId="0" fontId="34" fillId="3" borderId="10" xfId="2" quotePrefix="1" applyNumberFormat="1" applyFont="1" applyFill="1" applyBorder="1" applyAlignment="1">
      <alignment horizontal="left"/>
    </xf>
    <xf numFmtId="4" fontId="34" fillId="3" borderId="10" xfId="2" applyNumberFormat="1" applyFont="1" applyFill="1" applyBorder="1" applyAlignment="1">
      <alignment horizontal="left"/>
    </xf>
    <xf numFmtId="4" fontId="34" fillId="3" borderId="10" xfId="5" applyNumberFormat="1" applyFont="1" applyFill="1" applyBorder="1" applyAlignment="1" applyProtection="1">
      <alignment horizontal="center"/>
    </xf>
    <xf numFmtId="0" fontId="34" fillId="3" borderId="0" xfId="2" applyNumberFormat="1" applyFont="1" applyFill="1" applyAlignment="1">
      <alignment horizontal="left"/>
    </xf>
    <xf numFmtId="164" fontId="34" fillId="3" borderId="10" xfId="2" quotePrefix="1" applyFont="1" applyFill="1" applyBorder="1" applyAlignment="1">
      <alignment horizontal="left"/>
    </xf>
    <xf numFmtId="0" fontId="34" fillId="0" borderId="0" xfId="4" applyFont="1"/>
    <xf numFmtId="164" fontId="35" fillId="0" borderId="0" xfId="4" applyNumberFormat="1" applyFont="1"/>
    <xf numFmtId="164" fontId="35" fillId="0" borderId="0" xfId="4" applyNumberFormat="1" applyFont="1" applyAlignment="1">
      <alignment horizontal="left"/>
    </xf>
    <xf numFmtId="0" fontId="35" fillId="0" borderId="0" xfId="4" applyFont="1"/>
    <xf numFmtId="164" fontId="42" fillId="0" borderId="18" xfId="4" applyNumberFormat="1" applyFont="1" applyBorder="1" applyAlignment="1">
      <alignment horizontal="center"/>
    </xf>
    <xf numFmtId="164" fontId="42" fillId="0" borderId="0" xfId="4" applyNumberFormat="1" applyFont="1" applyAlignment="1">
      <alignment horizontal="left" vertical="center" wrapText="1"/>
    </xf>
    <xf numFmtId="164" fontId="42" fillId="0" borderId="0" xfId="4" applyNumberFormat="1" applyFont="1" applyAlignment="1">
      <alignment horizontal="center" vertical="center" wrapText="1"/>
    </xf>
    <xf numFmtId="164" fontId="42" fillId="0" borderId="0" xfId="4" applyNumberFormat="1" applyFont="1" applyAlignment="1">
      <alignment horizontal="center"/>
    </xf>
    <xf numFmtId="4" fontId="34" fillId="0" borderId="0" xfId="4" applyNumberFormat="1" applyFont="1" applyAlignment="1">
      <alignment horizontal="center"/>
    </xf>
    <xf numFmtId="2" fontId="34" fillId="0" borderId="0" xfId="4" applyNumberFormat="1" applyFont="1"/>
    <xf numFmtId="164" fontId="34" fillId="0" borderId="0" xfId="4" applyNumberFormat="1" applyFont="1" applyAlignment="1">
      <alignment horizontal="left"/>
    </xf>
    <xf numFmtId="164" fontId="34" fillId="0" borderId="10" xfId="4" applyNumberFormat="1" applyFont="1" applyBorder="1" applyAlignment="1">
      <alignment horizontal="left"/>
    </xf>
    <xf numFmtId="4" fontId="34" fillId="0" borderId="10" xfId="4" applyNumberFormat="1" applyFont="1" applyBorder="1" applyAlignment="1">
      <alignment horizontal="center"/>
    </xf>
    <xf numFmtId="164" fontId="34" fillId="0" borderId="0" xfId="4" quotePrefix="1" applyNumberFormat="1" applyFont="1" applyAlignment="1">
      <alignment horizontal="left"/>
    </xf>
    <xf numFmtId="0" fontId="34" fillId="0" borderId="0" xfId="4" applyFont="1" applyAlignment="1">
      <alignment horizontal="left"/>
    </xf>
    <xf numFmtId="0" fontId="34" fillId="0" borderId="10" xfId="4" applyFont="1" applyBorder="1"/>
    <xf numFmtId="164" fontId="42" fillId="0" borderId="17" xfId="2" applyFont="1" applyBorder="1" applyAlignment="1">
      <alignment horizontal="center"/>
    </xf>
    <xf numFmtId="164" fontId="42" fillId="0" borderId="18" xfId="2" applyFont="1" applyBorder="1" applyAlignment="1">
      <alignment horizontal="center"/>
    </xf>
    <xf numFmtId="164" fontId="42" fillId="0" borderId="16" xfId="2" applyFont="1" applyBorder="1" applyAlignment="1">
      <alignment horizontal="center"/>
    </xf>
    <xf numFmtId="164" fontId="42" fillId="0" borderId="16" xfId="2" applyFont="1" applyBorder="1" applyAlignment="1">
      <alignment horizontal="right"/>
    </xf>
    <xf numFmtId="0" fontId="35" fillId="3" borderId="1" xfId="0" applyFont="1" applyFill="1" applyBorder="1" applyAlignment="1">
      <alignment horizontal="left"/>
    </xf>
    <xf numFmtId="0" fontId="35" fillId="3" borderId="10" xfId="0" applyFont="1" applyFill="1" applyBorder="1"/>
    <xf numFmtId="4" fontId="35" fillId="3" borderId="10" xfId="0" applyNumberFormat="1" applyFont="1" applyFill="1" applyBorder="1" applyAlignment="1">
      <alignment horizontal="center"/>
    </xf>
    <xf numFmtId="164" fontId="48" fillId="0" borderId="0" xfId="2" applyFont="1" applyAlignment="1">
      <alignment wrapText="1"/>
    </xf>
    <xf numFmtId="0" fontId="35" fillId="3" borderId="1" xfId="0" applyFont="1" applyFill="1" applyBorder="1" applyAlignment="1">
      <alignment wrapText="1"/>
    </xf>
    <xf numFmtId="0" fontId="35" fillId="3" borderId="0" xfId="0" applyFont="1" applyFill="1" applyAlignment="1">
      <alignment wrapText="1"/>
    </xf>
    <xf numFmtId="0" fontId="35" fillId="3" borderId="1" xfId="0" applyFont="1" applyFill="1" applyBorder="1"/>
    <xf numFmtId="0" fontId="49" fillId="0" borderId="0" xfId="0" applyFont="1"/>
    <xf numFmtId="0" fontId="50" fillId="3" borderId="0" xfId="0" applyFont="1" applyFill="1" applyAlignment="1">
      <alignment horizontal="center"/>
    </xf>
    <xf numFmtId="17" fontId="42" fillId="0" borderId="16" xfId="0" quotePrefix="1" applyNumberFormat="1" applyFont="1" applyBorder="1" applyAlignment="1">
      <alignment horizontal="center" vertical="center"/>
    </xf>
    <xf numFmtId="2" fontId="38" fillId="3" borderId="19" xfId="0" applyNumberFormat="1" applyFont="1" applyFill="1" applyBorder="1" applyAlignment="1">
      <alignment horizontal="center" vertical="center"/>
    </xf>
    <xf numFmtId="0" fontId="35" fillId="3" borderId="24" xfId="0" applyFont="1" applyFill="1" applyBorder="1" applyAlignment="1">
      <alignment vertical="center" wrapText="1"/>
    </xf>
    <xf numFmtId="4" fontId="35" fillId="3" borderId="20" xfId="222" applyNumberFormat="1" applyFont="1" applyFill="1" applyBorder="1" applyAlignment="1">
      <alignment horizontal="center" vertical="center"/>
    </xf>
    <xf numFmtId="4" fontId="35" fillId="3" borderId="28" xfId="222" applyNumberFormat="1" applyFont="1" applyFill="1" applyBorder="1" applyAlignment="1">
      <alignment horizontal="center" vertical="center"/>
    </xf>
    <xf numFmtId="0" fontId="35" fillId="3" borderId="0" xfId="0" applyFont="1" applyFill="1" applyAlignment="1">
      <alignment vertical="center" wrapText="1"/>
    </xf>
    <xf numFmtId="4" fontId="35" fillId="3" borderId="0" xfId="222" applyNumberFormat="1" applyFont="1" applyFill="1" applyBorder="1" applyAlignment="1">
      <alignment horizontal="center" vertical="center"/>
    </xf>
    <xf numFmtId="4" fontId="35" fillId="3" borderId="31" xfId="222" applyNumberFormat="1" applyFont="1" applyFill="1" applyBorder="1" applyAlignment="1">
      <alignment horizontal="center" vertical="center"/>
    </xf>
    <xf numFmtId="4" fontId="35" fillId="3" borderId="24" xfId="222" applyNumberFormat="1" applyFont="1" applyFill="1" applyBorder="1" applyAlignment="1">
      <alignment horizontal="center" vertical="center"/>
    </xf>
    <xf numFmtId="4" fontId="35" fillId="3" borderId="32" xfId="222" applyNumberFormat="1" applyFont="1" applyFill="1" applyBorder="1" applyAlignment="1">
      <alignment horizontal="center" vertical="center"/>
    </xf>
    <xf numFmtId="0" fontId="42" fillId="0" borderId="16" xfId="0" applyFont="1" applyBorder="1" applyAlignment="1">
      <alignment horizontal="center" vertical="center" wrapText="1"/>
    </xf>
    <xf numFmtId="0" fontId="38" fillId="3" borderId="0" xfId="0" applyFont="1" applyFill="1"/>
    <xf numFmtId="49" fontId="38" fillId="3" borderId="0" xfId="0" applyNumberFormat="1" applyFont="1" applyFill="1" applyAlignment="1">
      <alignment horizontal="center"/>
    </xf>
    <xf numFmtId="2" fontId="39" fillId="3" borderId="20" xfId="0" applyNumberFormat="1" applyFont="1" applyFill="1" applyBorder="1" applyAlignment="1">
      <alignment horizontal="center" vertical="center"/>
    </xf>
    <xf numFmtId="2" fontId="38" fillId="3" borderId="0" xfId="0" applyNumberFormat="1" applyFont="1" applyFill="1" applyAlignment="1">
      <alignment vertical="center"/>
    </xf>
    <xf numFmtId="0" fontId="38" fillId="3" borderId="0" xfId="0" applyFont="1" applyFill="1" applyAlignment="1">
      <alignment vertical="center"/>
    </xf>
    <xf numFmtId="0" fontId="35" fillId="3" borderId="24" xfId="0" applyFont="1" applyFill="1" applyBorder="1" applyAlignment="1">
      <alignment vertical="center"/>
    </xf>
    <xf numFmtId="0" fontId="35" fillId="3" borderId="20" xfId="0" applyFont="1" applyFill="1" applyBorder="1" applyAlignment="1">
      <alignment vertical="center" wrapText="1"/>
    </xf>
    <xf numFmtId="2" fontId="34" fillId="3" borderId="20" xfId="0" applyNumberFormat="1" applyFont="1" applyFill="1" applyBorder="1" applyAlignment="1">
      <alignment horizontal="center" vertical="center"/>
    </xf>
    <xf numFmtId="2" fontId="35" fillId="3" borderId="20" xfId="0" applyNumberFormat="1" applyFont="1" applyFill="1" applyBorder="1" applyAlignment="1">
      <alignment horizontal="center" vertical="center"/>
    </xf>
    <xf numFmtId="0" fontId="35" fillId="3" borderId="0" xfId="0" applyFont="1" applyFill="1" applyAlignment="1">
      <alignment vertical="center"/>
    </xf>
    <xf numFmtId="0" fontId="35" fillId="3" borderId="26" xfId="0" applyFont="1" applyFill="1" applyBorder="1" applyAlignment="1">
      <alignment vertical="center"/>
    </xf>
    <xf numFmtId="2" fontId="35" fillId="3" borderId="26" xfId="0" applyNumberFormat="1" applyFont="1" applyFill="1" applyBorder="1" applyAlignment="1">
      <alignment horizontal="center" vertical="center"/>
    </xf>
    <xf numFmtId="2" fontId="35" fillId="0" borderId="20" xfId="0" applyNumberFormat="1" applyFont="1" applyBorder="1" applyAlignment="1">
      <alignment horizontal="center" vertical="center"/>
    </xf>
    <xf numFmtId="0" fontId="35" fillId="0" borderId="20" xfId="0" applyFont="1" applyBorder="1" applyAlignment="1">
      <alignment vertical="center" wrapText="1"/>
    </xf>
    <xf numFmtId="2" fontId="34" fillId="0" borderId="20" xfId="0" applyNumberFormat="1" applyFont="1" applyBorder="1" applyAlignment="1">
      <alignment horizontal="center" vertical="center"/>
    </xf>
    <xf numFmtId="0" fontId="35" fillId="5" borderId="0" xfId="0" applyFont="1" applyFill="1"/>
    <xf numFmtId="2" fontId="35" fillId="5" borderId="0" xfId="0" applyNumberFormat="1" applyFont="1" applyFill="1" applyAlignment="1">
      <alignment horizontal="center"/>
    </xf>
    <xf numFmtId="0" fontId="35" fillId="3" borderId="29" xfId="0" applyFont="1" applyFill="1" applyBorder="1" applyAlignment="1">
      <alignment vertical="center" wrapText="1"/>
    </xf>
    <xf numFmtId="2" fontId="34" fillId="3" borderId="28" xfId="0" applyNumberFormat="1" applyFont="1" applyFill="1" applyBorder="1" applyAlignment="1">
      <alignment horizontal="center" vertical="center"/>
    </xf>
    <xf numFmtId="167" fontId="35" fillId="3" borderId="0" xfId="0" applyNumberFormat="1" applyFont="1" applyFill="1"/>
    <xf numFmtId="0" fontId="42" fillId="0" borderId="0" xfId="161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2" fontId="38" fillId="3" borderId="0" xfId="0" applyNumberFormat="1" applyFont="1" applyFill="1"/>
    <xf numFmtId="2" fontId="35" fillId="3" borderId="0" xfId="0" applyNumberFormat="1" applyFont="1" applyFill="1" applyAlignment="1">
      <alignment horizontal="center" vertical="center"/>
    </xf>
    <xf numFmtId="0" fontId="35" fillId="0" borderId="0" xfId="161" applyFont="1"/>
    <xf numFmtId="0" fontId="51" fillId="0" borderId="0" xfId="161" applyFont="1"/>
    <xf numFmtId="17" fontId="42" fillId="0" borderId="16" xfId="4" quotePrefix="1" applyNumberFormat="1" applyFont="1" applyBorder="1" applyAlignment="1">
      <alignment horizontal="center" vertical="center" wrapText="1"/>
    </xf>
    <xf numFmtId="0" fontId="38" fillId="0" borderId="0" xfId="161" applyFont="1"/>
    <xf numFmtId="0" fontId="34" fillId="0" borderId="0" xfId="161" applyFont="1"/>
    <xf numFmtId="0" fontId="34" fillId="3" borderId="0" xfId="161" applyFont="1" applyFill="1" applyAlignment="1">
      <alignment horizontal="left"/>
    </xf>
    <xf numFmtId="43" fontId="34" fillId="3" borderId="0" xfId="222" applyFont="1" applyFill="1" applyBorder="1" applyAlignment="1">
      <alignment horizontal="center"/>
    </xf>
    <xf numFmtId="0" fontId="34" fillId="0" borderId="0" xfId="172" applyFont="1"/>
    <xf numFmtId="0" fontId="41" fillId="0" borderId="0" xfId="172" applyFont="1"/>
    <xf numFmtId="0" fontId="41" fillId="0" borderId="0" xfId="172" applyFont="1" applyAlignment="1">
      <alignment horizontal="right"/>
    </xf>
    <xf numFmtId="0" fontId="34" fillId="3" borderId="0" xfId="172" applyFont="1" applyFill="1" applyAlignment="1">
      <alignment horizontal="right"/>
    </xf>
    <xf numFmtId="0" fontId="42" fillId="0" borderId="16" xfId="172" applyFont="1" applyBorder="1" applyAlignment="1">
      <alignment horizontal="center" vertical="center" wrapText="1"/>
    </xf>
    <xf numFmtId="0" fontId="41" fillId="0" borderId="0" xfId="172" applyFont="1" applyAlignment="1">
      <alignment horizontal="center"/>
    </xf>
    <xf numFmtId="2" fontId="34" fillId="0" borderId="0" xfId="172" applyNumberFormat="1" applyFont="1" applyAlignment="1">
      <alignment horizontal="center"/>
    </xf>
    <xf numFmtId="0" fontId="34" fillId="0" borderId="0" xfId="172" applyFont="1" applyAlignment="1">
      <alignment horizontal="left"/>
    </xf>
    <xf numFmtId="4" fontId="34" fillId="0" borderId="0" xfId="172" applyNumberFormat="1" applyFont="1" applyAlignment="1">
      <alignment horizontal="center"/>
    </xf>
    <xf numFmtId="0" fontId="34" fillId="0" borderId="0" xfId="172" applyFont="1" applyAlignment="1">
      <alignment horizontal="center"/>
    </xf>
    <xf numFmtId="0" fontId="34" fillId="0" borderId="0" xfId="218" applyFont="1" applyAlignment="1">
      <alignment horizontal="left"/>
    </xf>
    <xf numFmtId="0" fontId="34" fillId="0" borderId="0" xfId="218" quotePrefix="1" applyFont="1" applyAlignment="1">
      <alignment horizontal="left"/>
    </xf>
    <xf numFmtId="0" fontId="34" fillId="0" borderId="0" xfId="172" quotePrefix="1" applyFont="1"/>
    <xf numFmtId="0" fontId="34" fillId="0" borderId="10" xfId="172" applyFont="1" applyBorder="1" applyAlignment="1">
      <alignment horizontal="left"/>
    </xf>
    <xf numFmtId="2" fontId="34" fillId="0" borderId="10" xfId="172" applyNumberFormat="1" applyFont="1" applyBorder="1" applyAlignment="1">
      <alignment horizontal="center"/>
    </xf>
    <xf numFmtId="2" fontId="34" fillId="0" borderId="0" xfId="172" applyNumberFormat="1" applyFont="1"/>
    <xf numFmtId="0" fontId="52" fillId="0" borderId="0" xfId="172" applyFont="1"/>
    <xf numFmtId="43" fontId="34" fillId="0" borderId="0" xfId="222" applyFont="1"/>
    <xf numFmtId="0" fontId="34" fillId="0" borderId="31" xfId="172" applyFont="1" applyBorder="1"/>
    <xf numFmtId="2" fontId="35" fillId="0" borderId="0" xfId="2" applyNumberFormat="1" applyFont="1" applyAlignment="1">
      <alignment horizontal="center"/>
    </xf>
    <xf numFmtId="164" fontId="54" fillId="0" borderId="0" xfId="2" applyFont="1"/>
    <xf numFmtId="2" fontId="34" fillId="0" borderId="0" xfId="151" applyNumberFormat="1" applyFont="1" applyAlignment="1">
      <alignment horizontal="center"/>
    </xf>
    <xf numFmtId="0" fontId="41" fillId="0" borderId="0" xfId="151" applyFont="1" applyAlignment="1">
      <alignment wrapText="1"/>
    </xf>
    <xf numFmtId="0" fontId="34" fillId="0" borderId="0" xfId="151" applyFont="1" applyAlignment="1">
      <alignment horizontal="center"/>
    </xf>
    <xf numFmtId="4" fontId="34" fillId="0" borderId="0" xfId="151" applyNumberFormat="1" applyFont="1" applyAlignment="1">
      <alignment horizontal="center"/>
    </xf>
    <xf numFmtId="0" fontId="41" fillId="0" borderId="10" xfId="151" applyFont="1" applyBorder="1" applyAlignment="1">
      <alignment wrapText="1"/>
    </xf>
    <xf numFmtId="164" fontId="49" fillId="5" borderId="0" xfId="2" applyFont="1" applyFill="1"/>
    <xf numFmtId="4" fontId="34" fillId="0" borderId="10" xfId="151" applyNumberFormat="1" applyFont="1" applyBorder="1" applyAlignment="1">
      <alignment horizontal="center"/>
    </xf>
    <xf numFmtId="0" fontId="34" fillId="0" borderId="0" xfId="151" applyFont="1" applyAlignment="1">
      <alignment horizontal="left" wrapText="1"/>
    </xf>
    <xf numFmtId="2" fontId="35" fillId="0" borderId="0" xfId="0" applyNumberFormat="1" applyFont="1"/>
    <xf numFmtId="0" fontId="38" fillId="2" borderId="0" xfId="157" applyFont="1" applyFill="1" applyAlignment="1">
      <alignment horizontal="left"/>
    </xf>
    <xf numFmtId="4" fontId="38" fillId="3" borderId="0" xfId="157" applyNumberFormat="1" applyFont="1" applyFill="1" applyAlignment="1">
      <alignment horizontal="center"/>
    </xf>
    <xf numFmtId="0" fontId="35" fillId="3" borderId="0" xfId="4" applyFont="1" applyFill="1" applyAlignment="1">
      <alignment horizontal="center"/>
    </xf>
    <xf numFmtId="4" fontId="35" fillId="3" borderId="0" xfId="4" applyNumberFormat="1" applyFont="1" applyFill="1" applyAlignment="1">
      <alignment horizontal="center"/>
    </xf>
    <xf numFmtId="164" fontId="34" fillId="0" borderId="0" xfId="228" applyNumberFormat="1" applyFont="1" applyAlignment="1">
      <alignment horizontal="left"/>
    </xf>
    <xf numFmtId="4" fontId="35" fillId="3" borderId="17" xfId="222" applyNumberFormat="1" applyFont="1" applyFill="1" applyBorder="1" applyAlignment="1">
      <alignment horizontal="center" vertical="center"/>
    </xf>
    <xf numFmtId="4" fontId="35" fillId="3" borderId="22" xfId="222" applyNumberFormat="1" applyFont="1" applyFill="1" applyBorder="1" applyAlignment="1">
      <alignment horizontal="center" vertical="center"/>
    </xf>
    <xf numFmtId="4" fontId="35" fillId="3" borderId="23" xfId="222" applyNumberFormat="1" applyFont="1" applyFill="1" applyBorder="1" applyAlignment="1">
      <alignment horizontal="center" vertical="center"/>
    </xf>
    <xf numFmtId="4" fontId="35" fillId="3" borderId="25" xfId="222" applyNumberFormat="1" applyFont="1" applyFill="1" applyBorder="1" applyAlignment="1">
      <alignment horizontal="center" vertical="center"/>
    </xf>
    <xf numFmtId="4" fontId="35" fillId="3" borderId="0" xfId="222" applyNumberFormat="1" applyFont="1" applyFill="1" applyBorder="1" applyAlignment="1">
      <alignment vertical="center"/>
    </xf>
    <xf numFmtId="2" fontId="34" fillId="0" borderId="0" xfId="228" applyNumberFormat="1" applyFont="1"/>
    <xf numFmtId="164" fontId="39" fillId="0" borderId="0" xfId="228" applyNumberFormat="1" applyFont="1"/>
    <xf numFmtId="164" fontId="34" fillId="0" borderId="0" xfId="228" applyNumberFormat="1" applyFont="1" applyAlignment="1">
      <alignment horizontal="center"/>
    </xf>
    <xf numFmtId="164" fontId="40" fillId="0" borderId="0" xfId="228" applyNumberFormat="1" applyFont="1"/>
    <xf numFmtId="2" fontId="40" fillId="0" borderId="0" xfId="228" applyNumberFormat="1" applyFont="1"/>
    <xf numFmtId="164" fontId="40" fillId="0" borderId="0" xfId="228" applyNumberFormat="1" applyFont="1" applyAlignment="1">
      <alignment horizontal="left"/>
    </xf>
    <xf numFmtId="164" fontId="48" fillId="0" borderId="0" xfId="2" applyFont="1"/>
    <xf numFmtId="0" fontId="5" fillId="0" borderId="0" xfId="151"/>
    <xf numFmtId="0" fontId="56" fillId="0" borderId="0" xfId="151" applyFont="1" applyAlignment="1">
      <alignment vertical="center"/>
    </xf>
    <xf numFmtId="0" fontId="57" fillId="0" borderId="0" xfId="151" applyFont="1" applyAlignment="1">
      <alignment vertical="center"/>
    </xf>
    <xf numFmtId="0" fontId="56" fillId="7" borderId="0" xfId="151" applyFont="1" applyFill="1" applyAlignment="1">
      <alignment vertical="center"/>
    </xf>
    <xf numFmtId="0" fontId="5" fillId="7" borderId="0" xfId="151" applyFill="1"/>
    <xf numFmtId="0" fontId="59" fillId="0" borderId="0" xfId="0" applyFont="1"/>
    <xf numFmtId="0" fontId="46" fillId="3" borderId="0" xfId="0" applyFont="1" applyFill="1" applyAlignment="1">
      <alignment wrapText="1"/>
    </xf>
    <xf numFmtId="0" fontId="44" fillId="3" borderId="0" xfId="0" applyFont="1" applyFill="1" applyAlignment="1">
      <alignment vertical="center"/>
    </xf>
    <xf numFmtId="0" fontId="59" fillId="3" borderId="0" xfId="0" applyFont="1" applyFill="1"/>
    <xf numFmtId="0" fontId="5" fillId="0" borderId="0" xfId="172"/>
    <xf numFmtId="0" fontId="61" fillId="3" borderId="0" xfId="4" applyFont="1" applyFill="1" applyAlignment="1">
      <alignment vertical="center"/>
    </xf>
    <xf numFmtId="164" fontId="5" fillId="0" borderId="0" xfId="228" applyNumberFormat="1"/>
    <xf numFmtId="164" fontId="42" fillId="0" borderId="9" xfId="2" applyFont="1" applyBorder="1" applyAlignment="1">
      <alignment horizontal="center" vertical="center" wrapText="1"/>
    </xf>
    <xf numFmtId="164" fontId="42" fillId="0" borderId="11" xfId="2" applyFont="1" applyBorder="1" applyAlignment="1">
      <alignment horizontal="center" vertical="center" wrapText="1"/>
    </xf>
    <xf numFmtId="164" fontId="42" fillId="0" borderId="12" xfId="2" applyFont="1" applyBorder="1" applyAlignment="1">
      <alignment horizontal="center" vertical="center" wrapText="1"/>
    </xf>
    <xf numFmtId="164" fontId="42" fillId="0" borderId="9" xfId="226" applyNumberFormat="1" applyFont="1" applyBorder="1" applyAlignment="1">
      <alignment horizontal="center" vertical="center" wrapText="1"/>
    </xf>
    <xf numFmtId="164" fontId="34" fillId="3" borderId="0" xfId="2" applyFont="1" applyFill="1" applyAlignment="1">
      <alignment horizontal="center"/>
    </xf>
    <xf numFmtId="164" fontId="42" fillId="0" borderId="14" xfId="226" applyNumberFormat="1" applyFont="1" applyBorder="1" applyAlignment="1">
      <alignment horizontal="center" vertical="center" wrapText="1"/>
    </xf>
    <xf numFmtId="164" fontId="42" fillId="0" borderId="18" xfId="2" applyFont="1" applyBorder="1" applyAlignment="1">
      <alignment horizontal="center" vertical="center" wrapText="1"/>
    </xf>
    <xf numFmtId="164" fontId="42" fillId="0" borderId="16" xfId="2" applyFont="1" applyBorder="1" applyAlignment="1">
      <alignment horizontal="center" vertical="center" wrapText="1"/>
    </xf>
    <xf numFmtId="0" fontId="42" fillId="0" borderId="16" xfId="172" applyFont="1" applyBorder="1" applyAlignment="1">
      <alignment horizontal="center" vertical="center"/>
    </xf>
    <xf numFmtId="164" fontId="34" fillId="0" borderId="0" xfId="2" applyFont="1" applyAlignment="1">
      <alignment horizontal="centerContinuous"/>
    </xf>
    <xf numFmtId="164" fontId="34" fillId="3" borderId="11" xfId="2" applyFont="1" applyFill="1" applyBorder="1" applyAlignment="1">
      <alignment horizontal="center"/>
    </xf>
    <xf numFmtId="164" fontId="43" fillId="3" borderId="0" xfId="2" applyFont="1" applyFill="1"/>
    <xf numFmtId="4" fontId="41" fillId="0" borderId="0" xfId="4" applyNumberFormat="1" applyFont="1" applyAlignment="1">
      <alignment horizontal="center"/>
    </xf>
    <xf numFmtId="0" fontId="34" fillId="0" borderId="0" xfId="161" applyFont="1" applyAlignment="1">
      <alignment horizontal="left"/>
    </xf>
    <xf numFmtId="4" fontId="38" fillId="3" borderId="0" xfId="4" applyNumberFormat="1" applyFont="1" applyFill="1" applyAlignment="1">
      <alignment horizontal="center"/>
    </xf>
    <xf numFmtId="0" fontId="37" fillId="3" borderId="0" xfId="4" applyFont="1" applyFill="1" applyAlignment="1">
      <alignment horizontal="right"/>
    </xf>
    <xf numFmtId="0" fontId="37" fillId="0" borderId="0" xfId="4" applyFont="1" applyAlignment="1">
      <alignment horizontal="right"/>
    </xf>
    <xf numFmtId="4" fontId="35" fillId="0" borderId="0" xfId="0" applyNumberFormat="1" applyFont="1"/>
    <xf numFmtId="2" fontId="34" fillId="0" borderId="0" xfId="1" applyNumberFormat="1" applyFont="1"/>
    <xf numFmtId="164" fontId="3" fillId="0" borderId="1" xfId="2" applyFont="1" applyBorder="1" applyAlignment="1">
      <alignment horizontal="left"/>
    </xf>
    <xf numFmtId="164" fontId="3" fillId="0" borderId="0" xfId="2" applyFont="1"/>
    <xf numFmtId="4" fontId="3" fillId="0" borderId="0" xfId="2" applyNumberFormat="1" applyFont="1" applyAlignment="1">
      <alignment horizontal="center"/>
    </xf>
    <xf numFmtId="4" fontId="35" fillId="3" borderId="0" xfId="0" applyNumberFormat="1" applyFont="1" applyFill="1"/>
    <xf numFmtId="201" fontId="35" fillId="3" borderId="0" xfId="0" applyNumberFormat="1" applyFont="1" applyFill="1"/>
    <xf numFmtId="4" fontId="34" fillId="0" borderId="0" xfId="4" applyNumberFormat="1" applyFont="1"/>
    <xf numFmtId="2" fontId="0" fillId="0" borderId="0" xfId="0" applyNumberFormat="1"/>
    <xf numFmtId="164" fontId="3" fillId="0" borderId="0" xfId="2" applyFont="1" applyAlignment="1">
      <alignment horizontal="left"/>
    </xf>
    <xf numFmtId="0" fontId="44" fillId="3" borderId="0" xfId="0" applyFont="1" applyFill="1" applyAlignment="1">
      <alignment wrapText="1"/>
    </xf>
    <xf numFmtId="164" fontId="65" fillId="3" borderId="1" xfId="2" applyFont="1" applyFill="1" applyBorder="1" applyAlignment="1">
      <alignment horizontal="left"/>
    </xf>
    <xf numFmtId="2" fontId="66" fillId="3" borderId="0" xfId="7" applyNumberFormat="1" applyFont="1" applyFill="1" applyBorder="1" applyAlignment="1">
      <alignment horizontal="center"/>
    </xf>
    <xf numFmtId="2" fontId="66" fillId="3" borderId="0" xfId="230" applyNumberFormat="1" applyFont="1" applyFill="1" applyBorder="1" applyAlignment="1">
      <alignment horizontal="center"/>
    </xf>
    <xf numFmtId="43" fontId="35" fillId="0" borderId="0" xfId="161" applyNumberFormat="1" applyFont="1"/>
    <xf numFmtId="202" fontId="34" fillId="0" borderId="0" xfId="228" applyNumberFormat="1" applyFont="1"/>
    <xf numFmtId="1" fontId="38" fillId="3" borderId="0" xfId="0" applyNumberFormat="1" applyFont="1" applyFill="1" applyAlignment="1">
      <alignment vertical="center"/>
    </xf>
    <xf numFmtId="1" fontId="35" fillId="3" borderId="0" xfId="0" applyNumberFormat="1" applyFont="1" applyFill="1"/>
    <xf numFmtId="0" fontId="35" fillId="3" borderId="34" xfId="0" applyFont="1" applyFill="1" applyBorder="1" applyAlignment="1">
      <alignment vertical="center"/>
    </xf>
    <xf numFmtId="0" fontId="35" fillId="3" borderId="34" xfId="0" applyFont="1" applyFill="1" applyBorder="1" applyAlignment="1">
      <alignment vertical="center" wrapText="1"/>
    </xf>
    <xf numFmtId="0" fontId="35" fillId="3" borderId="33" xfId="0" applyFont="1" applyFill="1" applyBorder="1" applyAlignment="1">
      <alignment vertical="center"/>
    </xf>
    <xf numFmtId="0" fontId="35" fillId="3" borderId="33" xfId="0" applyFont="1" applyFill="1" applyBorder="1" applyAlignment="1">
      <alignment vertical="center" wrapText="1"/>
    </xf>
    <xf numFmtId="2" fontId="35" fillId="3" borderId="30" xfId="0" applyNumberFormat="1" applyFont="1" applyFill="1" applyBorder="1" applyAlignment="1">
      <alignment horizontal="center" vertical="center"/>
    </xf>
    <xf numFmtId="1" fontId="35" fillId="3" borderId="34" xfId="0" applyNumberFormat="1" applyFont="1" applyFill="1" applyBorder="1" applyAlignment="1">
      <alignment vertical="center"/>
    </xf>
    <xf numFmtId="0" fontId="38" fillId="3" borderId="22" xfId="0" applyFont="1" applyFill="1" applyBorder="1" applyAlignment="1">
      <alignment vertical="center"/>
    </xf>
    <xf numFmtId="0" fontId="38" fillId="3" borderId="19" xfId="0" applyFont="1" applyFill="1" applyBorder="1" applyAlignment="1">
      <alignment vertical="center" wrapText="1"/>
    </xf>
    <xf numFmtId="2" fontId="39" fillId="3" borderId="19" xfId="0" applyNumberFormat="1" applyFont="1" applyFill="1" applyBorder="1" applyAlignment="1">
      <alignment horizontal="center" vertical="center"/>
    </xf>
    <xf numFmtId="2" fontId="39" fillId="0" borderId="19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/>
    </xf>
    <xf numFmtId="4" fontId="35" fillId="0" borderId="0" xfId="222" applyNumberFormat="1" applyFont="1" applyFill="1" applyBorder="1" applyAlignment="1">
      <alignment horizontal="center" vertical="center"/>
    </xf>
    <xf numFmtId="164" fontId="42" fillId="0" borderId="18" xfId="4" applyNumberFormat="1" applyFont="1" applyBorder="1" applyAlignment="1">
      <alignment horizontal="center" vertical="center" wrapText="1"/>
    </xf>
    <xf numFmtId="0" fontId="42" fillId="0" borderId="0" xfId="4" applyFont="1" applyAlignment="1">
      <alignment horizontal="left" vertical="center"/>
    </xf>
    <xf numFmtId="17" fontId="42" fillId="0" borderId="0" xfId="4" quotePrefix="1" applyNumberFormat="1" applyFont="1" applyAlignment="1">
      <alignment horizontal="center" vertical="center" wrapText="1"/>
    </xf>
    <xf numFmtId="164" fontId="42" fillId="0" borderId="16" xfId="2" applyFont="1" applyBorder="1" applyAlignment="1">
      <alignment horizontal="center" vertical="center"/>
    </xf>
    <xf numFmtId="164" fontId="42" fillId="0" borderId="18" xfId="4" applyNumberFormat="1" applyFont="1" applyBorder="1" applyAlignment="1">
      <alignment horizontal="center" vertical="center"/>
    </xf>
    <xf numFmtId="0" fontId="32" fillId="0" borderId="0" xfId="224" applyAlignment="1">
      <alignment wrapText="1"/>
    </xf>
    <xf numFmtId="201" fontId="34" fillId="3" borderId="20" xfId="0" applyNumberFormat="1" applyFont="1" applyFill="1" applyBorder="1" applyAlignment="1">
      <alignment horizontal="center" vertical="center"/>
    </xf>
    <xf numFmtId="201" fontId="35" fillId="3" borderId="0" xfId="0" applyNumberFormat="1" applyFont="1" applyFill="1" applyAlignment="1">
      <alignment horizontal="center" vertical="center"/>
    </xf>
    <xf numFmtId="201" fontId="34" fillId="3" borderId="0" xfId="0" applyNumberFormat="1" applyFont="1" applyFill="1" applyAlignment="1">
      <alignment horizontal="center" vertical="center"/>
    </xf>
    <xf numFmtId="201" fontId="35" fillId="3" borderId="26" xfId="0" applyNumberFormat="1" applyFont="1" applyFill="1" applyBorder="1" applyAlignment="1">
      <alignment horizontal="center" vertical="center"/>
    </xf>
    <xf numFmtId="201" fontId="34" fillId="0" borderId="20" xfId="0" applyNumberFormat="1" applyFont="1" applyBorder="1" applyAlignment="1">
      <alignment horizontal="center" vertical="center"/>
    </xf>
    <xf numFmtId="201" fontId="34" fillId="3" borderId="33" xfId="0" applyNumberFormat="1" applyFont="1" applyFill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35" fillId="3" borderId="0" xfId="4" applyFont="1" applyFill="1" applyAlignment="1">
      <alignment horizontal="left"/>
    </xf>
    <xf numFmtId="164" fontId="67" fillId="0" borderId="18" xfId="2" applyFont="1" applyBorder="1" applyAlignment="1">
      <alignment horizontal="center" vertical="center" wrapText="1"/>
    </xf>
    <xf numFmtId="0" fontId="38" fillId="3" borderId="0" xfId="4" applyFont="1" applyFill="1" applyAlignment="1">
      <alignment horizontal="left"/>
    </xf>
    <xf numFmtId="0" fontId="38" fillId="0" borderId="0" xfId="0" applyFont="1"/>
    <xf numFmtId="0" fontId="35" fillId="2" borderId="0" xfId="157" applyFont="1" applyFill="1" applyAlignment="1">
      <alignment horizontal="left"/>
    </xf>
    <xf numFmtId="0" fontId="34" fillId="0" borderId="0" xfId="2" applyNumberFormat="1" applyFont="1" applyAlignment="1">
      <alignment horizontal="left"/>
    </xf>
    <xf numFmtId="4" fontId="38" fillId="3" borderId="21" xfId="222" applyNumberFormat="1" applyFont="1" applyFill="1" applyBorder="1" applyAlignment="1">
      <alignment horizontal="center" vertical="center"/>
    </xf>
    <xf numFmtId="4" fontId="38" fillId="3" borderId="26" xfId="0" applyNumberFormat="1" applyFont="1" applyFill="1" applyBorder="1" applyAlignment="1">
      <alignment horizontal="center" vertical="center" wrapText="1"/>
    </xf>
    <xf numFmtId="4" fontId="38" fillId="3" borderId="21" xfId="0" applyNumberFormat="1" applyFont="1" applyFill="1" applyBorder="1" applyAlignment="1">
      <alignment horizontal="center" vertical="center"/>
    </xf>
    <xf numFmtId="0" fontId="38" fillId="3" borderId="31" xfId="0" applyFont="1" applyFill="1" applyBorder="1" applyAlignment="1">
      <alignment vertical="center"/>
    </xf>
    <xf numFmtId="201" fontId="34" fillId="3" borderId="24" xfId="0" applyNumberFormat="1" applyFont="1" applyFill="1" applyBorder="1" applyAlignment="1">
      <alignment horizontal="center" vertical="center"/>
    </xf>
    <xf numFmtId="201" fontId="35" fillId="3" borderId="24" xfId="0" applyNumberFormat="1" applyFont="1" applyFill="1" applyBorder="1" applyAlignment="1">
      <alignment horizontal="center" vertical="center"/>
    </xf>
    <xf numFmtId="201" fontId="35" fillId="3" borderId="32" xfId="0" applyNumberFormat="1" applyFont="1" applyFill="1" applyBorder="1" applyAlignment="1">
      <alignment horizontal="center" vertical="center"/>
    </xf>
    <xf numFmtId="0" fontId="35" fillId="3" borderId="40" xfId="0" applyFont="1" applyFill="1" applyBorder="1" applyAlignment="1">
      <alignment vertical="center"/>
    </xf>
    <xf numFmtId="0" fontId="35" fillId="3" borderId="39" xfId="0" applyFont="1" applyFill="1" applyBorder="1" applyAlignment="1">
      <alignment vertical="center"/>
    </xf>
    <xf numFmtId="201" fontId="35" fillId="3" borderId="19" xfId="0" applyNumberFormat="1" applyFont="1" applyFill="1" applyBorder="1" applyAlignment="1">
      <alignment horizontal="center" vertical="center"/>
    </xf>
    <xf numFmtId="4" fontId="35" fillId="3" borderId="19" xfId="222" applyNumberFormat="1" applyFont="1" applyFill="1" applyBorder="1" applyAlignment="1">
      <alignment horizontal="center" vertical="center"/>
    </xf>
    <xf numFmtId="0" fontId="34" fillId="0" borderId="31" xfId="161" applyFont="1" applyBorder="1"/>
    <xf numFmtId="43" fontId="34" fillId="3" borderId="31" xfId="222" applyFont="1" applyFill="1" applyBorder="1" applyAlignment="1">
      <alignment horizontal="center"/>
    </xf>
    <xf numFmtId="4" fontId="35" fillId="3" borderId="42" xfId="222" applyNumberFormat="1" applyFont="1" applyFill="1" applyBorder="1" applyAlignment="1">
      <alignment horizontal="center" vertical="center"/>
    </xf>
    <xf numFmtId="4" fontId="35" fillId="3" borderId="41" xfId="222" applyNumberFormat="1" applyFont="1" applyFill="1" applyBorder="1" applyAlignment="1">
      <alignment horizontal="center" vertical="center"/>
    </xf>
    <xf numFmtId="4" fontId="35" fillId="3" borderId="40" xfId="222" applyNumberFormat="1" applyFont="1" applyFill="1" applyBorder="1" applyAlignment="1">
      <alignment horizontal="center" vertical="center"/>
    </xf>
    <xf numFmtId="4" fontId="35" fillId="3" borderId="39" xfId="222" applyNumberFormat="1" applyFont="1" applyFill="1" applyBorder="1" applyAlignment="1">
      <alignment horizontal="center" vertical="center"/>
    </xf>
    <xf numFmtId="2" fontId="34" fillId="0" borderId="0" xfId="21" applyNumberFormat="1" applyFont="1" applyFill="1" applyBorder="1" applyAlignment="1" applyProtection="1">
      <alignment horizontal="center"/>
    </xf>
    <xf numFmtId="2" fontId="34" fillId="0" borderId="10" xfId="21" applyNumberFormat="1" applyFont="1" applyFill="1" applyBorder="1" applyAlignment="1" applyProtection="1">
      <alignment horizontal="center"/>
    </xf>
    <xf numFmtId="2" fontId="34" fillId="0" borderId="0" xfId="2" applyNumberFormat="1" applyFont="1" applyAlignment="1">
      <alignment horizontal="right"/>
    </xf>
    <xf numFmtId="2" fontId="34" fillId="2" borderId="0" xfId="2" applyNumberFormat="1" applyFont="1" applyFill="1" applyAlignment="1">
      <alignment horizontal="center"/>
    </xf>
    <xf numFmtId="2" fontId="43" fillId="0" borderId="0" xfId="2" applyNumberFormat="1" applyFont="1" applyAlignment="1">
      <alignment horizontal="center"/>
    </xf>
    <xf numFmtId="2" fontId="38" fillId="3" borderId="26" xfId="0" applyNumberFormat="1" applyFont="1" applyFill="1" applyBorder="1" applyAlignment="1">
      <alignment horizontal="center" vertical="center"/>
    </xf>
    <xf numFmtId="0" fontId="58" fillId="0" borderId="0" xfId="151" applyFont="1" applyAlignment="1">
      <alignment horizontal="center" vertical="center"/>
    </xf>
    <xf numFmtId="0" fontId="59" fillId="0" borderId="27" xfId="0" applyFont="1" applyBorder="1" applyAlignment="1">
      <alignment horizontal="left" wrapText="1"/>
    </xf>
    <xf numFmtId="164" fontId="42" fillId="0" borderId="9" xfId="2" applyFont="1" applyBorder="1" applyAlignment="1">
      <alignment horizontal="center" vertical="center"/>
    </xf>
    <xf numFmtId="164" fontId="42" fillId="0" borderId="9" xfId="2" applyFont="1" applyBorder="1" applyAlignment="1">
      <alignment horizontal="center" vertical="center" wrapText="1"/>
    </xf>
    <xf numFmtId="164" fontId="34" fillId="0" borderId="0" xfId="2" applyFont="1" applyAlignment="1">
      <alignment horizontal="center"/>
    </xf>
    <xf numFmtId="164" fontId="39" fillId="0" borderId="0" xfId="2" applyFont="1" applyAlignment="1">
      <alignment horizontal="center"/>
    </xf>
    <xf numFmtId="164" fontId="51" fillId="0" borderId="0" xfId="2" applyFont="1" applyAlignment="1">
      <alignment horizontal="center"/>
    </xf>
    <xf numFmtId="43" fontId="5" fillId="0" borderId="0" xfId="216" applyFont="1" applyBorder="1" applyAlignment="1">
      <alignment horizontal="left" vertical="center" wrapText="1"/>
    </xf>
    <xf numFmtId="0" fontId="39" fillId="0" borderId="0" xfId="1" applyFont="1" applyAlignment="1">
      <alignment horizontal="center"/>
    </xf>
    <xf numFmtId="164" fontId="42" fillId="0" borderId="11" xfId="2" applyFont="1" applyBorder="1" applyAlignment="1">
      <alignment horizontal="center" vertical="center" wrapText="1"/>
    </xf>
    <xf numFmtId="164" fontId="42" fillId="0" borderId="12" xfId="2" applyFont="1" applyBorder="1" applyAlignment="1">
      <alignment horizontal="center" vertical="center" wrapText="1"/>
    </xf>
    <xf numFmtId="43" fontId="52" fillId="0" borderId="27" xfId="216" applyFont="1" applyBorder="1" applyAlignment="1">
      <alignment horizontal="left" vertical="center" wrapText="1"/>
    </xf>
    <xf numFmtId="164" fontId="42" fillId="0" borderId="9" xfId="226" applyNumberFormat="1" applyFont="1" applyBorder="1" applyAlignment="1">
      <alignment horizontal="center" vertical="center" wrapText="1"/>
    </xf>
    <xf numFmtId="164" fontId="39" fillId="3" borderId="0" xfId="2" applyFont="1" applyFill="1" applyAlignment="1">
      <alignment horizontal="center"/>
    </xf>
    <xf numFmtId="164" fontId="42" fillId="0" borderId="14" xfId="226" applyNumberFormat="1" applyFont="1" applyBorder="1" applyAlignment="1">
      <alignment horizontal="center" vertical="center" wrapText="1"/>
    </xf>
    <xf numFmtId="164" fontId="42" fillId="0" borderId="13" xfId="226" applyNumberFormat="1" applyFont="1" applyBorder="1" applyAlignment="1">
      <alignment horizontal="center" vertical="center" wrapText="1"/>
    </xf>
    <xf numFmtId="164" fontId="39" fillId="3" borderId="0" xfId="0" applyNumberFormat="1" applyFont="1" applyFill="1" applyAlignment="1">
      <alignment horizontal="center"/>
    </xf>
    <xf numFmtId="164" fontId="42" fillId="0" borderId="0" xfId="2" applyFont="1" applyAlignment="1">
      <alignment horizontal="center" vertical="center" wrapText="1"/>
    </xf>
    <xf numFmtId="164" fontId="42" fillId="0" borderId="18" xfId="2" applyFont="1" applyBorder="1" applyAlignment="1">
      <alignment horizontal="center" vertical="center" wrapText="1"/>
    </xf>
    <xf numFmtId="0" fontId="5" fillId="0" borderId="27" xfId="4" applyBorder="1" applyAlignment="1">
      <alignment horizontal="left" wrapText="1"/>
    </xf>
    <xf numFmtId="164" fontId="42" fillId="0" borderId="16" xfId="4" applyNumberFormat="1" applyFont="1" applyBorder="1" applyAlignment="1">
      <alignment horizontal="center" vertical="center"/>
    </xf>
    <xf numFmtId="164" fontId="39" fillId="0" borderId="0" xfId="4" applyNumberFormat="1" applyFont="1" applyAlignment="1">
      <alignment horizontal="center"/>
    </xf>
    <xf numFmtId="164" fontId="38" fillId="0" borderId="0" xfId="4" applyNumberFormat="1" applyFont="1" applyAlignment="1">
      <alignment horizontal="center"/>
    </xf>
    <xf numFmtId="164" fontId="42" fillId="0" borderId="17" xfId="4" applyNumberFormat="1" applyFont="1" applyBorder="1" applyAlignment="1">
      <alignment horizontal="center" vertical="center" wrapText="1"/>
    </xf>
    <xf numFmtId="164" fontId="42" fillId="0" borderId="18" xfId="4" applyNumberFormat="1" applyFont="1" applyBorder="1" applyAlignment="1">
      <alignment horizontal="center" vertical="center" wrapText="1"/>
    </xf>
    <xf numFmtId="164" fontId="42" fillId="0" borderId="17" xfId="4" applyNumberFormat="1" applyFont="1" applyBorder="1" applyAlignment="1">
      <alignment horizontal="center" vertical="center"/>
    </xf>
    <xf numFmtId="164" fontId="42" fillId="0" borderId="18" xfId="4" applyNumberFormat="1" applyFont="1" applyBorder="1" applyAlignment="1">
      <alignment horizontal="center" vertical="center"/>
    </xf>
    <xf numFmtId="0" fontId="59" fillId="0" borderId="0" xfId="0" applyFont="1" applyAlignment="1">
      <alignment horizontal="left" wrapText="1"/>
    </xf>
    <xf numFmtId="164" fontId="42" fillId="0" borderId="16" xfId="2" applyFont="1" applyBorder="1" applyAlignment="1">
      <alignment horizontal="left" vertical="center"/>
    </xf>
    <xf numFmtId="164" fontId="42" fillId="0" borderId="16" xfId="2" applyFont="1" applyBorder="1" applyAlignment="1">
      <alignment horizontal="center"/>
    </xf>
    <xf numFmtId="0" fontId="39" fillId="3" borderId="0" xfId="0" applyFont="1" applyFill="1" applyAlignment="1">
      <alignment horizontal="center"/>
    </xf>
    <xf numFmtId="0" fontId="50" fillId="3" borderId="0" xfId="0" applyFont="1" applyFill="1" applyAlignment="1">
      <alignment horizontal="center"/>
    </xf>
    <xf numFmtId="0" fontId="42" fillId="0" borderId="17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42" fillId="0" borderId="36" xfId="0" applyFont="1" applyBorder="1" applyAlignment="1">
      <alignment horizontal="center" vertical="center"/>
    </xf>
    <xf numFmtId="0" fontId="42" fillId="0" borderId="16" xfId="0" quotePrefix="1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42" fillId="0" borderId="16" xfId="161" applyFont="1" applyBorder="1" applyAlignment="1">
      <alignment horizontal="center" vertical="center"/>
    </xf>
    <xf numFmtId="0" fontId="38" fillId="3" borderId="0" xfId="0" applyFont="1" applyFill="1" applyAlignment="1">
      <alignment horizontal="center"/>
    </xf>
    <xf numFmtId="0" fontId="42" fillId="0" borderId="16" xfId="0" applyFont="1" applyBorder="1" applyAlignment="1">
      <alignment horizontal="center" vertical="center"/>
    </xf>
    <xf numFmtId="0" fontId="42" fillId="0" borderId="16" xfId="0" applyFont="1" applyBorder="1" applyAlignment="1">
      <alignment horizontal="left" vertical="center" wrapText="1"/>
    </xf>
    <xf numFmtId="0" fontId="42" fillId="0" borderId="16" xfId="0" applyFont="1" applyBorder="1" applyAlignment="1">
      <alignment horizontal="center" vertical="center" wrapText="1"/>
    </xf>
    <xf numFmtId="17" fontId="42" fillId="0" borderId="16" xfId="0" quotePrefix="1" applyNumberFormat="1" applyFont="1" applyBorder="1" applyAlignment="1">
      <alignment horizontal="center" vertical="center" wrapText="1"/>
    </xf>
    <xf numFmtId="0" fontId="42" fillId="0" borderId="16" xfId="0" applyFont="1" applyBorder="1" applyAlignment="1">
      <alignment horizontal="left" vertical="center"/>
    </xf>
    <xf numFmtId="17" fontId="42" fillId="0" borderId="16" xfId="0" quotePrefix="1" applyNumberFormat="1" applyFont="1" applyBorder="1" applyAlignment="1">
      <alignment horizontal="center" vertical="center"/>
    </xf>
    <xf numFmtId="0" fontId="32" fillId="0" borderId="0" xfId="224" applyAlignment="1">
      <alignment horizontal="left" wrapText="1"/>
    </xf>
    <xf numFmtId="164" fontId="39" fillId="0" borderId="0" xfId="2" applyFont="1" applyAlignment="1">
      <alignment horizontal="center" vertical="center"/>
    </xf>
    <xf numFmtId="0" fontId="42" fillId="0" borderId="16" xfId="4" applyFont="1" applyBorder="1" applyAlignment="1">
      <alignment horizontal="left" vertical="center"/>
    </xf>
    <xf numFmtId="0" fontId="42" fillId="0" borderId="16" xfId="4" applyFont="1" applyBorder="1" applyAlignment="1">
      <alignment horizontal="center" vertical="center"/>
    </xf>
    <xf numFmtId="0" fontId="32" fillId="0" borderId="27" xfId="224" applyBorder="1" applyAlignment="1">
      <alignment horizontal="left" vertical="center" wrapText="1"/>
    </xf>
    <xf numFmtId="0" fontId="41" fillId="0" borderId="0" xfId="172" applyFont="1" applyAlignment="1">
      <alignment horizontal="center" vertical="top"/>
    </xf>
    <xf numFmtId="0" fontId="42" fillId="0" borderId="16" xfId="172" applyFont="1" applyBorder="1" applyAlignment="1">
      <alignment horizontal="center" vertical="center"/>
    </xf>
    <xf numFmtId="164" fontId="38" fillId="0" borderId="0" xfId="217" applyFont="1" applyAlignment="1">
      <alignment horizontal="center"/>
    </xf>
    <xf numFmtId="17" fontId="38" fillId="0" borderId="0" xfId="172" applyNumberFormat="1" applyFont="1" applyAlignment="1">
      <alignment horizontal="center"/>
    </xf>
    <xf numFmtId="17" fontId="38" fillId="0" borderId="0" xfId="172" applyNumberFormat="1" applyFont="1" applyAlignment="1">
      <alignment horizontal="center" vertical="center"/>
    </xf>
    <xf numFmtId="0" fontId="60" fillId="0" borderId="0" xfId="225" applyFont="1" applyBorder="1" applyAlignment="1">
      <alignment horizontal="left" wrapText="1"/>
    </xf>
    <xf numFmtId="4" fontId="5" fillId="0" borderId="27" xfId="151" applyNumberFormat="1" applyBorder="1" applyAlignment="1">
      <alignment horizontal="left"/>
    </xf>
    <xf numFmtId="164" fontId="38" fillId="0" borderId="0" xfId="2" applyFont="1" applyAlignment="1">
      <alignment horizontal="center"/>
    </xf>
    <xf numFmtId="2" fontId="42" fillId="0" borderId="17" xfId="2" applyNumberFormat="1" applyFont="1" applyBorder="1" applyAlignment="1">
      <alignment horizontal="center" vertical="center"/>
    </xf>
    <xf numFmtId="2" fontId="42" fillId="0" borderId="18" xfId="2" applyNumberFormat="1" applyFont="1" applyBorder="1" applyAlignment="1">
      <alignment horizontal="center" vertical="center"/>
    </xf>
    <xf numFmtId="164" fontId="35" fillId="0" borderId="0" xfId="2" applyFont="1" applyAlignment="1">
      <alignment horizontal="center"/>
    </xf>
    <xf numFmtId="164" fontId="42" fillId="0" borderId="17" xfId="2" applyFont="1" applyBorder="1" applyAlignment="1">
      <alignment horizontal="left" vertical="center"/>
    </xf>
    <xf numFmtId="164" fontId="42" fillId="0" borderId="18" xfId="2" applyFont="1" applyBorder="1" applyAlignment="1">
      <alignment horizontal="left" vertical="center"/>
    </xf>
    <xf numFmtId="0" fontId="55" fillId="6" borderId="0" xfId="157" applyFont="1" applyFill="1" applyAlignment="1">
      <alignment horizontal="center"/>
    </xf>
    <xf numFmtId="0" fontId="42" fillId="0" borderId="17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164" fontId="42" fillId="0" borderId="17" xfId="2" applyFont="1" applyBorder="1" applyAlignment="1">
      <alignment horizontal="center" vertical="center"/>
    </xf>
    <xf numFmtId="164" fontId="42" fillId="0" borderId="18" xfId="2" applyFont="1" applyBorder="1" applyAlignment="1">
      <alignment horizontal="center" vertical="center"/>
    </xf>
    <xf numFmtId="164" fontId="42" fillId="0" borderId="16" xfId="2" applyFont="1" applyBorder="1" applyAlignment="1">
      <alignment horizontal="center" vertical="center" wrapText="1"/>
    </xf>
  </cellXfs>
  <cellStyles count="231">
    <cellStyle name="1 indent" xfId="9" xr:uid="{00000000-0005-0000-0000-000000000000}"/>
    <cellStyle name="2 indents" xfId="10" xr:uid="{00000000-0005-0000-0000-000001000000}"/>
    <cellStyle name="3 indents" xfId="11" xr:uid="{00000000-0005-0000-0000-000002000000}"/>
    <cellStyle name="4 indents" xfId="12" xr:uid="{00000000-0005-0000-0000-000003000000}"/>
    <cellStyle name="5 indents" xfId="13" xr:uid="{00000000-0005-0000-0000-000004000000}"/>
    <cellStyle name="adolfo" xfId="14" xr:uid="{00000000-0005-0000-0000-000005000000}"/>
    <cellStyle name="Array" xfId="15" xr:uid="{00000000-0005-0000-0000-000006000000}"/>
    <cellStyle name="Array Enter" xfId="16" xr:uid="{00000000-0005-0000-0000-000007000000}"/>
    <cellStyle name="base paren" xfId="6" xr:uid="{00000000-0005-0000-0000-000008000000}"/>
    <cellStyle name="Cabe‡alho 1" xfId="17" xr:uid="{00000000-0005-0000-0000-000009000000}"/>
    <cellStyle name="Cabe‡alho 2" xfId="18" xr:uid="{00000000-0005-0000-0000-00000A000000}"/>
    <cellStyle name="Cabecera 1" xfId="19" xr:uid="{00000000-0005-0000-0000-00000B000000}"/>
    <cellStyle name="Cabecera 2" xfId="20" xr:uid="{00000000-0005-0000-0000-00000C000000}"/>
    <cellStyle name="Comma" xfId="222" builtinId="3"/>
    <cellStyle name="Comma 10" xfId="21" xr:uid="{00000000-0005-0000-0000-00000E000000}"/>
    <cellStyle name="Comma 10 10" xfId="22" xr:uid="{00000000-0005-0000-0000-00000F000000}"/>
    <cellStyle name="Comma 10 2" xfId="23" xr:uid="{00000000-0005-0000-0000-000010000000}"/>
    <cellStyle name="Comma 10 3" xfId="24" xr:uid="{00000000-0005-0000-0000-000011000000}"/>
    <cellStyle name="Comma 10 4" xfId="25" xr:uid="{00000000-0005-0000-0000-000012000000}"/>
    <cellStyle name="Comma 10 5" xfId="26" xr:uid="{00000000-0005-0000-0000-000013000000}"/>
    <cellStyle name="Comma 10 6" xfId="27" xr:uid="{00000000-0005-0000-0000-000014000000}"/>
    <cellStyle name="Comma 10 7" xfId="28" xr:uid="{00000000-0005-0000-0000-000015000000}"/>
    <cellStyle name="Comma 10 8" xfId="29" xr:uid="{00000000-0005-0000-0000-000016000000}"/>
    <cellStyle name="Comma 10 9" xfId="30" xr:uid="{00000000-0005-0000-0000-000017000000}"/>
    <cellStyle name="Comma 11" xfId="31" xr:uid="{00000000-0005-0000-0000-000018000000}"/>
    <cellStyle name="Comma 11 2" xfId="32" xr:uid="{00000000-0005-0000-0000-000019000000}"/>
    <cellStyle name="Comma 12" xfId="33" xr:uid="{00000000-0005-0000-0000-00001A000000}"/>
    <cellStyle name="Comma 13" xfId="34" xr:uid="{00000000-0005-0000-0000-00001B000000}"/>
    <cellStyle name="Comma 14" xfId="35" xr:uid="{00000000-0005-0000-0000-00001C000000}"/>
    <cellStyle name="Comma 15" xfId="36" xr:uid="{00000000-0005-0000-0000-00001D000000}"/>
    <cellStyle name="Comma 16" xfId="37" xr:uid="{00000000-0005-0000-0000-00001E000000}"/>
    <cellStyle name="Comma 17" xfId="38" xr:uid="{00000000-0005-0000-0000-00001F000000}"/>
    <cellStyle name="Comma 18" xfId="39" xr:uid="{00000000-0005-0000-0000-000020000000}"/>
    <cellStyle name="Comma 19" xfId="40" xr:uid="{00000000-0005-0000-0000-000021000000}"/>
    <cellStyle name="Comma 2" xfId="5" xr:uid="{00000000-0005-0000-0000-000022000000}"/>
    <cellStyle name="Comma 2 10" xfId="41" xr:uid="{00000000-0005-0000-0000-000023000000}"/>
    <cellStyle name="Comma 2 11" xfId="42" xr:uid="{00000000-0005-0000-0000-000024000000}"/>
    <cellStyle name="Comma 2 12" xfId="43" xr:uid="{00000000-0005-0000-0000-000025000000}"/>
    <cellStyle name="Comma 2 13" xfId="44" xr:uid="{00000000-0005-0000-0000-000026000000}"/>
    <cellStyle name="Comma 2 14" xfId="45" xr:uid="{00000000-0005-0000-0000-000027000000}"/>
    <cellStyle name="Comma 2 15" xfId="46" xr:uid="{00000000-0005-0000-0000-000028000000}"/>
    <cellStyle name="Comma 2 16" xfId="47" xr:uid="{00000000-0005-0000-0000-000029000000}"/>
    <cellStyle name="Comma 2 17" xfId="48" xr:uid="{00000000-0005-0000-0000-00002A000000}"/>
    <cellStyle name="Comma 2 2" xfId="49" xr:uid="{00000000-0005-0000-0000-00002B000000}"/>
    <cellStyle name="Comma 2 3" xfId="50" xr:uid="{00000000-0005-0000-0000-00002C000000}"/>
    <cellStyle name="Comma 2 4" xfId="51" xr:uid="{00000000-0005-0000-0000-00002D000000}"/>
    <cellStyle name="Comma 2 5" xfId="52" xr:uid="{00000000-0005-0000-0000-00002E000000}"/>
    <cellStyle name="Comma 2 5 2" xfId="53" xr:uid="{00000000-0005-0000-0000-00002F000000}"/>
    <cellStyle name="Comma 2 6" xfId="54" xr:uid="{00000000-0005-0000-0000-000030000000}"/>
    <cellStyle name="Comma 2 7" xfId="55" xr:uid="{00000000-0005-0000-0000-000031000000}"/>
    <cellStyle name="Comma 2 8" xfId="56" xr:uid="{00000000-0005-0000-0000-000032000000}"/>
    <cellStyle name="Comma 2 9" xfId="57" xr:uid="{00000000-0005-0000-0000-000033000000}"/>
    <cellStyle name="Comma 20" xfId="58" xr:uid="{00000000-0005-0000-0000-000034000000}"/>
    <cellStyle name="Comma 21" xfId="59" xr:uid="{00000000-0005-0000-0000-000035000000}"/>
    <cellStyle name="Comma 22" xfId="60" xr:uid="{00000000-0005-0000-0000-000036000000}"/>
    <cellStyle name="Comma 23" xfId="61" xr:uid="{00000000-0005-0000-0000-000037000000}"/>
    <cellStyle name="Comma 24" xfId="62" xr:uid="{00000000-0005-0000-0000-000038000000}"/>
    <cellStyle name="Comma 25" xfId="63" xr:uid="{00000000-0005-0000-0000-000039000000}"/>
    <cellStyle name="Comma 26" xfId="64" xr:uid="{00000000-0005-0000-0000-00003A000000}"/>
    <cellStyle name="Comma 27" xfId="65" xr:uid="{00000000-0005-0000-0000-00003B000000}"/>
    <cellStyle name="Comma 28" xfId="66" xr:uid="{00000000-0005-0000-0000-00003C000000}"/>
    <cellStyle name="Comma 29" xfId="7" xr:uid="{00000000-0005-0000-0000-00003D000000}"/>
    <cellStyle name="Comma 29 3" xfId="227" xr:uid="{99197F8F-CF27-4525-B382-7EBBE165F492}"/>
    <cellStyle name="Comma 29 3 3" xfId="230" xr:uid="{4E1E4963-2DD2-4D7A-80AD-D84981534A4A}"/>
    <cellStyle name="Comma 29 6" xfId="229" xr:uid="{F5626C42-C50F-4044-8A9F-E831517B49BC}"/>
    <cellStyle name="Comma 3" xfId="8" xr:uid="{00000000-0005-0000-0000-00003E000000}"/>
    <cellStyle name="Comma 3 2" xfId="221" xr:uid="{00000000-0005-0000-0000-00003F000000}"/>
    <cellStyle name="Comma 30" xfId="216" xr:uid="{00000000-0005-0000-0000-000040000000}"/>
    <cellStyle name="Comma 4" xfId="67" xr:uid="{00000000-0005-0000-0000-000041000000}"/>
    <cellStyle name="Comma 4 10" xfId="68" xr:uid="{00000000-0005-0000-0000-000042000000}"/>
    <cellStyle name="Comma 4 11" xfId="69" xr:uid="{00000000-0005-0000-0000-000043000000}"/>
    <cellStyle name="Comma 4 12" xfId="70" xr:uid="{00000000-0005-0000-0000-000044000000}"/>
    <cellStyle name="Comma 4 2" xfId="71" xr:uid="{00000000-0005-0000-0000-000045000000}"/>
    <cellStyle name="Comma 4 3" xfId="72" xr:uid="{00000000-0005-0000-0000-000046000000}"/>
    <cellStyle name="Comma 4 4" xfId="73" xr:uid="{00000000-0005-0000-0000-000047000000}"/>
    <cellStyle name="Comma 4 5" xfId="74" xr:uid="{00000000-0005-0000-0000-000048000000}"/>
    <cellStyle name="Comma 4 6" xfId="75" xr:uid="{00000000-0005-0000-0000-000049000000}"/>
    <cellStyle name="Comma 4 7" xfId="76" xr:uid="{00000000-0005-0000-0000-00004A000000}"/>
    <cellStyle name="Comma 4 8" xfId="77" xr:uid="{00000000-0005-0000-0000-00004B000000}"/>
    <cellStyle name="Comma 4 9" xfId="78" xr:uid="{00000000-0005-0000-0000-00004C000000}"/>
    <cellStyle name="Comma 5" xfId="79" xr:uid="{00000000-0005-0000-0000-00004D000000}"/>
    <cellStyle name="Comma 5 10" xfId="80" xr:uid="{00000000-0005-0000-0000-00004E000000}"/>
    <cellStyle name="Comma 5 11" xfId="81" xr:uid="{00000000-0005-0000-0000-00004F000000}"/>
    <cellStyle name="Comma 5 12" xfId="82" xr:uid="{00000000-0005-0000-0000-000050000000}"/>
    <cellStyle name="Comma 5 2" xfId="83" xr:uid="{00000000-0005-0000-0000-000051000000}"/>
    <cellStyle name="Comma 5 3" xfId="84" xr:uid="{00000000-0005-0000-0000-000052000000}"/>
    <cellStyle name="Comma 5 4" xfId="85" xr:uid="{00000000-0005-0000-0000-000053000000}"/>
    <cellStyle name="Comma 5 5" xfId="86" xr:uid="{00000000-0005-0000-0000-000054000000}"/>
    <cellStyle name="Comma 5 6" xfId="87" xr:uid="{00000000-0005-0000-0000-000055000000}"/>
    <cellStyle name="Comma 5 7" xfId="88" xr:uid="{00000000-0005-0000-0000-000056000000}"/>
    <cellStyle name="Comma 5 8" xfId="89" xr:uid="{00000000-0005-0000-0000-000057000000}"/>
    <cellStyle name="Comma 5 9" xfId="90" xr:uid="{00000000-0005-0000-0000-000058000000}"/>
    <cellStyle name="Comma 6" xfId="91" xr:uid="{00000000-0005-0000-0000-000059000000}"/>
    <cellStyle name="Comma 6 10" xfId="92" xr:uid="{00000000-0005-0000-0000-00005A000000}"/>
    <cellStyle name="Comma 6 2" xfId="93" xr:uid="{00000000-0005-0000-0000-00005B000000}"/>
    <cellStyle name="Comma 6 3" xfId="94" xr:uid="{00000000-0005-0000-0000-00005C000000}"/>
    <cellStyle name="Comma 6 4" xfId="95" xr:uid="{00000000-0005-0000-0000-00005D000000}"/>
    <cellStyle name="Comma 6 5" xfId="96" xr:uid="{00000000-0005-0000-0000-00005E000000}"/>
    <cellStyle name="Comma 6 6" xfId="97" xr:uid="{00000000-0005-0000-0000-00005F000000}"/>
    <cellStyle name="Comma 6 7" xfId="98" xr:uid="{00000000-0005-0000-0000-000060000000}"/>
    <cellStyle name="Comma 6 8" xfId="99" xr:uid="{00000000-0005-0000-0000-000061000000}"/>
    <cellStyle name="Comma 6 9" xfId="100" xr:uid="{00000000-0005-0000-0000-000062000000}"/>
    <cellStyle name="Comma 7" xfId="101" xr:uid="{00000000-0005-0000-0000-000063000000}"/>
    <cellStyle name="Comma 8" xfId="102" xr:uid="{00000000-0005-0000-0000-000064000000}"/>
    <cellStyle name="Comma 8 2" xfId="103" xr:uid="{00000000-0005-0000-0000-000065000000}"/>
    <cellStyle name="Comma 9" xfId="104" xr:uid="{00000000-0005-0000-0000-000066000000}"/>
    <cellStyle name="Comma 9 2" xfId="105" xr:uid="{00000000-0005-0000-0000-000067000000}"/>
    <cellStyle name="Comma[mine]" xfId="106" xr:uid="{00000000-0005-0000-0000-000068000000}"/>
    <cellStyle name="Comma0" xfId="107" xr:uid="{00000000-0005-0000-0000-000069000000}"/>
    <cellStyle name="Currency0" xfId="108" xr:uid="{00000000-0005-0000-0000-00006A000000}"/>
    <cellStyle name="Data" xfId="109" xr:uid="{00000000-0005-0000-0000-00006B000000}"/>
    <cellStyle name="Date" xfId="110" xr:uid="{00000000-0005-0000-0000-00006C000000}"/>
    <cellStyle name="Euro" xfId="3" xr:uid="{00000000-0005-0000-0000-00006D000000}"/>
    <cellStyle name="Euro 2" xfId="111" xr:uid="{00000000-0005-0000-0000-00006E000000}"/>
    <cellStyle name="Excel.Chart" xfId="112" xr:uid="{00000000-0005-0000-0000-00006F000000}"/>
    <cellStyle name="F2" xfId="113" xr:uid="{00000000-0005-0000-0000-000070000000}"/>
    <cellStyle name="F3" xfId="114" xr:uid="{00000000-0005-0000-0000-000071000000}"/>
    <cellStyle name="F4" xfId="115" xr:uid="{00000000-0005-0000-0000-000072000000}"/>
    <cellStyle name="F5" xfId="116" xr:uid="{00000000-0005-0000-0000-000073000000}"/>
    <cellStyle name="F6" xfId="117" xr:uid="{00000000-0005-0000-0000-000074000000}"/>
    <cellStyle name="F7" xfId="118" xr:uid="{00000000-0005-0000-0000-000075000000}"/>
    <cellStyle name="F8" xfId="119" xr:uid="{00000000-0005-0000-0000-000076000000}"/>
    <cellStyle name="Fecha" xfId="120" xr:uid="{00000000-0005-0000-0000-000077000000}"/>
    <cellStyle name="Fijo" xfId="121" xr:uid="{00000000-0005-0000-0000-000078000000}"/>
    <cellStyle name="Fixed" xfId="122" xr:uid="{00000000-0005-0000-0000-000079000000}"/>
    <cellStyle name="Fixo" xfId="123" xr:uid="{00000000-0005-0000-0000-00007A000000}"/>
    <cellStyle name="Heading1" xfId="124" xr:uid="{00000000-0005-0000-0000-00007B000000}"/>
    <cellStyle name="Heading2" xfId="125" xr:uid="{00000000-0005-0000-0000-00007C000000}"/>
    <cellStyle name="Hipervínculo" xfId="126" xr:uid="{00000000-0005-0000-0000-00007D000000}"/>
    <cellStyle name="Hipervínculo visitado" xfId="127" xr:uid="{00000000-0005-0000-0000-00007E000000}"/>
    <cellStyle name="Hipervínculo_10-01-03 2003 2003 NUEVOS RON -NUEVOS INTERESES" xfId="128" xr:uid="{00000000-0005-0000-0000-00007F000000}"/>
    <cellStyle name="Hyperlink" xfId="225" builtinId="8"/>
    <cellStyle name="Hyperlink 2" xfId="129" xr:uid="{00000000-0005-0000-0000-000081000000}"/>
    <cellStyle name="Hyperlink seguido_NFGC_SPE_1995_2003" xfId="130" xr:uid="{00000000-0005-0000-0000-000082000000}"/>
    <cellStyle name="imf-one decimal" xfId="131" xr:uid="{00000000-0005-0000-0000-000083000000}"/>
    <cellStyle name="imf-zero decimal" xfId="132" xr:uid="{00000000-0005-0000-0000-000084000000}"/>
    <cellStyle name="MacroCode" xfId="133" xr:uid="{00000000-0005-0000-0000-000085000000}"/>
    <cellStyle name="Millareɳ_INFORME.xls Gráfico 20" xfId="134" xr:uid="{00000000-0005-0000-0000-000086000000}"/>
    <cellStyle name="Millares [0]_11.1.3. bis" xfId="135" xr:uid="{00000000-0005-0000-0000-000087000000}"/>
    <cellStyle name="Millares 2" xfId="219" xr:uid="{00000000-0005-0000-0000-000088000000}"/>
    <cellStyle name="Millares_11.1.3. bis" xfId="136" xr:uid="{00000000-0005-0000-0000-000089000000}"/>
    <cellStyle name="Milliers [0]_Encours - Apr rééch" xfId="137" xr:uid="{00000000-0005-0000-0000-00008A000000}"/>
    <cellStyle name="Milliers_Encours - Apr rééch" xfId="138" xr:uid="{00000000-0005-0000-0000-00008B000000}"/>
    <cellStyle name="Moeda [0]_A" xfId="139" xr:uid="{00000000-0005-0000-0000-00008C000000}"/>
    <cellStyle name="Moeda_A" xfId="140" xr:uid="{00000000-0005-0000-0000-00008D000000}"/>
    <cellStyle name="Moeda0" xfId="141" xr:uid="{00000000-0005-0000-0000-00008E000000}"/>
    <cellStyle name="Moneda [0]_11.1.3. bis" xfId="142" xr:uid="{00000000-0005-0000-0000-00008F000000}"/>
    <cellStyle name="Moneda_11.1.3. bis" xfId="143" xr:uid="{00000000-0005-0000-0000-000090000000}"/>
    <cellStyle name="Monétaire [0]_Encours - Apr rééch" xfId="144" xr:uid="{00000000-0005-0000-0000-000091000000}"/>
    <cellStyle name="Monétaire_Encours - Apr rééch" xfId="145" xr:uid="{00000000-0005-0000-0000-000092000000}"/>
    <cellStyle name="Monetario" xfId="146" xr:uid="{00000000-0005-0000-0000-000093000000}"/>
    <cellStyle name="Monetario0" xfId="147" xr:uid="{00000000-0005-0000-0000-000094000000}"/>
    <cellStyle name="Normal" xfId="0" builtinId="0"/>
    <cellStyle name="Normal - Modelo1" xfId="148" xr:uid="{00000000-0005-0000-0000-000096000000}"/>
    <cellStyle name="Normal - Style1" xfId="149" xr:uid="{00000000-0005-0000-0000-000097000000}"/>
    <cellStyle name="Normal 10" xfId="150" xr:uid="{00000000-0005-0000-0000-000098000000}"/>
    <cellStyle name="Normal 11" xfId="151" xr:uid="{00000000-0005-0000-0000-000099000000}"/>
    <cellStyle name="Normal 11 2" xfId="226" xr:uid="{00000000-0005-0000-0000-00009A000000}"/>
    <cellStyle name="Normal 12" xfId="223" xr:uid="{00000000-0005-0000-0000-00009B000000}"/>
    <cellStyle name="Normal 2" xfId="4" xr:uid="{00000000-0005-0000-0000-00009C000000}"/>
    <cellStyle name="Normal 2 2" xfId="152" xr:uid="{00000000-0005-0000-0000-00009D000000}"/>
    <cellStyle name="Normal 2 3" xfId="153" xr:uid="{00000000-0005-0000-0000-00009E000000}"/>
    <cellStyle name="Normal 2 3 2" xfId="154" xr:uid="{00000000-0005-0000-0000-00009F000000}"/>
    <cellStyle name="Normal 2 4" xfId="155" xr:uid="{00000000-0005-0000-0000-0000A0000000}"/>
    <cellStyle name="Normal 2 5" xfId="156" xr:uid="{00000000-0005-0000-0000-0000A1000000}"/>
    <cellStyle name="Normal 3" xfId="157" xr:uid="{00000000-0005-0000-0000-0000A2000000}"/>
    <cellStyle name="Normal 3 10" xfId="158" xr:uid="{00000000-0005-0000-0000-0000A3000000}"/>
    <cellStyle name="Normal 3 11" xfId="159" xr:uid="{00000000-0005-0000-0000-0000A4000000}"/>
    <cellStyle name="Normal 3 12" xfId="160" xr:uid="{00000000-0005-0000-0000-0000A5000000}"/>
    <cellStyle name="Normal 3 2" xfId="161" xr:uid="{00000000-0005-0000-0000-0000A6000000}"/>
    <cellStyle name="Normal 3 3" xfId="162" xr:uid="{00000000-0005-0000-0000-0000A7000000}"/>
    <cellStyle name="Normal 3 4" xfId="163" xr:uid="{00000000-0005-0000-0000-0000A8000000}"/>
    <cellStyle name="Normal 3 5" xfId="164" xr:uid="{00000000-0005-0000-0000-0000A9000000}"/>
    <cellStyle name="Normal 3 5 2" xfId="165" xr:uid="{00000000-0005-0000-0000-0000AA000000}"/>
    <cellStyle name="Normal 3 6" xfId="166" xr:uid="{00000000-0005-0000-0000-0000AB000000}"/>
    <cellStyle name="Normal 3 7" xfId="167" xr:uid="{00000000-0005-0000-0000-0000AC000000}"/>
    <cellStyle name="Normal 3 8" xfId="168" xr:uid="{00000000-0005-0000-0000-0000AD000000}"/>
    <cellStyle name="Normal 3 9" xfId="169" xr:uid="{00000000-0005-0000-0000-0000AE000000}"/>
    <cellStyle name="Normal 4" xfId="170" xr:uid="{00000000-0005-0000-0000-0000AF000000}"/>
    <cellStyle name="Normal 4 2" xfId="171" xr:uid="{00000000-0005-0000-0000-0000B0000000}"/>
    <cellStyle name="Normal 5" xfId="172" xr:uid="{00000000-0005-0000-0000-0000B1000000}"/>
    <cellStyle name="Normal 5 2" xfId="173" xr:uid="{00000000-0005-0000-0000-0000B2000000}"/>
    <cellStyle name="Normal 6" xfId="174" xr:uid="{00000000-0005-0000-0000-0000B3000000}"/>
    <cellStyle name="Normal 7" xfId="175" xr:uid="{00000000-0005-0000-0000-0000B4000000}"/>
    <cellStyle name="Normal 8" xfId="176" xr:uid="{00000000-0005-0000-0000-0000B5000000}"/>
    <cellStyle name="Normal 9" xfId="177" xr:uid="{00000000-0005-0000-0000-0000B6000000}"/>
    <cellStyle name="Normal Table" xfId="178" xr:uid="{00000000-0005-0000-0000-0000B7000000}"/>
    <cellStyle name="Normal_Book3 2" xfId="218" xr:uid="{00000000-0005-0000-0000-0000B8000000}"/>
    <cellStyle name="Normal_CALCULO EXCLUSION COMBUSTIBLE IPC 2007-2008" xfId="228" xr:uid="{DDA932A4-0FB4-44BA-A517-9D30F4E0E6C5}"/>
    <cellStyle name="Normal_CUADRO1 (Resumen)" xfId="1" xr:uid="{00000000-0005-0000-0000-0000B9000000}"/>
    <cellStyle name="Normal_IPCviejo" xfId="2" xr:uid="{00000000-0005-0000-0000-0000BA000000}"/>
    <cellStyle name="Normal_IPCviejo 2" xfId="217" xr:uid="{00000000-0005-0000-0000-0000BB000000}"/>
    <cellStyle name="Normal_Sheet1" xfId="224" xr:uid="{00000000-0005-0000-0000-0000BC000000}"/>
    <cellStyle name="Percent 2" xfId="179" xr:uid="{00000000-0005-0000-0000-0000BD000000}"/>
    <cellStyle name="Percent 3" xfId="180" xr:uid="{00000000-0005-0000-0000-0000BE000000}"/>
    <cellStyle name="Percent 4" xfId="181" xr:uid="{00000000-0005-0000-0000-0000BF000000}"/>
    <cellStyle name="Percent 5" xfId="182" xr:uid="{00000000-0005-0000-0000-0000C0000000}"/>
    <cellStyle name="percentage difference" xfId="183" xr:uid="{00000000-0005-0000-0000-0000C1000000}"/>
    <cellStyle name="percentage difference one decimal" xfId="184" xr:uid="{00000000-0005-0000-0000-0000C2000000}"/>
    <cellStyle name="percentage difference zero decimal" xfId="185" xr:uid="{00000000-0005-0000-0000-0000C3000000}"/>
    <cellStyle name="Percentual" xfId="186" xr:uid="{00000000-0005-0000-0000-0000C4000000}"/>
    <cellStyle name="Ponto" xfId="187" xr:uid="{00000000-0005-0000-0000-0000C5000000}"/>
    <cellStyle name="Porcentagem_SEP1196" xfId="188" xr:uid="{00000000-0005-0000-0000-0000C6000000}"/>
    <cellStyle name="Porcentaje" xfId="189" xr:uid="{00000000-0005-0000-0000-0000C7000000}"/>
    <cellStyle name="Porcentual 2" xfId="220" xr:uid="{00000000-0005-0000-0000-0000C8000000}"/>
    <cellStyle name="Publication" xfId="190" xr:uid="{00000000-0005-0000-0000-0000C9000000}"/>
    <cellStyle name="Punto" xfId="191" xr:uid="{00000000-0005-0000-0000-0000CA000000}"/>
    <cellStyle name="Punto0" xfId="192" xr:uid="{00000000-0005-0000-0000-0000CB000000}"/>
    <cellStyle name="Red Text" xfId="193" xr:uid="{00000000-0005-0000-0000-0000CC000000}"/>
    <cellStyle name="Sep. milhar [2]" xfId="194" xr:uid="{00000000-0005-0000-0000-0000CD000000}"/>
    <cellStyle name="Separador de m" xfId="195" xr:uid="{00000000-0005-0000-0000-0000CE000000}"/>
    <cellStyle name="Separador de milhares [0]_A" xfId="196" xr:uid="{00000000-0005-0000-0000-0000CF000000}"/>
    <cellStyle name="Separador de milhares_A" xfId="197" xr:uid="{00000000-0005-0000-0000-0000D0000000}"/>
    <cellStyle name="Style 27" xfId="198" xr:uid="{00000000-0005-0000-0000-0000D1000000}"/>
    <cellStyle name="Text" xfId="199" xr:uid="{00000000-0005-0000-0000-0000D2000000}"/>
    <cellStyle name="Titulo1" xfId="200" xr:uid="{00000000-0005-0000-0000-0000D3000000}"/>
    <cellStyle name="Titulo2" xfId="201" xr:uid="{00000000-0005-0000-0000-0000D4000000}"/>
    <cellStyle name="TopGrey" xfId="202" xr:uid="{00000000-0005-0000-0000-0000D5000000}"/>
    <cellStyle name="V¡rgula" xfId="203" xr:uid="{00000000-0005-0000-0000-0000D6000000}"/>
    <cellStyle name="V¡rgula0" xfId="204" xr:uid="{00000000-0005-0000-0000-0000D7000000}"/>
    <cellStyle name="Vírgula" xfId="205" xr:uid="{00000000-0005-0000-0000-0000D8000000}"/>
    <cellStyle name="ДАТА" xfId="206" xr:uid="{00000000-0005-0000-0000-0000D9000000}"/>
    <cellStyle name="ДЕНЕЖНЫЙ_BOPENGC" xfId="207" xr:uid="{00000000-0005-0000-0000-0000DA000000}"/>
    <cellStyle name="ЗАГОЛОВОК1" xfId="208" xr:uid="{00000000-0005-0000-0000-0000DB000000}"/>
    <cellStyle name="ЗАГОЛОВОК2" xfId="209" xr:uid="{00000000-0005-0000-0000-0000DC000000}"/>
    <cellStyle name="ИТОГОВЫЙ" xfId="210" xr:uid="{00000000-0005-0000-0000-0000DD000000}"/>
    <cellStyle name="Обычный_BOPENGC" xfId="211" xr:uid="{00000000-0005-0000-0000-0000DE000000}"/>
    <cellStyle name="ПРОЦЕНТНЫЙ_BOPENGC" xfId="212" xr:uid="{00000000-0005-0000-0000-0000DF000000}"/>
    <cellStyle name="ТЕКСТ" xfId="213" xr:uid="{00000000-0005-0000-0000-0000E0000000}"/>
    <cellStyle name="ФИКСИРОВАННЫЙ" xfId="214" xr:uid="{00000000-0005-0000-0000-0000E1000000}"/>
    <cellStyle name="ФИНАНСОВЫЙ_BOPENGC" xfId="215" xr:uid="{00000000-0005-0000-0000-0000E2000000}"/>
  </cellStyles>
  <dxfs count="0"/>
  <tableStyles count="0" defaultTableStyle="TableStyleMedium9" defaultPivotStyle="PivotStyleLight16"/>
  <colors>
    <mruColors>
      <color rgb="FFC3B799"/>
      <color rgb="FF84754E"/>
      <color rgb="FFD0C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2kp-47212\Secto%20publico\DATA\ML\DOM\Macro\2002\DRSHA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sept%202\DATA\ML\DOM\Macro\2002\DRSHAR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R\Monetary\DRMONEY_curre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cene\Internacional\04%20BOLIVAR%20-%20Y-O%20-%20HUASCAR%20J\BASE%20CUADROS%20PRESIDENTE%202004\EST.%20SERVICIO%20DEUDA%20SEPTIEMBRE%20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ML\DOM\Macro\2002\DRSHA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cene\deuda\PROYECCIONES%20DEL%20SERVICIO\PROY2004\PROY%20-%20PROY2004B%20CON%20TASAS%20CAMBIO%2004%20SEP01%20ORIGINA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NCFP\Recursos\Proyrena\Anual\2002\Alt4_Proy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mieco\DRAFTS\ST\RK\Requests\Christoph\debt%20restructuring%20comparison%20countries%20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2kp-47212\Secto%20publico\DATA\ML\DOM\archives\Macro%20framework%20May%202003%20Mission\DRSHAR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WINDOWS\TEMP\CRI-BOP-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Excel\Paises\My%20Documents\Excel\Otros\FAX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ATA\CA\CRI\EXTERNAL\Output\CRI-BOP-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agrop PUB Proy"/>
      <sheetName val="gas112601"/>
      <sheetName val="GEE102301"/>
    </sheetNames>
    <sheetDataSet>
      <sheetData sheetId="0" refreshError="1">
        <row r="1">
          <cell r="A1">
            <v>1</v>
          </cell>
          <cell r="B1" t="str">
            <v>Shared data and projections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  <cell r="B4">
            <v>36501.571532754628</v>
          </cell>
          <cell r="C4" t="str">
            <v>Formulas</v>
          </cell>
          <cell r="E4" t="str">
            <v>1980</v>
          </cell>
          <cell r="F4">
            <v>1981</v>
          </cell>
          <cell r="G4">
            <v>1982</v>
          </cell>
        </row>
        <row r="5">
          <cell r="A5">
            <v>5</v>
          </cell>
          <cell r="B5" t="str">
            <v>DO NOT CHANGE COLUMN OR ROW STRUCTURE OF THIS SHEET !!!!!!!</v>
          </cell>
        </row>
        <row r="6">
          <cell r="A6">
            <v>6</v>
          </cell>
        </row>
        <row r="7">
          <cell r="A7">
            <v>7</v>
          </cell>
          <cell r="B7" t="str">
            <v>Prices and exchange rates</v>
          </cell>
        </row>
        <row r="8">
          <cell r="A8">
            <v>8</v>
          </cell>
          <cell r="B8">
            <v>36249.197554976854</v>
          </cell>
        </row>
        <row r="9">
          <cell r="A9">
            <v>9</v>
          </cell>
          <cell r="B9" t="str">
            <v>CPI (period average)</v>
          </cell>
          <cell r="E9">
            <v>61.477199999999989</v>
          </cell>
          <cell r="F9">
            <v>66.10222083333332</v>
          </cell>
          <cell r="G9">
            <v>71.154166666666654</v>
          </cell>
        </row>
        <row r="10">
          <cell r="A10">
            <v>10</v>
          </cell>
          <cell r="B10" t="str">
            <v xml:space="preserve">  (percent change)</v>
          </cell>
          <cell r="E10">
            <v>0</v>
          </cell>
          <cell r="F10">
            <v>7.5231481481481399</v>
          </cell>
          <cell r="G10">
            <v>7.6426264800861121</v>
          </cell>
        </row>
        <row r="11">
          <cell r="A11">
            <v>11</v>
          </cell>
          <cell r="B11" t="str">
            <v>CPI (end of period)</v>
          </cell>
          <cell r="E11">
            <v>64.210409999999996</v>
          </cell>
          <cell r="F11">
            <v>68.939370000000011</v>
          </cell>
          <cell r="G11">
            <v>73.89</v>
          </cell>
        </row>
        <row r="12">
          <cell r="A12">
            <v>12</v>
          </cell>
          <cell r="B12" t="str">
            <v xml:space="preserve">  (percent change)</v>
          </cell>
          <cell r="E12">
            <v>0</v>
          </cell>
          <cell r="F12">
            <v>7.3647871116225838</v>
          </cell>
          <cell r="G12">
            <v>7.1811361200428525</v>
          </cell>
        </row>
        <row r="13">
          <cell r="A13">
            <v>13</v>
          </cell>
        </row>
        <row r="14">
          <cell r="A14">
            <v>14</v>
          </cell>
          <cell r="B14" t="str">
            <v>GDP deflator (percent change)</v>
          </cell>
          <cell r="F14">
            <v>7.2418446087912924</v>
          </cell>
          <cell r="G14">
            <v>7.5124008471695536</v>
          </cell>
        </row>
        <row r="15">
          <cell r="A15">
            <v>15</v>
          </cell>
        </row>
        <row r="16">
          <cell r="A16">
            <v>16</v>
          </cell>
          <cell r="B16" t="str">
            <v>Export price index</v>
          </cell>
        </row>
        <row r="17">
          <cell r="A17">
            <v>17</v>
          </cell>
          <cell r="B17" t="str">
            <v xml:space="preserve">   GEE</v>
          </cell>
          <cell r="E17">
            <v>100</v>
          </cell>
          <cell r="F17">
            <v>93.572859146794414</v>
          </cell>
          <cell r="G17">
            <v>89.998346977137643</v>
          </cell>
        </row>
        <row r="18">
          <cell r="A18">
            <v>18</v>
          </cell>
          <cell r="B18" t="str">
            <v>% change (GEE)</v>
          </cell>
          <cell r="E18" t="str">
            <v xml:space="preserve"> </v>
          </cell>
          <cell r="F18">
            <v>-6.4271408532055823</v>
          </cell>
          <cell r="G18">
            <v>-3.8200309387246278</v>
          </cell>
        </row>
        <row r="19">
          <cell r="A19">
            <v>19</v>
          </cell>
          <cell r="B19" t="str">
            <v xml:space="preserve">Import price index </v>
          </cell>
        </row>
        <row r="20">
          <cell r="A20">
            <v>20</v>
          </cell>
          <cell r="B20" t="str">
            <v>GEE</v>
          </cell>
          <cell r="E20">
            <v>100</v>
          </cell>
          <cell r="F20">
            <v>94.665896963711234</v>
          </cell>
          <cell r="G20">
            <v>90.898558033371728</v>
          </cell>
        </row>
        <row r="21">
          <cell r="A21">
            <v>21</v>
          </cell>
          <cell r="B21" t="str">
            <v>% change (GEE)</v>
          </cell>
          <cell r="F21">
            <v>-5.3341030362887736</v>
          </cell>
          <cell r="G21">
            <v>-3.9796157340416416</v>
          </cell>
        </row>
        <row r="22">
          <cell r="A22">
            <v>22</v>
          </cell>
          <cell r="B22" t="str">
            <v>Terms of trade</v>
          </cell>
        </row>
        <row r="23">
          <cell r="A23">
            <v>23</v>
          </cell>
          <cell r="B23" t="str">
            <v>GEE</v>
          </cell>
          <cell r="E23">
            <v>100</v>
          </cell>
          <cell r="F23">
            <v>98.845373199880186</v>
          </cell>
          <cell r="G23">
            <v>99.009653094932943</v>
          </cell>
        </row>
        <row r="24">
          <cell r="A24">
            <v>24</v>
          </cell>
          <cell r="B24" t="str">
            <v>% change</v>
          </cell>
          <cell r="E24" t="str">
            <v xml:space="preserve"> </v>
          </cell>
          <cell r="F24">
            <v>-1.1546268001198179</v>
          </cell>
          <cell r="G24">
            <v>0.16619887176767545</v>
          </cell>
        </row>
        <row r="25">
          <cell r="A25">
            <v>25</v>
          </cell>
        </row>
        <row r="26">
          <cell r="A26">
            <v>26</v>
          </cell>
          <cell r="B26" t="str">
            <v>Petroleum price from WEO     BOP</v>
          </cell>
          <cell r="E26">
            <v>36.676069577535003</v>
          </cell>
          <cell r="F26">
            <v>35.270429929097496</v>
          </cell>
          <cell r="G26">
            <v>32.445321718851723</v>
          </cell>
        </row>
        <row r="27">
          <cell r="A27">
            <v>27</v>
          </cell>
          <cell r="B27" t="str">
            <v>Non-Fuel Commodity Import Prices</v>
          </cell>
          <cell r="F27">
            <v>-4</v>
          </cell>
          <cell r="G27">
            <v>-10.3</v>
          </cell>
        </row>
        <row r="28">
          <cell r="A28">
            <v>28</v>
          </cell>
          <cell r="B28" t="str">
            <v>Non-Fuel Commodity Export Prices</v>
          </cell>
          <cell r="F28">
            <v>-19.899999999999999</v>
          </cell>
          <cell r="G28">
            <v>-4.2</v>
          </cell>
        </row>
        <row r="29">
          <cell r="A29">
            <v>29</v>
          </cell>
        </row>
        <row r="30">
          <cell r="A30">
            <v>30</v>
          </cell>
          <cell r="B30">
            <v>36279.619530902775</v>
          </cell>
        </row>
        <row r="31">
          <cell r="A31">
            <v>31</v>
          </cell>
          <cell r="B31" t="str">
            <v>Official exchange rate (end of period)</v>
          </cell>
          <cell r="E31">
            <v>0</v>
          </cell>
          <cell r="F31">
            <v>0</v>
          </cell>
          <cell r="G31">
            <v>0</v>
          </cell>
        </row>
        <row r="32">
          <cell r="A32">
            <v>32</v>
          </cell>
        </row>
        <row r="33">
          <cell r="A33">
            <v>33</v>
          </cell>
          <cell r="B33" t="str">
            <v>Official exchange rate (period average)</v>
          </cell>
          <cell r="C33" t="str">
            <v>BOP</v>
          </cell>
          <cell r="E33">
            <v>1</v>
          </cell>
          <cell r="F33">
            <v>1</v>
          </cell>
          <cell r="G33">
            <v>1</v>
          </cell>
        </row>
        <row r="34">
          <cell r="A34">
            <v>34</v>
          </cell>
          <cell r="B34" t="str">
            <v>Market rate (period average)</v>
          </cell>
          <cell r="C34" t="str">
            <v>BOP</v>
          </cell>
          <cell r="E34" t="str">
            <v>...</v>
          </cell>
          <cell r="F34" t="str">
            <v>...</v>
          </cell>
          <cell r="G34" t="str">
            <v>...</v>
          </cell>
        </row>
        <row r="35">
          <cell r="A35">
            <v>35</v>
          </cell>
          <cell r="B35" t="str">
            <v xml:space="preserve">Exchange rate-wtd average </v>
          </cell>
          <cell r="C35" t="str">
            <v>BOP</v>
          </cell>
          <cell r="E35">
            <v>1</v>
          </cell>
          <cell r="F35">
            <v>1</v>
          </cell>
          <cell r="G35">
            <v>1</v>
          </cell>
        </row>
        <row r="36">
          <cell r="A36">
            <v>36</v>
          </cell>
        </row>
        <row r="37">
          <cell r="A37">
            <v>37</v>
          </cell>
          <cell r="B37" t="str">
            <v>Nominal effective exchange rate</v>
          </cell>
        </row>
        <row r="38">
          <cell r="A38">
            <v>38</v>
          </cell>
          <cell r="B38" t="str">
            <v>End of period</v>
          </cell>
          <cell r="E38">
            <v>354.32835736980326</v>
          </cell>
          <cell r="F38">
            <v>384.72599867639241</v>
          </cell>
          <cell r="G38">
            <v>393.65057853266399</v>
          </cell>
        </row>
        <row r="39">
          <cell r="A39">
            <v>39</v>
          </cell>
          <cell r="B39" t="str">
            <v>Period average</v>
          </cell>
          <cell r="E39">
            <v>346.49409860917154</v>
          </cell>
          <cell r="F39">
            <v>375.53499091233658</v>
          </cell>
          <cell r="G39">
            <v>394.19969572503669</v>
          </cell>
        </row>
        <row r="40">
          <cell r="A40">
            <v>40</v>
          </cell>
          <cell r="B40" t="str">
            <v>Real effective exchange rate</v>
          </cell>
        </row>
        <row r="41">
          <cell r="A41">
            <v>41</v>
          </cell>
          <cell r="B41" t="str">
            <v>End of period</v>
          </cell>
          <cell r="E41">
            <v>168.59847026064799</v>
          </cell>
          <cell r="F41">
            <v>173.43368967423061</v>
          </cell>
          <cell r="G41">
            <v>155.43340893922718</v>
          </cell>
        </row>
        <row r="42">
          <cell r="A42">
            <v>42</v>
          </cell>
          <cell r="B42" t="str">
            <v>Period average</v>
          </cell>
          <cell r="E42">
            <v>169.81552942507381</v>
          </cell>
          <cell r="F42">
            <v>172.54556009525677</v>
          </cell>
          <cell r="G42">
            <v>157.5037089084415</v>
          </cell>
        </row>
        <row r="43">
          <cell r="A43">
            <v>43</v>
          </cell>
        </row>
        <row r="44">
          <cell r="A44">
            <v>44</v>
          </cell>
          <cell r="B44" t="str">
            <v>Interest rates</v>
          </cell>
        </row>
        <row r="45">
          <cell r="A45">
            <v>45</v>
          </cell>
          <cell r="B45">
            <v>36279.969782638887</v>
          </cell>
        </row>
        <row r="46">
          <cell r="A46">
            <v>46</v>
          </cell>
          <cell r="B46" t="str">
            <v>LIBOR (US$ deposits)</v>
          </cell>
          <cell r="E46">
            <v>14.0290825366974</v>
          </cell>
          <cell r="F46">
            <v>16.719245195388794</v>
          </cell>
          <cell r="G46">
            <v>13.60124945640564</v>
          </cell>
        </row>
        <row r="47">
          <cell r="A47">
            <v>47</v>
          </cell>
          <cell r="B47" t="str">
            <v>Commercial bank lending rate</v>
          </cell>
        </row>
        <row r="48">
          <cell r="A48">
            <v>48</v>
          </cell>
          <cell r="B48" t="str">
            <v>Commercial bank deposit rate rate</v>
          </cell>
        </row>
        <row r="49">
          <cell r="A49">
            <v>49</v>
          </cell>
        </row>
        <row r="50">
          <cell r="A50">
            <v>50</v>
          </cell>
          <cell r="B50" t="str">
            <v>From real sector</v>
          </cell>
        </row>
        <row r="51">
          <cell r="A51">
            <v>51</v>
          </cell>
          <cell r="B51">
            <v>36249.229484837961</v>
          </cell>
        </row>
        <row r="52">
          <cell r="A52">
            <v>52</v>
          </cell>
          <cell r="B52" t="str">
            <v>GDP in current pesos</v>
          </cell>
          <cell r="E52">
            <v>6761.3</v>
          </cell>
          <cell r="F52">
            <v>7561.2</v>
          </cell>
          <cell r="G52">
            <v>8267.4</v>
          </cell>
        </row>
        <row r="53">
          <cell r="A53">
            <v>53</v>
          </cell>
          <cell r="B53" t="str">
            <v>GDP in constant 1970 pesos</v>
          </cell>
          <cell r="E53">
            <v>2956.4</v>
          </cell>
          <cell r="F53">
            <v>3082.8999999999996</v>
          </cell>
          <cell r="G53">
            <v>3135.3</v>
          </cell>
        </row>
        <row r="54">
          <cell r="A54">
            <v>54</v>
          </cell>
          <cell r="B54" t="str">
            <v>of which</v>
          </cell>
        </row>
        <row r="55">
          <cell r="A55">
            <v>55</v>
          </cell>
          <cell r="B55" t="str">
            <v>Sugar manufacturing</v>
          </cell>
          <cell r="F55">
            <v>0</v>
          </cell>
          <cell r="G55">
            <v>0</v>
          </cell>
        </row>
        <row r="56">
          <cell r="A56">
            <v>56</v>
          </cell>
          <cell r="B56" t="str">
            <v>Free-trade-zone manufacturing</v>
          </cell>
          <cell r="F56">
            <v>0</v>
          </cell>
          <cell r="G56">
            <v>0</v>
          </cell>
        </row>
        <row r="57">
          <cell r="A57">
            <v>57</v>
          </cell>
        </row>
        <row r="58">
          <cell r="A58">
            <v>58</v>
          </cell>
          <cell r="B58" t="str">
            <v>Savings</v>
          </cell>
        </row>
        <row r="59">
          <cell r="A59">
            <v>59</v>
          </cell>
          <cell r="B59" t="str">
            <v>Public sector savings (from fiscal)</v>
          </cell>
          <cell r="E59">
            <v>46.4</v>
          </cell>
          <cell r="F59">
            <v>0</v>
          </cell>
          <cell r="G59">
            <v>0</v>
          </cell>
        </row>
        <row r="60">
          <cell r="A60">
            <v>60</v>
          </cell>
          <cell r="B60" t="str">
            <v>External current account deficit (in millions of RD$)</v>
          </cell>
          <cell r="E60">
            <v>-669.8</v>
          </cell>
          <cell r="F60">
            <v>0</v>
          </cell>
          <cell r="G60">
            <v>0</v>
          </cell>
        </row>
        <row r="61">
          <cell r="A61">
            <v>61</v>
          </cell>
          <cell r="B61" t="str">
            <v>External current account deficit (in millions of RD$)</v>
          </cell>
          <cell r="E61">
            <v>-719.9</v>
          </cell>
          <cell r="F61">
            <v>-389.4</v>
          </cell>
          <cell r="G61">
            <v>-442.6</v>
          </cell>
        </row>
        <row r="62">
          <cell r="A62">
            <v>62</v>
          </cell>
          <cell r="B62" t="str">
            <v>Employment &amp; demographic data</v>
          </cell>
        </row>
        <row r="63">
          <cell r="A63">
            <v>63</v>
          </cell>
          <cell r="B63" t="str">
            <v>Population (in millions)</v>
          </cell>
          <cell r="E63">
            <v>5.6969999999999992</v>
          </cell>
          <cell r="F63">
            <v>5.8296799999999998</v>
          </cell>
          <cell r="G63">
            <v>5.9630700000000001</v>
          </cell>
        </row>
        <row r="64">
          <cell r="A64">
            <v>64</v>
          </cell>
          <cell r="B64" t="str">
            <v xml:space="preserve">  (percent change)</v>
          </cell>
          <cell r="E64">
            <v>0</v>
          </cell>
          <cell r="F64">
            <v>2.3289450588028782</v>
          </cell>
          <cell r="G64">
            <v>2.2881187303591233</v>
          </cell>
        </row>
        <row r="65">
          <cell r="A65">
            <v>65</v>
          </cell>
          <cell r="B65" t="str">
            <v>Working age population</v>
          </cell>
          <cell r="E65">
            <v>3111222.75</v>
          </cell>
          <cell r="F65">
            <v>3218200.25</v>
          </cell>
          <cell r="G65">
            <v>3327145</v>
          </cell>
        </row>
        <row r="66">
          <cell r="A66">
            <v>66</v>
          </cell>
          <cell r="B66" t="str">
            <v xml:space="preserve">  (percent change)</v>
          </cell>
          <cell r="E66">
            <v>0</v>
          </cell>
          <cell r="F66">
            <v>3.4384391152963989</v>
          </cell>
          <cell r="G66">
            <v>3.3852694530118299</v>
          </cell>
        </row>
        <row r="67">
          <cell r="A67">
            <v>67</v>
          </cell>
          <cell r="B67" t="str">
            <v>Labor force</v>
          </cell>
          <cell r="E67">
            <v>0</v>
          </cell>
          <cell r="F67">
            <v>0</v>
          </cell>
          <cell r="G67">
            <v>0</v>
          </cell>
        </row>
        <row r="68">
          <cell r="A68">
            <v>68</v>
          </cell>
          <cell r="B68" t="str">
            <v xml:space="preserve">  (percent change)</v>
          </cell>
          <cell r="E68">
            <v>0</v>
          </cell>
          <cell r="F68">
            <v>0</v>
          </cell>
          <cell r="G68">
            <v>0</v>
          </cell>
        </row>
        <row r="69">
          <cell r="A69">
            <v>69</v>
          </cell>
          <cell r="B69" t="str">
            <v>Unemployment</v>
          </cell>
          <cell r="E69">
            <v>0</v>
          </cell>
          <cell r="F69">
            <v>0</v>
          </cell>
          <cell r="G69">
            <v>0</v>
          </cell>
        </row>
        <row r="70">
          <cell r="A70">
            <v>70</v>
          </cell>
          <cell r="B70" t="str">
            <v>Unemployment rate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71</v>
          </cell>
          <cell r="B71" t="str">
            <v>Employment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Out-BOP"/>
      <sheetName val="OUT-Fiscal"/>
      <sheetName val="IN_Cable"/>
      <sheetName val="Cable_old"/>
      <sheetName val="Graphs"/>
      <sheetName val="Balance sheets"/>
      <sheetName val="Financing NFPS"/>
      <sheetName val="Small Table"/>
      <sheetName val="Summary Table"/>
      <sheetName val="IN_QuasiFiscal"/>
      <sheetName val="QF long"/>
      <sheetName val="QF short"/>
      <sheetName val="Mon Table SBA 05 "/>
      <sheetName val="QF Table SBA 05"/>
      <sheetName val="short-annual-table"/>
      <sheetName val="short-monthly-table"/>
      <sheetName val="Monetary aggregates"/>
      <sheetName val="Real Monetary Aggregates Chart"/>
      <sheetName val="Money Aggregates Chart"/>
      <sheetName val="MT Quasi fiscal"/>
      <sheetName val="Comparativo"/>
      <sheetName val="Scenarios"/>
      <sheetName val="RED Table 25"/>
      <sheetName val="QuasiFiscal"/>
      <sheetName val="Cable"/>
      <sheetName val="Summary Table Reduced"/>
      <sheetName val="Summary QuasiFiscal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Original"/>
      <sheetName val="Anexo 1"/>
      <sheetName val="Anexo 2"/>
      <sheetName val="Anexo 3"/>
      <sheetName val="pa en se"/>
      <sheetName val="VENC SEPT 04-30 SIN VENC. RENEG"/>
      <sheetName val="ANEXO 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gas112601"/>
      <sheetName val="GEE102301"/>
      <sheetName val="agrop PUB Pr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Base"/>
      <sheetName val="Bilaterales para FMI"/>
      <sheetName val="Bilat para FMI (ODA Y NO ODA)"/>
      <sheetName val="Reestructurable"/>
      <sheetName val="Club x Agencia"/>
      <sheetName val="Club x mes"/>
      <sheetName val="Club x Mes 04-05"/>
      <sheetName val="Club xMes 04-05 tri"/>
      <sheetName val="Sheet1"/>
      <sheetName val="Por Tipo de Deuda"/>
      <sheetName val="EEUU"/>
      <sheetName val="SORTEADO"/>
      <sheetName val="Paises de Club"/>
      <sheetName val="Total Vcto."/>
      <sheetName val="ONAPRES"/>
      <sheetName val="ONAPRES1"/>
      <sheetName val="Bzas.P"/>
      <sheetName val="BOP CP"/>
      <sheetName val="BoP M&amp;L"/>
      <sheetName val="BOP+Resum"/>
      <sheetName val="CCR"/>
      <sheetName val="Cambiarias"/>
      <sheetName val="Compar1"/>
      <sheetName val="Compar2"/>
      <sheetName val="Compar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B X DEVEN"/>
      <sheetName val="BoP"/>
      <sheetName val="RES"/>
      <sheetName val="Input"/>
      <sheetName val="Trade"/>
      <sheetName val="FAL y UNIVERSAL Dic97"/>
      <sheetName val="PRIVATE"/>
    </sheetNames>
    <sheetDataSet>
      <sheetData sheetId="0" refreshError="1"/>
      <sheetData sheetId="1" refreshError="1">
        <row r="1">
          <cell r="O1" t="str">
            <v>Lyon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odig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ECIMP99"/>
      <sheetName val="RECIMP2000"/>
      <sheetName val="RECIMP2000real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"/>
      <sheetName val="C Summary"/>
      <sheetName val="D %GDP"/>
      <sheetName val="InFis2"/>
      <sheetName val="Contents"/>
      <sheetName val="E"/>
      <sheetName val="W&amp;T"/>
      <sheetName val="Fiscal Tables"/>
      <sheetName val="Countries_Master"/>
      <sheetName val="C_Summary"/>
      <sheetName val="D_%GDP"/>
      <sheetName val="Exchange Rate chart"/>
      <sheetName val="Federal-r"/>
      <sheetName val="tab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agrop PUB Proy"/>
      <sheetName val="agrop Trad 2"/>
    </sheetNames>
    <sheetDataSet>
      <sheetData sheetId="0" refreshError="1">
        <row r="1">
          <cell r="A1">
            <v>1</v>
          </cell>
          <cell r="B1" t="str">
            <v>Shared data and projections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  <cell r="B4">
            <v>36501.571532754628</v>
          </cell>
          <cell r="C4" t="str">
            <v>Formulas</v>
          </cell>
          <cell r="E4" t="str">
            <v>1980</v>
          </cell>
          <cell r="F4">
            <v>1981</v>
          </cell>
          <cell r="G4">
            <v>1982</v>
          </cell>
        </row>
        <row r="5">
          <cell r="A5">
            <v>5</v>
          </cell>
          <cell r="B5" t="str">
            <v>DO NOT CHANGE COLUMN OR ROW STRUCTURE OF THIS SHEET !!!!!!!</v>
          </cell>
        </row>
        <row r="7">
          <cell r="B7" t="str">
            <v>Prices and exchange rates</v>
          </cell>
        </row>
        <row r="8">
          <cell r="B8">
            <v>36249.197554976854</v>
          </cell>
        </row>
        <row r="9">
          <cell r="B9" t="str">
            <v>CPI (period average)</v>
          </cell>
          <cell r="S9">
            <v>853.39166666666677</v>
          </cell>
        </row>
        <row r="10">
          <cell r="B10" t="str">
            <v xml:space="preserve">  (percent change)</v>
          </cell>
          <cell r="S10">
            <v>8.2607679857579228</v>
          </cell>
        </row>
        <row r="11">
          <cell r="B11" t="str">
            <v>CPI (end of period)</v>
          </cell>
          <cell r="S11">
            <v>915.35</v>
          </cell>
        </row>
        <row r="12">
          <cell r="B12" t="str">
            <v xml:space="preserve">  (percent change)</v>
          </cell>
          <cell r="S12">
            <v>14.314438075256319</v>
          </cell>
        </row>
        <row r="14">
          <cell r="B14" t="str">
            <v>GDP deflator (percent change)</v>
          </cell>
          <cell r="S14">
            <v>7.8835926501797271</v>
          </cell>
        </row>
        <row r="16">
          <cell r="B16" t="str">
            <v>Export price index</v>
          </cell>
        </row>
        <row r="17">
          <cell r="B17" t="str">
            <v xml:space="preserve">   GEE</v>
          </cell>
          <cell r="S17">
            <v>131.54779881487329</v>
          </cell>
        </row>
        <row r="18">
          <cell r="B18" t="str">
            <v>% change (GEE)</v>
          </cell>
          <cell r="S18">
            <v>4.9408769562917509</v>
          </cell>
        </row>
        <row r="19">
          <cell r="B19" t="str">
            <v xml:space="preserve">Import price index </v>
          </cell>
        </row>
        <row r="20">
          <cell r="B20" t="str">
            <v>GEE</v>
          </cell>
          <cell r="S20">
            <v>118.47655629709996</v>
          </cell>
        </row>
        <row r="21">
          <cell r="B21" t="str">
            <v>% change (GEE)</v>
          </cell>
          <cell r="S21">
            <v>1.6656036175849431</v>
          </cell>
        </row>
        <row r="22">
          <cell r="B22" t="str">
            <v>Terms of trade</v>
          </cell>
        </row>
        <row r="23">
          <cell r="B23" t="str">
            <v>GEE</v>
          </cell>
          <cell r="S23">
            <v>111.03276709444101</v>
          </cell>
        </row>
        <row r="24">
          <cell r="B24" t="str">
            <v>% change</v>
          </cell>
          <cell r="S24">
            <v>3.2216140190607145</v>
          </cell>
        </row>
        <row r="26">
          <cell r="B26" t="str">
            <v>Petroleum price from WEO     BOP</v>
          </cell>
          <cell r="S26">
            <v>15.946896711985271</v>
          </cell>
        </row>
        <row r="27">
          <cell r="B27" t="str">
            <v>Non-Fuel Commodity Import Prices</v>
          </cell>
          <cell r="S27">
            <v>7.1</v>
          </cell>
        </row>
        <row r="28">
          <cell r="B28" t="str">
            <v>Non-Fuel Commodity Export Prices</v>
          </cell>
          <cell r="S28">
            <v>26.5</v>
          </cell>
        </row>
        <row r="30">
          <cell r="B30">
            <v>36279.619530902775</v>
          </cell>
        </row>
        <row r="31">
          <cell r="B31" t="str">
            <v>Official exchange rate (end of period)</v>
          </cell>
          <cell r="S31">
            <v>12.87</v>
          </cell>
        </row>
        <row r="33">
          <cell r="B33" t="str">
            <v>Official exchange rate (period average)</v>
          </cell>
          <cell r="S33">
            <v>12.616666666666667</v>
          </cell>
        </row>
        <row r="34">
          <cell r="B34" t="str">
            <v>Market rate (period average)</v>
          </cell>
          <cell r="S34">
            <v>12.858333333333334</v>
          </cell>
        </row>
        <row r="35">
          <cell r="B35" t="str">
            <v xml:space="preserve">Exchange rate-wtd average </v>
          </cell>
          <cell r="S35">
            <v>12.810000000000002</v>
          </cell>
        </row>
        <row r="37">
          <cell r="B37" t="str">
            <v>Nominal effective exchange rate</v>
          </cell>
        </row>
        <row r="38">
          <cell r="B38" t="str">
            <v>End of period</v>
          </cell>
          <cell r="S38">
            <v>88.800912009611906</v>
          </cell>
        </row>
        <row r="39">
          <cell r="B39" t="str">
            <v>Period average</v>
          </cell>
          <cell r="S39">
            <v>89.7983574300372</v>
          </cell>
        </row>
        <row r="40">
          <cell r="B40" t="str">
            <v>Real effective exchange rate</v>
          </cell>
        </row>
        <row r="41">
          <cell r="B41" t="str">
            <v>End of period</v>
          </cell>
          <cell r="S41">
            <v>113.39592399220169</v>
          </cell>
        </row>
        <row r="42">
          <cell r="B42" t="str">
            <v>Period average</v>
          </cell>
          <cell r="S42">
            <v>110.54701398741891</v>
          </cell>
        </row>
        <row r="44">
          <cell r="B44" t="str">
            <v>Interest rates</v>
          </cell>
        </row>
        <row r="45">
          <cell r="B45">
            <v>36279.969782638887</v>
          </cell>
        </row>
        <row r="46">
          <cell r="B46" t="str">
            <v>LIBOR (US$ deposits)</v>
          </cell>
          <cell r="S46">
            <v>5.0732499999999998</v>
          </cell>
        </row>
        <row r="47">
          <cell r="B47" t="str">
            <v>Commercial bank lending rate</v>
          </cell>
          <cell r="S47">
            <v>27.993749999999999</v>
          </cell>
        </row>
        <row r="48">
          <cell r="B48" t="str">
            <v>Commercial bank deposit rate rate</v>
          </cell>
          <cell r="S48">
            <v>13.59</v>
          </cell>
        </row>
        <row r="50">
          <cell r="B50" t="str">
            <v>From real sector</v>
          </cell>
        </row>
        <row r="51">
          <cell r="B51">
            <v>36249.229484837961</v>
          </cell>
        </row>
        <row r="52">
          <cell r="B52" t="str">
            <v>GDP in current pesos</v>
          </cell>
          <cell r="S52">
            <v>137566.39999999999</v>
          </cell>
        </row>
        <row r="53">
          <cell r="B53" t="str">
            <v>GDP in constant 1970 pesos</v>
          </cell>
          <cell r="S53">
            <v>4390.0629464718004</v>
          </cell>
        </row>
        <row r="54">
          <cell r="B54" t="str">
            <v>of which</v>
          </cell>
        </row>
        <row r="55">
          <cell r="B55" t="str">
            <v>Sugar manufacturing</v>
          </cell>
          <cell r="S55">
            <v>1493.5013004609864</v>
          </cell>
        </row>
        <row r="56">
          <cell r="B56" t="str">
            <v>Free-trade-zone manufacturing</v>
          </cell>
          <cell r="S56">
            <v>5132.4250946541915</v>
          </cell>
        </row>
        <row r="58">
          <cell r="B58" t="str">
            <v>Savings</v>
          </cell>
        </row>
        <row r="59">
          <cell r="B59" t="str">
            <v>Public sector savings (from fiscal)</v>
          </cell>
          <cell r="S59">
            <v>8600.9861474592726</v>
          </cell>
        </row>
        <row r="60">
          <cell r="B60" t="str">
            <v>External current account deficit (in millions of RD$)</v>
          </cell>
          <cell r="S60">
            <v>-3625.2299999999991</v>
          </cell>
        </row>
        <row r="61">
          <cell r="B61" t="str">
            <v>External current account deficit (in millions of RD$)</v>
          </cell>
          <cell r="S61">
            <v>-3625.2299999999891</v>
          </cell>
        </row>
        <row r="62">
          <cell r="B62" t="str">
            <v>Employment &amp; demographic data</v>
          </cell>
        </row>
        <row r="63">
          <cell r="B63" t="str">
            <v>Population (in millions)</v>
          </cell>
          <cell r="S63">
            <v>7.6854799999999992</v>
          </cell>
        </row>
        <row r="64">
          <cell r="B64" t="str">
            <v xml:space="preserve">  (percent change)</v>
          </cell>
          <cell r="S64">
            <v>1.8594652480126372</v>
          </cell>
        </row>
        <row r="65">
          <cell r="B65" t="str">
            <v>Working age population</v>
          </cell>
          <cell r="S65">
            <v>4658771.5</v>
          </cell>
        </row>
        <row r="66">
          <cell r="B66" t="str">
            <v xml:space="preserve">  (percent change)</v>
          </cell>
          <cell r="S66">
            <v>2.3473715822396768</v>
          </cell>
        </row>
        <row r="67">
          <cell r="B67" t="str">
            <v>Labor force</v>
          </cell>
          <cell r="S67">
            <v>2857209</v>
          </cell>
        </row>
        <row r="68">
          <cell r="B68" t="str">
            <v xml:space="preserve">  (percent change)</v>
          </cell>
          <cell r="S68">
            <v>-5.2632573660138515</v>
          </cell>
        </row>
        <row r="69">
          <cell r="B69" t="str">
            <v>Unemployment</v>
          </cell>
          <cell r="S69">
            <v>456622.99999999994</v>
          </cell>
        </row>
        <row r="70">
          <cell r="B70" t="str">
            <v>Unemployment rate</v>
          </cell>
          <cell r="S70">
            <v>15.98143502977906</v>
          </cell>
        </row>
        <row r="71">
          <cell r="B71" t="str">
            <v>Employment</v>
          </cell>
          <cell r="S71">
            <v>2400586</v>
          </cell>
        </row>
        <row r="72">
          <cell r="B72" t="str">
            <v xml:space="preserve">  (percent change)</v>
          </cell>
          <cell r="S72">
            <v>-0.66472182566775784</v>
          </cell>
        </row>
        <row r="74">
          <cell r="B74" t="str">
            <v>From the external sector</v>
          </cell>
        </row>
        <row r="75">
          <cell r="B75">
            <v>36279.540543055555</v>
          </cell>
        </row>
        <row r="76">
          <cell r="B76" t="str">
            <v>External CA (mill US$)</v>
          </cell>
          <cell r="S76">
            <v>-282.99999999999989</v>
          </cell>
        </row>
        <row r="77">
          <cell r="B77" t="str">
            <v>External CA (mill US$)</v>
          </cell>
          <cell r="S77">
            <v>-282.99999999999909</v>
          </cell>
        </row>
        <row r="78">
          <cell r="B78" t="str">
            <v>Exports of goods and services</v>
          </cell>
          <cell r="S78">
            <v>5315.9</v>
          </cell>
        </row>
        <row r="79">
          <cell r="B79" t="str">
            <v xml:space="preserve">   Goods</v>
          </cell>
          <cell r="S79">
            <v>3452.5</v>
          </cell>
        </row>
        <row r="80">
          <cell r="B80" t="str">
            <v>Domestic</v>
          </cell>
          <cell r="S80">
            <v>736.39999999999986</v>
          </cell>
        </row>
        <row r="81">
          <cell r="B81" t="str">
            <v>Free trade zones</v>
          </cell>
          <cell r="S81">
            <v>2716.1000000000004</v>
          </cell>
        </row>
        <row r="82">
          <cell r="B82" t="str">
            <v xml:space="preserve">   Services</v>
          </cell>
          <cell r="S82">
            <v>1863.4</v>
          </cell>
        </row>
        <row r="83">
          <cell r="B83" t="str">
            <v xml:space="preserve">      Tourism receipts</v>
          </cell>
          <cell r="S83">
            <v>1428.8</v>
          </cell>
        </row>
        <row r="84">
          <cell r="B84" t="str">
            <v>Total exports of goods</v>
          </cell>
          <cell r="S84">
            <v>0</v>
          </cell>
        </row>
        <row r="85">
          <cell r="B85" t="str">
            <v>Imports of goods and services</v>
          </cell>
          <cell r="S85">
            <v>5899.8</v>
          </cell>
        </row>
        <row r="86">
          <cell r="B86" t="str">
            <v xml:space="preserve">   Goods (including free trade zones)</v>
          </cell>
          <cell r="S86">
            <v>4903.2</v>
          </cell>
        </row>
        <row r="87">
          <cell r="B87" t="str">
            <v xml:space="preserve">      Consumer Goods</v>
          </cell>
          <cell r="S87">
            <v>1092.5999999999999</v>
          </cell>
        </row>
        <row r="88">
          <cell r="B88" t="str">
            <v xml:space="preserve">         Durable</v>
          </cell>
          <cell r="S88">
            <v>517.9</v>
          </cell>
        </row>
        <row r="89">
          <cell r="B89" t="str">
            <v xml:space="preserve">         Non durable</v>
          </cell>
          <cell r="S89">
            <v>574.69999999999993</v>
          </cell>
        </row>
        <row r="90">
          <cell r="B90" t="str">
            <v xml:space="preserve">      Primary/Intermediate goods</v>
          </cell>
          <cell r="S90">
            <v>1284.8999999999999</v>
          </cell>
        </row>
        <row r="91">
          <cell r="B91" t="str">
            <v xml:space="preserve">         of which: Petroleum products</v>
          </cell>
          <cell r="S91">
            <v>521.6</v>
          </cell>
        </row>
        <row r="92">
          <cell r="B92" t="str">
            <v xml:space="preserve">      Capital goods</v>
          </cell>
          <cell r="S92">
            <v>614.19999999999993</v>
          </cell>
        </row>
        <row r="93">
          <cell r="B93" t="str">
            <v xml:space="preserve">         of which: Related to privatization</v>
          </cell>
          <cell r="S93">
            <v>0</v>
          </cell>
        </row>
        <row r="94">
          <cell r="B94" t="str">
            <v xml:space="preserve">   Services</v>
          </cell>
          <cell r="S94">
            <v>996.60000000000014</v>
          </cell>
        </row>
        <row r="95">
          <cell r="B95" t="str">
            <v>Total imports of goods</v>
          </cell>
          <cell r="S95">
            <v>0</v>
          </cell>
        </row>
        <row r="96">
          <cell r="B96" t="str">
            <v>Foreign direct investment (net)</v>
          </cell>
          <cell r="S96">
            <v>206.8</v>
          </cell>
        </row>
        <row r="97">
          <cell r="B97" t="str">
            <v xml:space="preserve">   of which: Related to privatization</v>
          </cell>
          <cell r="S97">
            <v>0</v>
          </cell>
        </row>
        <row r="98">
          <cell r="B98" t="str">
            <v>Imports net of FTZ imports</v>
          </cell>
        </row>
        <row r="99">
          <cell r="B99" t="str">
            <v>Commercial banks (net capital flow)</v>
          </cell>
          <cell r="S99">
            <v>18</v>
          </cell>
        </row>
        <row r="101">
          <cell r="B101" t="str">
            <v>Net official international reserves (increase +)</v>
          </cell>
          <cell r="S101">
            <v>-469.60264180264187</v>
          </cell>
        </row>
        <row r="102">
          <cell r="B102" t="str">
            <v xml:space="preserve">   Gross reserves (increase +)</v>
          </cell>
          <cell r="S102">
            <v>-386.6</v>
          </cell>
        </row>
        <row r="103">
          <cell r="B103" t="str">
            <v xml:space="preserve">   Liabilities (increase -)</v>
          </cell>
          <cell r="S103">
            <v>-83.002641802641847</v>
          </cell>
        </row>
        <row r="104">
          <cell r="B104" t="str">
            <v xml:space="preserve">      of which: Use of Fund credits (increase -)</v>
          </cell>
          <cell r="S104">
            <v>8.1999999999999993</v>
          </cell>
        </row>
        <row r="106">
          <cell r="B106" t="str">
            <v>Valuation adjustment</v>
          </cell>
          <cell r="S106">
            <v>0</v>
          </cell>
        </row>
        <row r="107">
          <cell r="B107" t="str">
            <v>Domestic imports</v>
          </cell>
          <cell r="S107">
            <v>2991.7</v>
          </cell>
        </row>
        <row r="108">
          <cell r="B108" t="str">
            <v>External public sector debt</v>
          </cell>
          <cell r="S108">
            <v>3946.42</v>
          </cell>
        </row>
        <row r="110">
          <cell r="B110" t="str">
            <v>Interest due</v>
          </cell>
        </row>
        <row r="111">
          <cell r="B111" t="str">
            <v xml:space="preserve">   Nonfinancial public sector</v>
          </cell>
        </row>
        <row r="112">
          <cell r="B112" t="str">
            <v xml:space="preserve">      Government</v>
          </cell>
        </row>
        <row r="113">
          <cell r="B113" t="str">
            <v xml:space="preserve">      Public enterprises</v>
          </cell>
        </row>
        <row r="114">
          <cell r="B114" t="str">
            <v xml:space="preserve">   Financial public sector</v>
          </cell>
        </row>
        <row r="115">
          <cell r="B115" t="str">
            <v xml:space="preserve">      BCRD (on nonreserve liabilities)</v>
          </cell>
        </row>
        <row r="116">
          <cell r="B116" t="str">
            <v xml:space="preserve">      BCRD (on reserve liabilities)</v>
          </cell>
        </row>
        <row r="117">
          <cell r="B117" t="str">
            <v xml:space="preserve">      Other (eg, Banco de Reservas)</v>
          </cell>
        </row>
        <row r="118">
          <cell r="B118" t="str">
            <v xml:space="preserve">   Interest on arrears</v>
          </cell>
        </row>
        <row r="119">
          <cell r="B119" t="str">
            <v xml:space="preserve">      Of which: on reserve liabilities</v>
          </cell>
        </row>
        <row r="121">
          <cell r="B121" t="str">
            <v>Reprogramed or forgiven interest</v>
          </cell>
        </row>
        <row r="122">
          <cell r="B122" t="str">
            <v>New arrears on interest due</v>
          </cell>
        </row>
        <row r="124">
          <cell r="B124" t="str">
            <v>Net use of Fund credit</v>
          </cell>
        </row>
        <row r="125">
          <cell r="B125" t="str">
            <v xml:space="preserve">   Purchase</v>
          </cell>
        </row>
        <row r="126">
          <cell r="B126" t="str">
            <v xml:space="preserve">   Repurchase</v>
          </cell>
        </row>
        <row r="128">
          <cell r="B128" t="str">
            <v>Disbursements (medium/long-term debt)</v>
          </cell>
        </row>
        <row r="129">
          <cell r="B129" t="str">
            <v xml:space="preserve">   Nonfinancial public sector</v>
          </cell>
        </row>
        <row r="130">
          <cell r="B130" t="str">
            <v xml:space="preserve">      Government</v>
          </cell>
        </row>
        <row r="131">
          <cell r="B131" t="str">
            <v xml:space="preserve">      Public enterprises</v>
          </cell>
        </row>
        <row r="132">
          <cell r="B132" t="str">
            <v xml:space="preserve">   Financial public sector</v>
          </cell>
        </row>
        <row r="133">
          <cell r="B133" t="str">
            <v xml:space="preserve">      BCRD</v>
          </cell>
        </row>
        <row r="134">
          <cell r="B134" t="str">
            <v xml:space="preserve">      Other (eg, Banco de Reservas)</v>
          </cell>
        </row>
        <row r="136">
          <cell r="B136" t="str">
            <v>Amortization due (medium/long-term debt)</v>
          </cell>
        </row>
        <row r="137">
          <cell r="B137" t="str">
            <v xml:space="preserve">   Nonfinancial public sector</v>
          </cell>
        </row>
        <row r="138">
          <cell r="B138" t="str">
            <v xml:space="preserve">      Government</v>
          </cell>
        </row>
        <row r="139">
          <cell r="B139" t="str">
            <v xml:space="preserve">      Public enterprises</v>
          </cell>
        </row>
        <row r="140">
          <cell r="B140" t="str">
            <v xml:space="preserve">   Financial public sector</v>
          </cell>
        </row>
        <row r="141">
          <cell r="B141" t="str">
            <v xml:space="preserve">      BCRD</v>
          </cell>
        </row>
        <row r="142">
          <cell r="B142" t="str">
            <v xml:space="preserve">      Other (eg, Banco de Reservas)</v>
          </cell>
        </row>
        <row r="144">
          <cell r="B144" t="str">
            <v>Debt rescheduled (medium/long-term debt)</v>
          </cell>
        </row>
        <row r="145">
          <cell r="B145" t="str">
            <v>Debt forgiven (medium/long-term debt)</v>
          </cell>
        </row>
        <row r="146">
          <cell r="B146" t="str">
            <v>New arrears (amortization on med/long-term debt)</v>
          </cell>
        </row>
        <row r="147">
          <cell r="B147" t="str">
            <v>Reduction in outstanding arrears</v>
          </cell>
        </row>
        <row r="149">
          <cell r="B149" t="str">
            <v>From fiscal sector</v>
          </cell>
        </row>
        <row r="150">
          <cell r="B150">
            <v>36262.378366666664</v>
          </cell>
        </row>
        <row r="152">
          <cell r="B152" t="str">
            <v>Public sector consumption (from 1995: GG)</v>
          </cell>
          <cell r="S152">
            <v>6692.02</v>
          </cell>
        </row>
        <row r="153">
          <cell r="B153" t="str">
            <v xml:space="preserve">Public sector investment </v>
          </cell>
          <cell r="S153">
            <v>13490</v>
          </cell>
        </row>
        <row r="154">
          <cell r="B154" t="str">
            <v>Public saving</v>
          </cell>
          <cell r="S154">
            <v>8600.9861474592726</v>
          </cell>
        </row>
        <row r="155">
          <cell r="B155" t="str">
            <v>PS current account balance</v>
          </cell>
          <cell r="S155">
            <v>8934.586147459273</v>
          </cell>
        </row>
        <row r="156">
          <cell r="B156" t="str">
            <v>Quasi-fiscal operations</v>
          </cell>
        </row>
        <row r="157">
          <cell r="B157" t="str">
            <v>Grants</v>
          </cell>
        </row>
        <row r="159">
          <cell r="B159" t="str">
            <v>Overall balance of the consolidated public sector</v>
          </cell>
        </row>
        <row r="160">
          <cell r="B160" t="str">
            <v>Residual</v>
          </cell>
        </row>
        <row r="165">
          <cell r="B165" t="str">
            <v>From monetary sector (stocks)</v>
          </cell>
        </row>
        <row r="166">
          <cell r="B166">
            <v>36283.028455092594</v>
          </cell>
        </row>
        <row r="167">
          <cell r="B167" t="str">
            <v>Net international assets/liabilities</v>
          </cell>
        </row>
        <row r="169">
          <cell r="B169" t="str">
            <v>BCRD</v>
          </cell>
        </row>
        <row r="170">
          <cell r="B170" t="str">
            <v>Official net international reserves</v>
          </cell>
        </row>
        <row r="171">
          <cell r="B171" t="str">
            <v xml:space="preserve">   Assets</v>
          </cell>
        </row>
        <row r="172">
          <cell r="B172" t="str">
            <v xml:space="preserve">   Liabilities</v>
          </cell>
        </row>
        <row r="174">
          <cell r="B174" t="str">
            <v>Medium&amp;long-term liabilities</v>
          </cell>
        </row>
        <row r="175">
          <cell r="B175" t="str">
            <v>Restructured commercial bank debt</v>
          </cell>
        </row>
        <row r="176">
          <cell r="B176" t="str">
            <v xml:space="preserve">   less collateral bonds</v>
          </cell>
        </row>
        <row r="177">
          <cell r="B177" t="str">
            <v>Other</v>
          </cell>
        </row>
        <row r="179">
          <cell r="B179" t="str">
            <v>Commercial banks</v>
          </cell>
        </row>
        <row r="180">
          <cell r="B180" t="str">
            <v>Net foreign assets</v>
          </cell>
        </row>
        <row r="181">
          <cell r="B181" t="str">
            <v xml:space="preserve">   Assets</v>
          </cell>
        </row>
        <row r="182">
          <cell r="B182" t="str">
            <v xml:space="preserve">   Liabilities</v>
          </cell>
        </row>
        <row r="184">
          <cell r="B184" t="str">
            <v>Banco de Reservas</v>
          </cell>
        </row>
        <row r="185">
          <cell r="B185" t="str">
            <v>Net foreign assets</v>
          </cell>
        </row>
        <row r="186">
          <cell r="B186" t="str">
            <v xml:space="preserve">   Assets</v>
          </cell>
        </row>
        <row r="187">
          <cell r="B187" t="str">
            <v xml:space="preserve">   Liabilities</v>
          </cell>
        </row>
        <row r="189">
          <cell r="B189" t="str">
            <v>Private commercial banks</v>
          </cell>
        </row>
        <row r="190">
          <cell r="B190" t="str">
            <v>Net foreign assets</v>
          </cell>
        </row>
        <row r="191">
          <cell r="B191" t="str">
            <v xml:space="preserve">   Assets</v>
          </cell>
        </row>
        <row r="192">
          <cell r="B192" t="str">
            <v xml:space="preserve">   Liabilities</v>
          </cell>
        </row>
        <row r="194">
          <cell r="B194" t="str">
            <v>Net credit to the nonfinancial public sector</v>
          </cell>
        </row>
        <row r="195">
          <cell r="B195" t="str">
            <v xml:space="preserve">   Central government (direct)</v>
          </cell>
        </row>
        <row r="196">
          <cell r="B196" t="str">
            <v xml:space="preserve">   Rest of NFPS</v>
          </cell>
        </row>
        <row r="198">
          <cell r="B198" t="str">
            <v>BCRD</v>
          </cell>
        </row>
        <row r="199">
          <cell r="B199" t="str">
            <v>Central government (direct)</v>
          </cell>
        </row>
        <row r="200">
          <cell r="B200" t="str">
            <v>Losses, interest less forex commision</v>
          </cell>
        </row>
        <row r="201">
          <cell r="B201" t="str">
            <v>Rest of Public sector</v>
          </cell>
        </row>
        <row r="202">
          <cell r="B202" t="str">
            <v>Credit to public enterprises</v>
          </cell>
        </row>
        <row r="203">
          <cell r="B203" t="str">
            <v>Banco de Reservas</v>
          </cell>
        </row>
        <row r="204">
          <cell r="B204" t="str">
            <v>Central government</v>
          </cell>
        </row>
        <row r="205">
          <cell r="B205" t="str">
            <v>Municipalities &amp; other government</v>
          </cell>
        </row>
        <row r="206">
          <cell r="B206" t="str">
            <v>Rest of NFPS</v>
          </cell>
        </row>
        <row r="207">
          <cell r="B207" t="str">
            <v>Credit to public enterprises</v>
          </cell>
        </row>
        <row r="208">
          <cell r="B208" t="str">
            <v>Private commercial banks</v>
          </cell>
        </row>
        <row r="209">
          <cell r="B209" t="str">
            <v>Central government</v>
          </cell>
        </row>
        <row r="210">
          <cell r="B210" t="str">
            <v>Municipalities &amp; other government</v>
          </cell>
        </row>
        <row r="211">
          <cell r="B211" t="str">
            <v>Rest of NFPS</v>
          </cell>
        </row>
        <row r="212">
          <cell r="B212" t="str">
            <v>Credit to public enterprises</v>
          </cell>
        </row>
        <row r="213">
          <cell r="B213" t="str">
            <v>Monetary aggregates (Banking system)</v>
          </cell>
        </row>
        <row r="214">
          <cell r="B214" t="str">
            <v>Currency in circulation</v>
          </cell>
        </row>
        <row r="215">
          <cell r="B215" t="str">
            <v>Base money (M0)</v>
          </cell>
        </row>
        <row r="216">
          <cell r="B216" t="str">
            <v>M1</v>
          </cell>
        </row>
        <row r="217">
          <cell r="B217" t="str">
            <v>M2</v>
          </cell>
        </row>
        <row r="218">
          <cell r="B218" t="str">
            <v>Liabilities to the private sector</v>
          </cell>
        </row>
        <row r="220">
          <cell r="B220" t="str">
            <v>Monetary aggregates (Financial system)</v>
          </cell>
        </row>
        <row r="221">
          <cell r="B221" t="str">
            <v>Currency in circulation</v>
          </cell>
        </row>
        <row r="222">
          <cell r="B222" t="str">
            <v>M1</v>
          </cell>
        </row>
        <row r="223">
          <cell r="B223" t="str">
            <v>M2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tiago"/>
      <sheetName val="fax1"/>
      <sheetName val="Fax"/>
      <sheetName val="Mail"/>
      <sheetName val="Sheet3"/>
      <sheetName val="Fax a enviar"/>
      <sheetName val="GAST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eia.gov/dnav/pet/pet_pri_spt_s1_d.ht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4EE6-C9A5-4BEE-8DB3-E9DE049CF07E}">
  <dimension ref="A1:I36"/>
  <sheetViews>
    <sheetView showGridLines="0" tabSelected="1" zoomScaleNormal="100" workbookViewId="0">
      <selection activeCell="C26" sqref="C26"/>
    </sheetView>
  </sheetViews>
  <sheetFormatPr defaultRowHeight="12.75"/>
  <cols>
    <col min="1" max="8" width="9.140625" style="215"/>
    <col min="9" max="12" width="9.140625" style="215" customWidth="1"/>
    <col min="13" max="16384" width="9.140625" style="215"/>
  </cols>
  <sheetData>
    <row r="1" spans="1:9" ht="12.75" customHeight="1">
      <c r="B1" s="216"/>
      <c r="C1" s="216"/>
      <c r="D1" s="216"/>
      <c r="E1" s="216"/>
      <c r="F1" s="216"/>
      <c r="G1" s="216"/>
      <c r="H1" s="216"/>
    </row>
    <row r="2" spans="1:9" ht="12.75" customHeight="1">
      <c r="A2" s="216"/>
      <c r="B2" s="216"/>
      <c r="C2" s="216"/>
      <c r="D2" s="216"/>
      <c r="E2" s="216"/>
      <c r="F2" s="216"/>
      <c r="G2" s="216"/>
      <c r="H2" s="216"/>
    </row>
    <row r="3" spans="1:9" ht="12.75" customHeight="1">
      <c r="A3" s="216"/>
      <c r="B3" s="216"/>
      <c r="C3" s="216"/>
      <c r="D3" s="216"/>
      <c r="E3" s="216"/>
      <c r="F3" s="216"/>
      <c r="G3" s="216"/>
      <c r="H3" s="216"/>
    </row>
    <row r="4" spans="1:9" ht="12.75" customHeight="1">
      <c r="A4" s="216"/>
      <c r="B4" s="216"/>
      <c r="C4" s="216"/>
      <c r="D4" s="216"/>
      <c r="E4" s="216"/>
      <c r="F4" s="216"/>
      <c r="G4" s="216"/>
      <c r="H4" s="216"/>
    </row>
    <row r="5" spans="1:9" ht="12.75" customHeight="1">
      <c r="A5" s="216"/>
      <c r="B5" s="216"/>
      <c r="C5" s="216"/>
      <c r="D5" s="216"/>
      <c r="E5" s="216"/>
      <c r="F5" s="216"/>
      <c r="G5" s="216"/>
      <c r="H5" s="216"/>
    </row>
    <row r="6" spans="1:9" ht="12.75" customHeight="1">
      <c r="A6" s="216"/>
      <c r="B6" s="216"/>
      <c r="C6" s="216"/>
      <c r="D6" s="216"/>
      <c r="E6" s="216"/>
      <c r="F6" s="216"/>
      <c r="G6" s="216"/>
      <c r="H6" s="216"/>
    </row>
    <row r="7" spans="1:9" ht="12.75" customHeight="1">
      <c r="A7" s="216"/>
      <c r="B7" s="216"/>
      <c r="C7" s="216"/>
      <c r="D7" s="216"/>
      <c r="E7" s="216"/>
      <c r="F7" s="216"/>
      <c r="G7" s="216"/>
      <c r="H7" s="216"/>
    </row>
    <row r="8" spans="1:9" ht="12.75" customHeight="1">
      <c r="A8" s="216"/>
      <c r="B8" s="216"/>
      <c r="C8" s="216"/>
      <c r="D8" s="216"/>
      <c r="E8" s="216"/>
      <c r="F8" s="216"/>
      <c r="G8" s="216"/>
      <c r="H8" s="216"/>
    </row>
    <row r="9" spans="1:9" ht="12.75" customHeight="1">
      <c r="A9" s="216"/>
      <c r="B9" s="216"/>
      <c r="C9" s="216"/>
      <c r="D9" s="216"/>
      <c r="E9" s="216"/>
      <c r="F9" s="216"/>
      <c r="G9" s="216"/>
      <c r="H9" s="216"/>
    </row>
    <row r="10" spans="1:9" ht="12.75" customHeight="1">
      <c r="A10" s="216"/>
      <c r="B10" s="216"/>
      <c r="C10" s="216"/>
      <c r="D10" s="216"/>
      <c r="E10" s="216"/>
      <c r="F10" s="216"/>
      <c r="G10" s="216"/>
      <c r="H10" s="216"/>
    </row>
    <row r="11" spans="1:9" ht="12.75" customHeight="1">
      <c r="A11" s="217"/>
      <c r="B11" s="217"/>
      <c r="C11" s="217"/>
      <c r="D11" s="216"/>
      <c r="E11" s="216"/>
      <c r="F11" s="216"/>
      <c r="G11" s="216"/>
      <c r="H11" s="216"/>
    </row>
    <row r="12" spans="1:9" ht="12.75" customHeight="1">
      <c r="A12" s="216"/>
      <c r="B12" s="216"/>
      <c r="C12" s="216"/>
      <c r="D12" s="216"/>
      <c r="E12" s="216"/>
      <c r="F12" s="216"/>
      <c r="G12" s="216"/>
      <c r="H12" s="216"/>
    </row>
    <row r="13" spans="1:9" ht="12.75" customHeight="1">
      <c r="A13" s="216"/>
      <c r="B13" s="216"/>
      <c r="C13" s="216"/>
      <c r="D13" s="216"/>
      <c r="E13" s="216"/>
      <c r="F13" s="216"/>
      <c r="G13" s="216"/>
      <c r="H13" s="216"/>
    </row>
    <row r="14" spans="1:9" ht="12.75" customHeight="1">
      <c r="A14" s="216"/>
      <c r="B14" s="216"/>
      <c r="C14" s="216"/>
      <c r="D14" s="216"/>
      <c r="E14" s="216"/>
      <c r="F14" s="216"/>
      <c r="G14" s="216"/>
      <c r="H14" s="216"/>
    </row>
    <row r="15" spans="1:9" ht="6" customHeight="1">
      <c r="A15" s="218"/>
      <c r="B15" s="218"/>
      <c r="C15" s="218"/>
      <c r="D15" s="218"/>
      <c r="E15" s="218"/>
      <c r="F15" s="218"/>
      <c r="G15" s="218"/>
      <c r="H15" s="218"/>
      <c r="I15" s="219"/>
    </row>
    <row r="16" spans="1:9" ht="12.75" customHeight="1">
      <c r="A16" s="216"/>
      <c r="B16" s="216"/>
      <c r="C16" s="216"/>
      <c r="D16" s="216"/>
      <c r="E16" s="216"/>
      <c r="F16" s="216"/>
      <c r="G16" s="216"/>
      <c r="H16" s="216"/>
    </row>
    <row r="17" spans="1:9" ht="12.75" customHeight="1">
      <c r="A17" s="216"/>
      <c r="B17" s="216"/>
      <c r="C17" s="216"/>
      <c r="D17" s="216"/>
      <c r="E17" s="216"/>
      <c r="F17" s="216"/>
      <c r="G17" s="216"/>
      <c r="H17" s="216"/>
    </row>
    <row r="18" spans="1:9" ht="34.5">
      <c r="A18" s="317" t="s">
        <v>305</v>
      </c>
      <c r="B18" s="317"/>
      <c r="C18" s="317"/>
      <c r="D18" s="317"/>
      <c r="E18" s="317"/>
      <c r="F18" s="317"/>
      <c r="G18" s="317"/>
      <c r="H18" s="317"/>
      <c r="I18" s="317"/>
    </row>
    <row r="19" spans="1:9" ht="12.75" customHeight="1">
      <c r="A19" s="216"/>
      <c r="B19" s="216"/>
      <c r="C19" s="216"/>
      <c r="D19" s="216"/>
      <c r="E19" s="216"/>
      <c r="F19" s="216"/>
      <c r="G19" s="216"/>
      <c r="H19" s="216"/>
    </row>
    <row r="20" spans="1:9" ht="12.75" customHeight="1">
      <c r="A20" s="216"/>
      <c r="B20" s="216"/>
      <c r="C20" s="216"/>
      <c r="D20" s="216"/>
      <c r="E20" s="216"/>
      <c r="F20" s="216"/>
      <c r="G20" s="216"/>
      <c r="H20" s="216"/>
    </row>
    <row r="21" spans="1:9" ht="5.25" customHeight="1">
      <c r="A21" s="218"/>
      <c r="B21" s="218"/>
      <c r="C21" s="218"/>
      <c r="D21" s="218"/>
      <c r="E21" s="218"/>
      <c r="F21" s="218"/>
      <c r="G21" s="218"/>
      <c r="H21" s="218"/>
      <c r="I21" s="219"/>
    </row>
    <row r="22" spans="1:9" ht="12.75" customHeight="1">
      <c r="A22" s="216"/>
      <c r="B22" s="216"/>
      <c r="C22" s="216"/>
      <c r="D22" s="216"/>
      <c r="E22" s="216"/>
      <c r="F22" s="216"/>
      <c r="G22" s="216"/>
      <c r="H22" s="216"/>
    </row>
    <row r="23" spans="1:9" ht="12.75" customHeight="1">
      <c r="A23" s="216"/>
      <c r="B23" s="216"/>
      <c r="C23" s="216"/>
      <c r="D23" s="216"/>
      <c r="E23" s="216"/>
      <c r="F23" s="216"/>
      <c r="G23" s="216"/>
      <c r="H23" s="216"/>
    </row>
    <row r="24" spans="1:9" ht="12.75" customHeight="1">
      <c r="A24" s="216"/>
      <c r="B24" s="216"/>
      <c r="C24" s="216"/>
      <c r="D24" s="216"/>
      <c r="E24" s="216"/>
      <c r="F24" s="216"/>
      <c r="G24" s="216"/>
      <c r="H24" s="216"/>
    </row>
    <row r="25" spans="1:9" ht="12.75" customHeight="1">
      <c r="A25" s="216"/>
      <c r="B25" s="216"/>
      <c r="C25" s="216"/>
      <c r="D25" s="216"/>
      <c r="E25" s="216"/>
      <c r="F25" s="216"/>
      <c r="G25" s="216"/>
      <c r="H25" s="216"/>
    </row>
    <row r="26" spans="1:9" ht="12.75" customHeight="1">
      <c r="A26" s="216"/>
      <c r="B26" s="216"/>
      <c r="C26" s="216"/>
      <c r="D26" s="216"/>
      <c r="E26" s="216"/>
      <c r="F26" s="216"/>
      <c r="G26" s="216"/>
      <c r="H26" s="216"/>
    </row>
    <row r="27" spans="1:9" ht="12.75" customHeight="1">
      <c r="A27" s="216"/>
      <c r="B27" s="216"/>
      <c r="C27" s="216"/>
      <c r="D27" s="216"/>
      <c r="E27" s="216"/>
      <c r="F27" s="216"/>
      <c r="G27" s="216"/>
      <c r="H27" s="216"/>
    </row>
    <row r="28" spans="1:9" ht="12.75" customHeight="1">
      <c r="A28" s="216"/>
      <c r="B28" s="216"/>
      <c r="C28" s="216"/>
      <c r="D28" s="216"/>
      <c r="E28" s="216"/>
      <c r="F28" s="216"/>
      <c r="G28" s="216"/>
      <c r="H28" s="216"/>
    </row>
    <row r="29" spans="1:9" ht="12.75" customHeight="1">
      <c r="A29" s="216"/>
      <c r="B29" s="216"/>
      <c r="C29" s="216"/>
      <c r="D29" s="216"/>
      <c r="E29" s="216"/>
      <c r="F29" s="216"/>
      <c r="G29" s="216"/>
      <c r="H29" s="216"/>
    </row>
    <row r="30" spans="1:9" ht="12.75" customHeight="1">
      <c r="A30" s="216"/>
      <c r="B30" s="216"/>
      <c r="C30" s="216"/>
      <c r="D30" s="216"/>
      <c r="E30" s="216"/>
      <c r="F30" s="216"/>
      <c r="G30" s="216"/>
      <c r="H30" s="216"/>
    </row>
    <row r="31" spans="1:9" ht="12.75" customHeight="1">
      <c r="A31" s="216"/>
      <c r="B31" s="216"/>
      <c r="C31" s="216"/>
      <c r="D31" s="216"/>
      <c r="E31" s="216"/>
      <c r="F31" s="216"/>
      <c r="G31" s="216"/>
      <c r="H31" s="216"/>
    </row>
    <row r="32" spans="1:9" ht="12.75" customHeight="1">
      <c r="A32" s="216"/>
      <c r="B32" s="216"/>
      <c r="C32" s="216"/>
      <c r="D32" s="216"/>
      <c r="E32" s="216"/>
      <c r="F32" s="216"/>
      <c r="G32" s="216"/>
      <c r="H32" s="216"/>
    </row>
    <row r="36" ht="3.75" customHeight="1"/>
  </sheetData>
  <mergeCells count="1">
    <mergeCell ref="A18:I18"/>
  </mergeCells>
  <printOptions horizontalCentered="1"/>
  <pageMargins left="0.70866141732283472" right="0.70866141732283472" top="2.1259842519685042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2"/>
  <dimension ref="A1:IP566"/>
  <sheetViews>
    <sheetView showGridLines="0" view="pageBreakPreview" zoomScaleNormal="100" zoomScaleSheetLayoutView="100" workbookViewId="0">
      <pane ySplit="6" topLeftCell="A539" activePane="bottomLeft" state="frozen"/>
      <selection pane="bottomLeft" activeCell="E541" sqref="E541:F552"/>
    </sheetView>
  </sheetViews>
  <sheetFormatPr defaultColWidth="12" defaultRowHeight="14.25"/>
  <cols>
    <col min="1" max="1" width="8.85546875" style="15" customWidth="1"/>
    <col min="2" max="2" width="13.140625" style="15" customWidth="1"/>
    <col min="3" max="9" width="14.28515625" style="2" customWidth="1"/>
    <col min="10" max="15" width="12" style="15" customWidth="1"/>
    <col min="16" max="16" width="13.42578125" style="15" customWidth="1"/>
    <col min="17" max="34" width="12" style="15" customWidth="1"/>
    <col min="35" max="35" width="13.28515625" style="15" customWidth="1"/>
    <col min="36" max="36" width="3.42578125" style="15" customWidth="1"/>
    <col min="37" max="39" width="12" style="15" customWidth="1"/>
    <col min="40" max="40" width="2" style="15" customWidth="1"/>
    <col min="41" max="16384" width="12" style="15"/>
  </cols>
  <sheetData>
    <row r="1" spans="1:250" ht="13.5" customHeight="1">
      <c r="A1" s="322" t="s">
        <v>157</v>
      </c>
      <c r="B1" s="322"/>
      <c r="C1" s="322"/>
      <c r="D1" s="322"/>
      <c r="E1" s="322"/>
      <c r="F1" s="322"/>
      <c r="G1" s="322"/>
      <c r="H1" s="322"/>
      <c r="I1" s="322"/>
    </row>
    <row r="2" spans="1:250" ht="13.35" customHeight="1">
      <c r="A2" s="322" t="s">
        <v>356</v>
      </c>
      <c r="B2" s="322"/>
      <c r="C2" s="322"/>
      <c r="D2" s="322"/>
      <c r="E2" s="322"/>
      <c r="F2" s="322"/>
      <c r="G2" s="322"/>
      <c r="H2" s="322"/>
      <c r="I2" s="322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1"/>
      <c r="AK2" s="321"/>
      <c r="AL2" s="321"/>
      <c r="AM2" s="321"/>
      <c r="AN2" s="321"/>
      <c r="AO2" s="321"/>
      <c r="AP2" s="321"/>
      <c r="AQ2" s="321"/>
      <c r="AR2" s="321"/>
      <c r="AS2" s="321"/>
      <c r="AT2" s="321"/>
      <c r="AU2" s="321"/>
      <c r="AV2" s="321"/>
      <c r="AW2" s="321"/>
      <c r="AX2" s="321"/>
      <c r="AY2" s="321"/>
      <c r="AZ2" s="321"/>
      <c r="BA2" s="321"/>
      <c r="BB2" s="321"/>
      <c r="BC2" s="321"/>
      <c r="BD2" s="321"/>
      <c r="BE2" s="321"/>
      <c r="BF2" s="321"/>
      <c r="BG2" s="321"/>
      <c r="BH2" s="321"/>
      <c r="BI2" s="321"/>
      <c r="BJ2" s="321"/>
      <c r="BK2" s="321"/>
      <c r="BL2" s="321"/>
      <c r="BM2" s="321"/>
      <c r="BN2" s="321"/>
      <c r="BO2" s="321"/>
      <c r="BP2" s="321"/>
      <c r="BQ2" s="321"/>
      <c r="BR2" s="321"/>
      <c r="BS2" s="321"/>
      <c r="BT2" s="321"/>
      <c r="BU2" s="321"/>
      <c r="BV2" s="321"/>
      <c r="BW2" s="321"/>
      <c r="BX2" s="321"/>
      <c r="BY2" s="321"/>
      <c r="BZ2" s="321"/>
      <c r="CA2" s="321"/>
      <c r="CB2" s="321"/>
      <c r="CC2" s="321"/>
      <c r="CD2" s="321"/>
      <c r="CE2" s="321"/>
      <c r="CF2" s="321"/>
      <c r="CG2" s="321"/>
      <c r="CH2" s="321"/>
      <c r="CI2" s="321"/>
      <c r="CJ2" s="321"/>
      <c r="CK2" s="321"/>
      <c r="CL2" s="321"/>
      <c r="CM2" s="321"/>
      <c r="CN2" s="321"/>
      <c r="CO2" s="321"/>
      <c r="CP2" s="321"/>
      <c r="CQ2" s="321"/>
      <c r="CR2" s="321"/>
      <c r="CS2" s="321"/>
      <c r="CT2" s="321"/>
      <c r="CU2" s="321"/>
      <c r="CV2" s="321"/>
      <c r="CW2" s="321"/>
      <c r="CX2" s="321"/>
      <c r="CY2" s="321"/>
      <c r="CZ2" s="321"/>
      <c r="DA2" s="321"/>
      <c r="DB2" s="321"/>
      <c r="DC2" s="321"/>
      <c r="DD2" s="321"/>
      <c r="DE2" s="321"/>
      <c r="DF2" s="321"/>
      <c r="DG2" s="321"/>
      <c r="DH2" s="321"/>
      <c r="DI2" s="321"/>
      <c r="DJ2" s="321"/>
      <c r="DK2" s="321"/>
      <c r="DL2" s="321"/>
      <c r="DM2" s="321"/>
      <c r="DN2" s="321"/>
      <c r="DO2" s="321"/>
      <c r="DP2" s="321"/>
      <c r="DQ2" s="321"/>
      <c r="DR2" s="321"/>
      <c r="DS2" s="321"/>
      <c r="DT2" s="321"/>
      <c r="DU2" s="321"/>
      <c r="DV2" s="321"/>
      <c r="DW2" s="321"/>
      <c r="DX2" s="321"/>
      <c r="DY2" s="321"/>
      <c r="DZ2" s="321"/>
      <c r="EA2" s="321"/>
      <c r="EB2" s="321"/>
      <c r="EC2" s="321"/>
      <c r="ED2" s="321"/>
      <c r="EE2" s="321"/>
      <c r="EF2" s="321"/>
      <c r="EG2" s="321"/>
      <c r="EH2" s="321"/>
      <c r="EI2" s="321"/>
      <c r="EJ2" s="321"/>
      <c r="EK2" s="321"/>
      <c r="EL2" s="321"/>
      <c r="EM2" s="321"/>
      <c r="EN2" s="321"/>
      <c r="EO2" s="321"/>
      <c r="EP2" s="321"/>
      <c r="EQ2" s="321"/>
      <c r="ER2" s="321"/>
      <c r="ES2" s="321"/>
      <c r="ET2" s="321"/>
      <c r="EU2" s="321"/>
      <c r="EV2" s="321"/>
      <c r="EW2" s="321"/>
      <c r="EX2" s="321"/>
      <c r="EY2" s="321"/>
      <c r="EZ2" s="321"/>
      <c r="FA2" s="321"/>
      <c r="FB2" s="321"/>
      <c r="FC2" s="321"/>
      <c r="FD2" s="321"/>
      <c r="FE2" s="321"/>
      <c r="FF2" s="321"/>
      <c r="FG2" s="321"/>
      <c r="FH2" s="321"/>
      <c r="FI2" s="321"/>
      <c r="FJ2" s="321"/>
      <c r="FK2" s="321"/>
      <c r="FL2" s="321"/>
      <c r="FM2" s="321"/>
      <c r="FN2" s="321"/>
      <c r="FO2" s="321"/>
      <c r="FP2" s="321"/>
      <c r="FQ2" s="321"/>
      <c r="FR2" s="321"/>
      <c r="FS2" s="321"/>
      <c r="FT2" s="321"/>
      <c r="FU2" s="321"/>
      <c r="FV2" s="321"/>
      <c r="FW2" s="321"/>
      <c r="FX2" s="321"/>
      <c r="FY2" s="321"/>
      <c r="FZ2" s="321"/>
      <c r="GA2" s="321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21"/>
      <c r="GN2" s="321"/>
      <c r="GO2" s="321"/>
      <c r="GP2" s="321"/>
      <c r="GQ2" s="321"/>
      <c r="GR2" s="321"/>
      <c r="GS2" s="321"/>
      <c r="GT2" s="321"/>
      <c r="GU2" s="321"/>
      <c r="GV2" s="321"/>
      <c r="GW2" s="321"/>
      <c r="GX2" s="321"/>
      <c r="GY2" s="321"/>
      <c r="GZ2" s="321"/>
      <c r="HA2" s="321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  <c r="IB2" s="321"/>
      <c r="IC2" s="321"/>
      <c r="ID2" s="321"/>
      <c r="IE2" s="321"/>
      <c r="IF2" s="321"/>
      <c r="IG2" s="321"/>
      <c r="IH2" s="321"/>
      <c r="II2" s="321"/>
      <c r="IJ2" s="321"/>
    </row>
    <row r="3" spans="1:250" ht="13.35" customHeight="1">
      <c r="A3" s="322" t="s">
        <v>281</v>
      </c>
      <c r="B3" s="322"/>
      <c r="C3" s="322"/>
      <c r="D3" s="322"/>
      <c r="E3" s="322"/>
      <c r="F3" s="322"/>
      <c r="G3" s="322"/>
      <c r="H3" s="322"/>
      <c r="I3" s="322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  <c r="BG3" s="236"/>
      <c r="BH3" s="236"/>
      <c r="BI3" s="236"/>
      <c r="BJ3" s="236"/>
      <c r="BK3" s="236"/>
      <c r="BL3" s="236"/>
      <c r="BM3" s="236"/>
      <c r="BN3" s="236"/>
      <c r="BO3" s="236"/>
      <c r="BP3" s="236"/>
      <c r="BQ3" s="236"/>
      <c r="BR3" s="236"/>
      <c r="BS3" s="236"/>
      <c r="BT3" s="236"/>
      <c r="BU3" s="236"/>
      <c r="BV3" s="236"/>
      <c r="BW3" s="236"/>
      <c r="BX3" s="236"/>
      <c r="BY3" s="236"/>
      <c r="BZ3" s="236"/>
      <c r="CA3" s="236"/>
      <c r="CB3" s="236"/>
      <c r="CC3" s="236"/>
      <c r="CD3" s="236"/>
      <c r="CE3" s="236"/>
      <c r="CF3" s="236"/>
      <c r="CG3" s="236"/>
      <c r="CH3" s="236"/>
      <c r="CI3" s="236"/>
      <c r="CJ3" s="236"/>
      <c r="CK3" s="236"/>
      <c r="CL3" s="236"/>
      <c r="CM3" s="236"/>
      <c r="CN3" s="236"/>
      <c r="CO3" s="236"/>
      <c r="CP3" s="236"/>
      <c r="CQ3" s="236"/>
      <c r="CR3" s="236"/>
      <c r="CS3" s="236"/>
      <c r="CT3" s="236"/>
      <c r="CU3" s="236"/>
      <c r="CV3" s="236"/>
      <c r="CW3" s="236"/>
      <c r="CX3" s="236"/>
      <c r="CY3" s="236"/>
      <c r="CZ3" s="236"/>
      <c r="DA3" s="236"/>
      <c r="DB3" s="236"/>
      <c r="DC3" s="236"/>
      <c r="DD3" s="236"/>
      <c r="DE3" s="236"/>
      <c r="DF3" s="236"/>
      <c r="DG3" s="236"/>
      <c r="DH3" s="236"/>
      <c r="DI3" s="236"/>
      <c r="DJ3" s="236"/>
      <c r="DK3" s="236"/>
      <c r="DL3" s="236"/>
      <c r="DM3" s="236"/>
      <c r="DN3" s="236"/>
      <c r="DO3" s="236"/>
      <c r="DP3" s="236"/>
      <c r="DQ3" s="236"/>
      <c r="DR3" s="236"/>
      <c r="DS3" s="236"/>
      <c r="DT3" s="236"/>
      <c r="DU3" s="236"/>
      <c r="DV3" s="236"/>
      <c r="DW3" s="236"/>
      <c r="DX3" s="236"/>
      <c r="DY3" s="236"/>
      <c r="DZ3" s="236"/>
      <c r="EA3" s="236"/>
      <c r="EB3" s="236"/>
      <c r="EC3" s="236"/>
      <c r="ED3" s="236"/>
      <c r="EE3" s="236"/>
      <c r="EF3" s="236"/>
      <c r="EG3" s="236"/>
      <c r="EH3" s="236"/>
      <c r="EI3" s="236"/>
      <c r="EJ3" s="236"/>
      <c r="EK3" s="236"/>
      <c r="EL3" s="236"/>
      <c r="EM3" s="236"/>
      <c r="EN3" s="236"/>
      <c r="EO3" s="236"/>
      <c r="EP3" s="236"/>
      <c r="EQ3" s="236"/>
      <c r="ER3" s="236"/>
      <c r="ES3" s="236"/>
      <c r="ET3" s="236"/>
      <c r="EU3" s="236"/>
      <c r="EV3" s="236"/>
      <c r="EW3" s="236"/>
      <c r="EX3" s="236"/>
      <c r="EY3" s="236"/>
      <c r="EZ3" s="236"/>
      <c r="FA3" s="236"/>
      <c r="FB3" s="236"/>
      <c r="FC3" s="236"/>
      <c r="FD3" s="236"/>
      <c r="FE3" s="236"/>
      <c r="FF3" s="236"/>
      <c r="FG3" s="236"/>
      <c r="FH3" s="236"/>
      <c r="FI3" s="236"/>
      <c r="FJ3" s="236"/>
      <c r="FK3" s="236"/>
      <c r="FL3" s="236"/>
      <c r="FM3" s="236"/>
      <c r="FN3" s="236"/>
      <c r="FO3" s="236"/>
      <c r="FP3" s="236"/>
      <c r="FQ3" s="236"/>
      <c r="FR3" s="236"/>
      <c r="FS3" s="236"/>
      <c r="FT3" s="236"/>
      <c r="FU3" s="236"/>
      <c r="FV3" s="236"/>
      <c r="FW3" s="236"/>
      <c r="FX3" s="236"/>
      <c r="FY3" s="236"/>
      <c r="FZ3" s="236"/>
      <c r="GA3" s="236"/>
      <c r="GB3" s="236"/>
      <c r="GC3" s="236"/>
      <c r="GD3" s="236"/>
      <c r="GE3" s="236"/>
      <c r="GF3" s="236"/>
      <c r="GG3" s="236"/>
      <c r="GH3" s="236"/>
      <c r="GI3" s="236"/>
      <c r="GJ3" s="236"/>
      <c r="GK3" s="236"/>
      <c r="GL3" s="236"/>
      <c r="GM3" s="236"/>
      <c r="GN3" s="236"/>
      <c r="GO3" s="236"/>
      <c r="GP3" s="236"/>
      <c r="GQ3" s="236"/>
      <c r="GR3" s="236"/>
      <c r="GS3" s="236"/>
      <c r="GT3" s="236"/>
      <c r="GU3" s="236"/>
      <c r="GV3" s="236"/>
      <c r="GW3" s="236"/>
      <c r="GX3" s="236"/>
      <c r="GY3" s="236"/>
      <c r="GZ3" s="236"/>
      <c r="HA3" s="236"/>
      <c r="HB3" s="236"/>
      <c r="HC3" s="236"/>
      <c r="HD3" s="236"/>
      <c r="HE3" s="236"/>
      <c r="HF3" s="236"/>
      <c r="HG3" s="236"/>
      <c r="HH3" s="236"/>
      <c r="HI3" s="236"/>
      <c r="HJ3" s="236"/>
      <c r="HK3" s="236"/>
      <c r="HL3" s="236"/>
      <c r="HM3" s="236"/>
      <c r="HN3" s="236"/>
      <c r="HO3" s="236"/>
      <c r="HP3" s="236"/>
      <c r="HQ3" s="236"/>
      <c r="HR3" s="236"/>
      <c r="HS3" s="236"/>
      <c r="HT3" s="236"/>
      <c r="HU3" s="236"/>
      <c r="HV3" s="236"/>
      <c r="HW3" s="236"/>
      <c r="HX3" s="236"/>
      <c r="HY3" s="236"/>
      <c r="HZ3" s="236"/>
      <c r="IA3" s="236"/>
      <c r="IB3" s="236"/>
      <c r="IC3" s="236"/>
      <c r="ID3" s="236"/>
      <c r="IE3" s="236"/>
      <c r="IF3" s="236"/>
      <c r="IG3" s="236"/>
      <c r="IH3" s="236"/>
      <c r="II3" s="236"/>
      <c r="IJ3" s="236"/>
      <c r="IK3" s="236"/>
      <c r="IL3" s="236"/>
      <c r="IM3" s="236"/>
      <c r="IN3" s="236"/>
      <c r="IO3" s="236"/>
      <c r="IP3" s="236"/>
    </row>
    <row r="4" spans="1:250" ht="6.75" customHeight="1" thickBot="1">
      <c r="A4" s="323"/>
      <c r="B4" s="323"/>
      <c r="C4" s="323"/>
      <c r="D4" s="323"/>
      <c r="E4" s="323"/>
      <c r="F4" s="323"/>
      <c r="G4" s="323"/>
      <c r="H4" s="323"/>
      <c r="I4" s="323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B4" s="236"/>
      <c r="FC4" s="236"/>
      <c r="FD4" s="236"/>
      <c r="FE4" s="236"/>
      <c r="FF4" s="236"/>
      <c r="FG4" s="236"/>
      <c r="FH4" s="236"/>
      <c r="FI4" s="236"/>
      <c r="FJ4" s="236"/>
      <c r="FK4" s="236"/>
      <c r="FL4" s="236"/>
      <c r="FM4" s="236"/>
      <c r="FN4" s="236"/>
      <c r="FO4" s="236"/>
      <c r="FP4" s="236"/>
      <c r="FQ4" s="236"/>
      <c r="FR4" s="236"/>
      <c r="FS4" s="236"/>
      <c r="FT4" s="236"/>
      <c r="FU4" s="236"/>
      <c r="FV4" s="236"/>
      <c r="FW4" s="236"/>
      <c r="FX4" s="236"/>
      <c r="FY4" s="236"/>
      <c r="FZ4" s="236"/>
      <c r="GA4" s="236"/>
      <c r="GB4" s="236"/>
      <c r="GC4" s="236"/>
      <c r="GD4" s="236"/>
      <c r="GE4" s="236"/>
      <c r="GF4" s="236"/>
      <c r="GG4" s="236"/>
      <c r="GH4" s="236"/>
      <c r="GI4" s="236"/>
      <c r="GJ4" s="236"/>
      <c r="GK4" s="236"/>
      <c r="GL4" s="236"/>
      <c r="GM4" s="236"/>
      <c r="GN4" s="236"/>
      <c r="GO4" s="236"/>
      <c r="GP4" s="236"/>
      <c r="GQ4" s="236"/>
      <c r="GR4" s="236"/>
      <c r="GS4" s="236"/>
      <c r="GT4" s="236"/>
      <c r="GU4" s="236"/>
      <c r="GV4" s="236"/>
      <c r="GW4" s="236"/>
      <c r="GX4" s="236"/>
      <c r="GY4" s="236"/>
      <c r="GZ4" s="236"/>
      <c r="HA4" s="236"/>
      <c r="HB4" s="236"/>
      <c r="HC4" s="236"/>
      <c r="HD4" s="236"/>
      <c r="HE4" s="236"/>
      <c r="HF4" s="236"/>
      <c r="HG4" s="236"/>
      <c r="HH4" s="236"/>
      <c r="HI4" s="236"/>
      <c r="HJ4" s="236"/>
      <c r="HK4" s="236"/>
      <c r="HL4" s="236"/>
      <c r="HM4" s="236"/>
      <c r="HN4" s="236"/>
      <c r="HO4" s="236"/>
      <c r="HP4" s="236"/>
      <c r="HQ4" s="236"/>
      <c r="HR4" s="236"/>
      <c r="HS4" s="236"/>
      <c r="HT4" s="236"/>
      <c r="HU4" s="236"/>
      <c r="HV4" s="236"/>
      <c r="HW4" s="236"/>
      <c r="HX4" s="236"/>
      <c r="HY4" s="236"/>
      <c r="HZ4" s="236"/>
      <c r="IA4" s="236"/>
      <c r="IB4" s="236"/>
      <c r="IC4" s="236"/>
      <c r="ID4" s="236"/>
      <c r="IE4" s="236"/>
      <c r="IF4" s="236"/>
      <c r="IG4" s="236"/>
      <c r="IH4" s="236"/>
      <c r="II4" s="236"/>
      <c r="IJ4" s="236"/>
      <c r="IK4" s="236"/>
      <c r="IL4" s="236"/>
      <c r="IM4" s="236"/>
      <c r="IN4" s="236"/>
      <c r="IO4" s="236"/>
      <c r="IP4" s="236"/>
    </row>
    <row r="5" spans="1:250" ht="16.5" customHeight="1" thickBot="1">
      <c r="A5" s="319" t="s">
        <v>22</v>
      </c>
      <c r="B5" s="319"/>
      <c r="C5" s="227" t="s">
        <v>152</v>
      </c>
      <c r="D5" s="227" t="s">
        <v>152</v>
      </c>
      <c r="E5" s="227" t="s">
        <v>152</v>
      </c>
      <c r="F5" s="320" t="s">
        <v>153</v>
      </c>
      <c r="G5" s="320"/>
      <c r="H5" s="320"/>
      <c r="I5" s="320" t="s">
        <v>154</v>
      </c>
    </row>
    <row r="6" spans="1:250" ht="45" customHeight="1" thickBot="1">
      <c r="A6" s="319"/>
      <c r="B6" s="319"/>
      <c r="C6" s="227" t="s">
        <v>268</v>
      </c>
      <c r="D6" s="227" t="s">
        <v>269</v>
      </c>
      <c r="E6" s="227" t="s">
        <v>270</v>
      </c>
      <c r="F6" s="227" t="s">
        <v>26</v>
      </c>
      <c r="G6" s="227" t="s">
        <v>156</v>
      </c>
      <c r="H6" s="227" t="s">
        <v>271</v>
      </c>
      <c r="I6" s="320"/>
    </row>
    <row r="7" spans="1:250" ht="8.25" customHeight="1">
      <c r="A7" s="16"/>
      <c r="B7" s="16"/>
      <c r="C7" s="17"/>
      <c r="D7" s="17"/>
      <c r="E7" s="17"/>
      <c r="F7" s="17"/>
      <c r="G7" s="17"/>
      <c r="H7" s="17"/>
      <c r="I7" s="17"/>
    </row>
    <row r="8" spans="1:250" ht="12.95" customHeight="1">
      <c r="A8" s="293">
        <v>1984</v>
      </c>
      <c r="B8" s="18" t="s">
        <v>3</v>
      </c>
      <c r="C8" s="311">
        <v>6.5972825951961065</v>
      </c>
      <c r="D8" s="311">
        <v>1.8741747663975759</v>
      </c>
      <c r="E8" s="20">
        <v>1.3793603610712033</v>
      </c>
      <c r="F8" s="20">
        <v>1.7364657814096462</v>
      </c>
      <c r="G8" s="20">
        <v>1.7364657814096462</v>
      </c>
      <c r="H8" s="20">
        <v>7.0536074163644047</v>
      </c>
      <c r="I8" s="20">
        <v>5.5708782832338155</v>
      </c>
      <c r="J8" s="244"/>
      <c r="K8" s="244"/>
      <c r="L8" s="244"/>
      <c r="M8" s="244"/>
      <c r="N8" s="244"/>
    </row>
    <row r="9" spans="1:250" ht="12.95" customHeight="1">
      <c r="B9" s="18" t="s">
        <v>4</v>
      </c>
      <c r="C9" s="311">
        <v>6.7827483709646712</v>
      </c>
      <c r="D9" s="311">
        <v>1.9268624104328489</v>
      </c>
      <c r="E9" s="20">
        <v>1.4181375599768193</v>
      </c>
      <c r="F9" s="20">
        <v>2.8112449799196693</v>
      </c>
      <c r="G9" s="20">
        <v>4.5965270684372284</v>
      </c>
      <c r="H9" s="20">
        <v>11.183496199782873</v>
      </c>
      <c r="I9" s="20">
        <v>6.0079673892903251</v>
      </c>
      <c r="J9" s="244"/>
      <c r="K9" s="244"/>
      <c r="L9" s="244"/>
      <c r="M9" s="244"/>
      <c r="N9" s="244"/>
    </row>
    <row r="10" spans="1:250" ht="12.95" customHeight="1">
      <c r="B10" s="18" t="s">
        <v>5</v>
      </c>
      <c r="C10" s="311">
        <v>6.866373564503176</v>
      </c>
      <c r="D10" s="311">
        <v>1.950618892788039</v>
      </c>
      <c r="E10" s="20">
        <v>1.4356219219833692</v>
      </c>
      <c r="F10" s="20">
        <v>1.2329101562499778</v>
      </c>
      <c r="G10" s="20">
        <v>5.886108273748758</v>
      </c>
      <c r="H10" s="20">
        <v>11.916329284750349</v>
      </c>
      <c r="I10" s="20">
        <v>6.5161520819647656</v>
      </c>
      <c r="J10" s="244"/>
      <c r="K10" s="244"/>
      <c r="L10" s="244"/>
      <c r="M10" s="244"/>
      <c r="N10" s="244"/>
    </row>
    <row r="11" spans="1:250" ht="12.95" customHeight="1">
      <c r="B11" s="18" t="s">
        <v>6</v>
      </c>
      <c r="C11" s="311">
        <v>6.9740099522260044</v>
      </c>
      <c r="D11" s="311">
        <v>1.9811965433442245</v>
      </c>
      <c r="E11" s="20">
        <v>1.4581265463482358</v>
      </c>
      <c r="F11" s="20">
        <v>1.5675871216688897</v>
      </c>
      <c r="G11" s="20">
        <v>7.5459652706844071</v>
      </c>
      <c r="H11" s="20">
        <v>14.879978177850539</v>
      </c>
      <c r="I11" s="20">
        <v>7.3590191036003061</v>
      </c>
      <c r="J11" s="244"/>
      <c r="K11" s="244"/>
      <c r="L11" s="244"/>
      <c r="M11" s="244"/>
      <c r="N11" s="244"/>
    </row>
    <row r="12" spans="1:250" ht="12.95" customHeight="1">
      <c r="B12" s="18" t="s">
        <v>7</v>
      </c>
      <c r="C12" s="311">
        <v>7.0576351457645083</v>
      </c>
      <c r="D12" s="311">
        <v>2.0049530256994146</v>
      </c>
      <c r="E12" s="20">
        <v>1.4756109083547859</v>
      </c>
      <c r="F12" s="20">
        <v>1.1990977086548726</v>
      </c>
      <c r="G12" s="20">
        <v>8.8355464759959368</v>
      </c>
      <c r="H12" s="20">
        <v>15.220329818869981</v>
      </c>
      <c r="I12" s="20">
        <v>8.2602180304052872</v>
      </c>
      <c r="J12" s="244"/>
      <c r="K12" s="244"/>
      <c r="L12" s="244"/>
      <c r="M12" s="244"/>
      <c r="N12" s="244"/>
    </row>
    <row r="13" spans="1:250" ht="12.95" customHeight="1">
      <c r="B13" s="18" t="s">
        <v>8</v>
      </c>
      <c r="C13" s="311">
        <v>7.3615009480281843</v>
      </c>
      <c r="D13" s="311">
        <v>2.0912760853464913</v>
      </c>
      <c r="E13" s="20">
        <v>1.539143194061755</v>
      </c>
      <c r="F13" s="20">
        <v>4.3054903801032163</v>
      </c>
      <c r="G13" s="20">
        <v>13.521450459652717</v>
      </c>
      <c r="H13" s="20">
        <v>19.615229382483523</v>
      </c>
      <c r="I13" s="20">
        <v>9.4884356841745685</v>
      </c>
      <c r="J13" s="244"/>
      <c r="K13" s="244"/>
      <c r="L13" s="244"/>
      <c r="M13" s="244"/>
      <c r="N13" s="244"/>
    </row>
    <row r="14" spans="1:250" ht="12.95" customHeight="1">
      <c r="B14" s="18" t="s">
        <v>9</v>
      </c>
      <c r="C14" s="311">
        <v>7.4567177525522252</v>
      </c>
      <c r="D14" s="311">
        <v>2.1183255454538865</v>
      </c>
      <c r="E14" s="20">
        <v>1.5590511309999067</v>
      </c>
      <c r="F14" s="20">
        <v>1.2934428073333004</v>
      </c>
      <c r="G14" s="20">
        <v>14.989785495403529</v>
      </c>
      <c r="H14" s="20">
        <v>20.740045582517787</v>
      </c>
      <c r="I14" s="20">
        <v>10.800322262189809</v>
      </c>
      <c r="J14" s="244"/>
      <c r="K14" s="244"/>
      <c r="L14" s="244"/>
      <c r="M14" s="244"/>
      <c r="N14" s="244"/>
    </row>
    <row r="15" spans="1:250" ht="12.95" customHeight="1">
      <c r="B15" s="18" t="s">
        <v>10</v>
      </c>
      <c r="C15" s="311">
        <v>7.4906646132955785</v>
      </c>
      <c r="D15" s="311">
        <v>2.1279692660139142</v>
      </c>
      <c r="E15" s="20">
        <v>1.5661487432995955</v>
      </c>
      <c r="F15" s="20">
        <v>0.45525205418610604</v>
      </c>
      <c r="G15" s="20">
        <v>15.513278855975553</v>
      </c>
      <c r="H15" s="20">
        <v>20.130128800956104</v>
      </c>
      <c r="I15" s="20">
        <v>12.012154483942773</v>
      </c>
      <c r="J15" s="244"/>
      <c r="K15" s="244"/>
      <c r="L15" s="244"/>
      <c r="M15" s="244"/>
      <c r="N15" s="244"/>
    </row>
    <row r="16" spans="1:250" ht="12.95" customHeight="1">
      <c r="B16" s="22" t="s">
        <v>11</v>
      </c>
      <c r="C16" s="311">
        <v>7.8417248317146475</v>
      </c>
      <c r="D16" s="311">
        <v>2.2276994493663951</v>
      </c>
      <c r="E16" s="20">
        <v>1.6395484412280827</v>
      </c>
      <c r="F16" s="20">
        <v>4.6866364540731453</v>
      </c>
      <c r="G16" s="20">
        <v>20.926966292134864</v>
      </c>
      <c r="H16" s="20">
        <v>24.815498154981562</v>
      </c>
      <c r="I16" s="20">
        <v>13.650065235974274</v>
      </c>
      <c r="J16" s="244"/>
      <c r="K16" s="244"/>
      <c r="L16" s="244"/>
      <c r="M16" s="244"/>
      <c r="N16" s="244"/>
    </row>
    <row r="17" spans="1:14" ht="12.95" customHeight="1">
      <c r="B17" s="18" t="s">
        <v>12</v>
      </c>
      <c r="C17" s="311">
        <v>8.0255346630567086</v>
      </c>
      <c r="D17" s="311">
        <v>2.2799166680084966</v>
      </c>
      <c r="E17" s="20">
        <v>1.6779794151434704</v>
      </c>
      <c r="F17" s="20">
        <v>2.3439974659486884</v>
      </c>
      <c r="G17" s="20">
        <v>23.761491317671137</v>
      </c>
      <c r="H17" s="20">
        <v>26.309616888193933</v>
      </c>
      <c r="I17" s="20">
        <v>15.404340133921579</v>
      </c>
      <c r="J17" s="244"/>
      <c r="K17" s="244"/>
      <c r="L17" s="244"/>
      <c r="M17" s="244"/>
      <c r="N17" s="244"/>
    </row>
    <row r="18" spans="1:14" ht="12.95" customHeight="1">
      <c r="B18" s="18" t="s">
        <v>13</v>
      </c>
      <c r="C18" s="311">
        <v>8.279722132525233</v>
      </c>
      <c r="D18" s="311">
        <v>2.3521269658604114</v>
      </c>
      <c r="E18" s="20">
        <v>1.7311249511435784</v>
      </c>
      <c r="F18" s="20">
        <v>3.1672340864541626</v>
      </c>
      <c r="G18" s="20">
        <v>27.68130745658841</v>
      </c>
      <c r="H18" s="20">
        <v>29.483361388061692</v>
      </c>
      <c r="I18" s="20">
        <v>17.373089093907424</v>
      </c>
      <c r="J18" s="244"/>
      <c r="K18" s="244"/>
      <c r="L18" s="244"/>
      <c r="M18" s="244"/>
      <c r="N18" s="244"/>
    </row>
    <row r="19" spans="1:14" ht="12.95" customHeight="1">
      <c r="B19" s="18" t="s">
        <v>14</v>
      </c>
      <c r="C19" s="311">
        <v>8.9901222914958971</v>
      </c>
      <c r="D19" s="311">
        <v>2.5539394595312341</v>
      </c>
      <c r="E19" s="20">
        <v>1.8796554719516971</v>
      </c>
      <c r="F19" s="20">
        <v>8.5799999999999876</v>
      </c>
      <c r="G19" s="20">
        <v>38.636363636363669</v>
      </c>
      <c r="H19" s="20">
        <v>38.636363636363669</v>
      </c>
      <c r="I19" s="20">
        <v>20.151678105354208</v>
      </c>
      <c r="J19" s="244"/>
      <c r="K19" s="244"/>
      <c r="L19" s="244"/>
      <c r="M19" s="244"/>
      <c r="N19" s="244"/>
    </row>
    <row r="20" spans="1:14" ht="7.5" customHeight="1">
      <c r="C20" s="311"/>
      <c r="D20" s="311"/>
      <c r="E20" s="20"/>
      <c r="F20" s="20"/>
      <c r="G20" s="20"/>
      <c r="H20" s="20"/>
      <c r="I20" s="20"/>
      <c r="J20" s="1"/>
      <c r="K20" s="1"/>
      <c r="L20" s="1"/>
      <c r="M20" s="1"/>
      <c r="N20" s="1"/>
    </row>
    <row r="21" spans="1:14" ht="12.95" customHeight="1">
      <c r="A21" s="293">
        <v>1985</v>
      </c>
      <c r="B21" s="18" t="s">
        <v>3</v>
      </c>
      <c r="C21" s="311">
        <v>9.6400804788991294</v>
      </c>
      <c r="D21" s="311">
        <v>2.7385814263512769</v>
      </c>
      <c r="E21" s="20">
        <v>2.0155487806164682</v>
      </c>
      <c r="F21" s="20">
        <v>7.2296923927058554</v>
      </c>
      <c r="G21" s="20">
        <v>7.2296923927058554</v>
      </c>
      <c r="H21" s="20">
        <v>46.12198795180722</v>
      </c>
      <c r="I21" s="20">
        <v>23.507429780854604</v>
      </c>
      <c r="J21" s="244"/>
      <c r="K21" s="244"/>
      <c r="L21" s="244"/>
      <c r="M21" s="244"/>
      <c r="N21" s="244"/>
    </row>
    <row r="22" spans="1:14" ht="12.95" customHeight="1">
      <c r="B22" s="18" t="s">
        <v>4</v>
      </c>
      <c r="C22" s="311">
        <v>10.226284805881916</v>
      </c>
      <c r="D22" s="311">
        <v>2.9051120155341938</v>
      </c>
      <c r="E22" s="20">
        <v>2.1381124271574334</v>
      </c>
      <c r="F22" s="20">
        <v>6.0809069827364004</v>
      </c>
      <c r="G22" s="20">
        <v>13.750230244980655</v>
      </c>
      <c r="H22" s="20">
        <v>50.76904296875</v>
      </c>
      <c r="I22" s="20">
        <v>26.939043041293488</v>
      </c>
      <c r="J22" s="244"/>
      <c r="K22" s="244"/>
      <c r="L22" s="244"/>
      <c r="M22" s="244"/>
      <c r="N22" s="244"/>
    </row>
    <row r="23" spans="1:14" ht="12.95" customHeight="1">
      <c r="B23" s="18" t="s">
        <v>5</v>
      </c>
      <c r="C23" s="311">
        <v>10.398503026238441</v>
      </c>
      <c r="D23" s="311">
        <v>2.9540362564240907</v>
      </c>
      <c r="E23" s="20">
        <v>2.17411982614122</v>
      </c>
      <c r="F23" s="20">
        <v>1.6840741640353096</v>
      </c>
      <c r="G23" s="20">
        <v>15.665868484067058</v>
      </c>
      <c r="H23" s="20">
        <v>51.440974315687946</v>
      </c>
      <c r="I23" s="20">
        <v>30.342014433636642</v>
      </c>
      <c r="J23" s="244"/>
      <c r="K23" s="244"/>
      <c r="L23" s="244"/>
      <c r="M23" s="244"/>
      <c r="N23" s="244"/>
    </row>
    <row r="24" spans="1:14" ht="12.95" customHeight="1">
      <c r="B24" s="18" t="s">
        <v>6</v>
      </c>
      <c r="C24" s="311">
        <v>10.507795358387773</v>
      </c>
      <c r="D24" s="311">
        <v>2.9850843323734475</v>
      </c>
      <c r="E24" s="20">
        <v>2.1969706754963148</v>
      </c>
      <c r="F24" s="20">
        <v>1.0510390954693527</v>
      </c>
      <c r="G24" s="20">
        <v>16.881561981948789</v>
      </c>
      <c r="H24" s="20">
        <v>50.670782381574256</v>
      </c>
      <c r="I24" s="20">
        <v>33.385375451804002</v>
      </c>
      <c r="J24" s="244"/>
      <c r="K24" s="244"/>
      <c r="L24" s="244"/>
      <c r="M24" s="244"/>
      <c r="N24" s="244"/>
    </row>
    <row r="25" spans="1:14" ht="12.95" customHeight="1">
      <c r="B25" s="18" t="s">
        <v>7</v>
      </c>
      <c r="C25" s="311">
        <v>10.787649966467125</v>
      </c>
      <c r="D25" s="311">
        <v>3.0645862238195294</v>
      </c>
      <c r="E25" s="20">
        <v>2.2554826988449679</v>
      </c>
      <c r="F25" s="20">
        <v>2.6633047041210389</v>
      </c>
      <c r="G25" s="20">
        <v>19.994474120464179</v>
      </c>
      <c r="H25" s="20">
        <v>52.85077428437355</v>
      </c>
      <c r="I25" s="20">
        <v>36.558537616229934</v>
      </c>
      <c r="J25" s="244"/>
      <c r="K25" s="244"/>
      <c r="L25" s="244"/>
      <c r="M25" s="244"/>
      <c r="N25" s="244"/>
    </row>
    <row r="26" spans="1:14" ht="12.95" customHeight="1">
      <c r="B26" s="18" t="s">
        <v>8</v>
      </c>
      <c r="C26" s="311">
        <v>10.916813631734518</v>
      </c>
      <c r="D26" s="311">
        <v>3.1012794044869518</v>
      </c>
      <c r="E26" s="20">
        <v>2.2824882480828075</v>
      </c>
      <c r="F26" s="20">
        <v>1.1973290352290888</v>
      </c>
      <c r="G26" s="20">
        <v>21.431202799778948</v>
      </c>
      <c r="H26" s="20">
        <v>48.296029692947926</v>
      </c>
      <c r="I26" s="20">
        <v>38.955025078565633</v>
      </c>
      <c r="J26" s="244"/>
      <c r="K26" s="244"/>
      <c r="L26" s="244"/>
      <c r="M26" s="244"/>
      <c r="N26" s="244"/>
    </row>
    <row r="27" spans="1:14" ht="12.95" customHeight="1">
      <c r="B27" s="18" t="s">
        <v>9</v>
      </c>
      <c r="C27" s="311">
        <v>11.039353519295894</v>
      </c>
      <c r="D27" s="311">
        <v>3.1360908835816863</v>
      </c>
      <c r="E27" s="20">
        <v>2.3081088973597326</v>
      </c>
      <c r="F27" s="20">
        <v>1.1224876753886948</v>
      </c>
      <c r="G27" s="20">
        <v>22.794253085282733</v>
      </c>
      <c r="H27" s="20">
        <v>48.045747279591346</v>
      </c>
      <c r="I27" s="20">
        <v>41.184904500998542</v>
      </c>
      <c r="J27" s="244"/>
      <c r="K27" s="244"/>
      <c r="L27" s="244"/>
      <c r="M27" s="244"/>
      <c r="N27" s="244"/>
    </row>
    <row r="28" spans="1:14" ht="12.95" customHeight="1">
      <c r="B28" s="18" t="s">
        <v>10</v>
      </c>
      <c r="C28" s="311">
        <v>11.053429046921186</v>
      </c>
      <c r="D28" s="311">
        <v>3.1400894994236492</v>
      </c>
      <c r="E28" s="20">
        <v>2.3110518097766768</v>
      </c>
      <c r="F28" s="20">
        <v>0.1275031875797028</v>
      </c>
      <c r="G28" s="20">
        <v>22.95081967213115</v>
      </c>
      <c r="H28" s="20">
        <v>47.562727976124641</v>
      </c>
      <c r="I28" s="20">
        <v>43.365839392503112</v>
      </c>
      <c r="J28" s="244"/>
      <c r="K28" s="244"/>
      <c r="L28" s="244"/>
      <c r="M28" s="244"/>
      <c r="N28" s="244"/>
    </row>
    <row r="29" spans="1:14" ht="12.95" customHeight="1">
      <c r="B29" s="18" t="s">
        <v>11</v>
      </c>
      <c r="C29" s="311">
        <v>11.257938183594559</v>
      </c>
      <c r="D29" s="311">
        <v>3.1981870354804012</v>
      </c>
      <c r="E29" s="20">
        <v>2.3538105960699229</v>
      </c>
      <c r="F29" s="20">
        <v>1.8501872659175911</v>
      </c>
      <c r="G29" s="20">
        <v>25.225640081046219</v>
      </c>
      <c r="H29" s="20">
        <v>43.564565515785027</v>
      </c>
      <c r="I29" s="20">
        <v>44.777522663394187</v>
      </c>
      <c r="J29" s="244"/>
      <c r="K29" s="244"/>
      <c r="L29" s="244"/>
      <c r="M29" s="244"/>
      <c r="N29" s="244"/>
    </row>
    <row r="30" spans="1:14" ht="12.95" customHeight="1">
      <c r="B30" s="18" t="s">
        <v>12</v>
      </c>
      <c r="C30" s="311">
        <v>11.328315821721024</v>
      </c>
      <c r="D30" s="311">
        <v>3.2181801146902145</v>
      </c>
      <c r="E30" s="20">
        <v>2.3685251581546432</v>
      </c>
      <c r="F30" s="20">
        <v>0.62513789806573072</v>
      </c>
      <c r="G30" s="20">
        <v>26.008473015288235</v>
      </c>
      <c r="H30" s="20">
        <v>41.153409677086515</v>
      </c>
      <c r="I30" s="20">
        <v>45.811785024693648</v>
      </c>
      <c r="J30" s="244"/>
      <c r="K30" s="244"/>
      <c r="L30" s="244"/>
      <c r="M30" s="244"/>
      <c r="N30" s="244"/>
    </row>
    <row r="31" spans="1:14" ht="12.95" customHeight="1">
      <c r="B31" s="18" t="s">
        <v>13</v>
      </c>
      <c r="C31" s="311">
        <v>11.481490681172739</v>
      </c>
      <c r="D31" s="311">
        <v>3.2616944635586318</v>
      </c>
      <c r="E31" s="20">
        <v>2.4005509697507992</v>
      </c>
      <c r="F31" s="20">
        <v>1.3521414997807346</v>
      </c>
      <c r="G31" s="20">
        <v>27.712285872167964</v>
      </c>
      <c r="H31" s="20">
        <v>38.669999999999938</v>
      </c>
      <c r="I31" s="20">
        <v>46.330928422251752</v>
      </c>
      <c r="J31" s="244"/>
      <c r="K31" s="244"/>
      <c r="L31" s="244"/>
      <c r="M31" s="244"/>
      <c r="N31" s="244"/>
    </row>
    <row r="32" spans="1:14" ht="12.95" customHeight="1">
      <c r="B32" s="18" t="s">
        <v>14</v>
      </c>
      <c r="C32" s="311">
        <v>11.763829205891852</v>
      </c>
      <c r="D32" s="311">
        <v>3.3419019930944724</v>
      </c>
      <c r="E32" s="20">
        <v>2.4595823305847957</v>
      </c>
      <c r="F32" s="20">
        <v>2.4590755029927358</v>
      </c>
      <c r="G32" s="20">
        <v>30.852827408362483</v>
      </c>
      <c r="H32" s="20">
        <v>30.852827408362483</v>
      </c>
      <c r="I32" s="20">
        <v>45.336175553217785</v>
      </c>
      <c r="J32" s="244"/>
      <c r="K32" s="244"/>
      <c r="L32" s="244"/>
      <c r="M32" s="244"/>
      <c r="N32" s="244"/>
    </row>
    <row r="33" spans="1:14" ht="7.5" customHeight="1">
      <c r="B33" s="18"/>
      <c r="C33" s="311"/>
      <c r="D33" s="311"/>
      <c r="E33" s="20"/>
      <c r="F33" s="20"/>
      <c r="G33" s="20"/>
      <c r="H33" s="20"/>
      <c r="I33" s="20"/>
      <c r="J33" s="1"/>
      <c r="K33" s="1"/>
      <c r="L33" s="1"/>
      <c r="M33" s="1"/>
      <c r="N33" s="1"/>
    </row>
    <row r="34" spans="1:14" ht="12.95" customHeight="1">
      <c r="A34" s="293">
        <v>1986</v>
      </c>
      <c r="B34" s="18" t="s">
        <v>3</v>
      </c>
      <c r="C34" s="311">
        <v>11.80936767762074</v>
      </c>
      <c r="D34" s="311">
        <v>3.3548386914067043</v>
      </c>
      <c r="E34" s="20">
        <v>2.4691035178160847</v>
      </c>
      <c r="F34" s="20">
        <v>0.38710585585584045</v>
      </c>
      <c r="G34" s="20">
        <v>0.38710585585584045</v>
      </c>
      <c r="H34" s="20">
        <v>22.502791376792874</v>
      </c>
      <c r="I34" s="20">
        <v>42.907507073303464</v>
      </c>
      <c r="J34" s="244"/>
      <c r="K34" s="244"/>
      <c r="L34" s="244"/>
      <c r="M34" s="244"/>
      <c r="N34" s="244"/>
    </row>
    <row r="35" spans="1:14" ht="12.95" customHeight="1">
      <c r="B35" s="18" t="s">
        <v>4</v>
      </c>
      <c r="C35" s="311">
        <v>11.668612401367811</v>
      </c>
      <c r="D35" s="311">
        <v>3.3148525329870777</v>
      </c>
      <c r="E35" s="20">
        <v>2.4396743936466443</v>
      </c>
      <c r="F35" s="20">
        <v>-1.1918951132300237</v>
      </c>
      <c r="G35" s="20">
        <v>-0.80940315315316536</v>
      </c>
      <c r="H35" s="20">
        <v>14.104121123795622</v>
      </c>
      <c r="I35" s="20">
        <v>39.291738382099759</v>
      </c>
      <c r="J35" s="244"/>
      <c r="K35" s="244"/>
      <c r="L35" s="244"/>
      <c r="M35" s="244"/>
      <c r="N35" s="244"/>
    </row>
    <row r="36" spans="1:14" ht="12.95" customHeight="1">
      <c r="B36" s="18" t="s">
        <v>5</v>
      </c>
      <c r="C36" s="311">
        <v>11.521233347408861</v>
      </c>
      <c r="D36" s="311">
        <v>3.2729846729947618</v>
      </c>
      <c r="E36" s="20">
        <v>2.408860369516288</v>
      </c>
      <c r="F36" s="20">
        <v>-1.2630383878521445</v>
      </c>
      <c r="G36" s="20">
        <v>-2.0622184684685019</v>
      </c>
      <c r="H36" s="20">
        <v>10.797037980730884</v>
      </c>
      <c r="I36" s="20">
        <v>35.484701077482427</v>
      </c>
      <c r="J36" s="244"/>
      <c r="K36" s="244"/>
      <c r="L36" s="244"/>
      <c r="M36" s="244"/>
      <c r="N36" s="244"/>
    </row>
    <row r="37" spans="1:14" ht="12.95" customHeight="1">
      <c r="B37" s="18" t="s">
        <v>6</v>
      </c>
      <c r="C37" s="311">
        <v>11.48811445887876</v>
      </c>
      <c r="D37" s="311">
        <v>3.2635761651313202</v>
      </c>
      <c r="E37" s="20">
        <v>2.4019358697117137</v>
      </c>
      <c r="F37" s="20">
        <v>-0.28745957599712879</v>
      </c>
      <c r="G37" s="20">
        <v>-2.3437500000000333</v>
      </c>
      <c r="H37" s="20">
        <v>9.3294460641399013</v>
      </c>
      <c r="I37" s="20">
        <v>31.798066285054595</v>
      </c>
      <c r="J37" s="244"/>
      <c r="K37" s="244"/>
      <c r="L37" s="244"/>
      <c r="M37" s="244"/>
      <c r="N37" s="244"/>
    </row>
    <row r="38" spans="1:14" ht="12.95" customHeight="1">
      <c r="B38" s="18" t="s">
        <v>7</v>
      </c>
      <c r="C38" s="311">
        <v>11.397865487634235</v>
      </c>
      <c r="D38" s="311">
        <v>3.2379379812034417</v>
      </c>
      <c r="E38" s="20">
        <v>2.3830666077442486</v>
      </c>
      <c r="F38" s="20">
        <v>-0.78558558558559088</v>
      </c>
      <c r="G38" s="20">
        <v>-3.1109234234234617</v>
      </c>
      <c r="H38" s="20">
        <v>5.6566121728451435</v>
      </c>
      <c r="I38" s="20">
        <v>27.774123909965255</v>
      </c>
      <c r="J38" s="244"/>
      <c r="K38" s="244"/>
      <c r="L38" s="244"/>
      <c r="M38" s="244"/>
      <c r="N38" s="244"/>
    </row>
    <row r="39" spans="1:14" ht="12.95" customHeight="1">
      <c r="B39" s="18" t="s">
        <v>8</v>
      </c>
      <c r="C39" s="311">
        <v>11.410285070833023</v>
      </c>
      <c r="D39" s="311">
        <v>3.2414661716522324</v>
      </c>
      <c r="E39" s="20">
        <v>2.3856632951709638</v>
      </c>
      <c r="F39" s="20">
        <v>0.10896411448495513</v>
      </c>
      <c r="G39" s="20">
        <v>-3.0053490990991416</v>
      </c>
      <c r="H39" s="20">
        <v>4.5202882062949978</v>
      </c>
      <c r="I39" s="20">
        <v>24.111642814884693</v>
      </c>
      <c r="J39" s="244"/>
      <c r="K39" s="244"/>
      <c r="L39" s="244"/>
      <c r="M39" s="244"/>
      <c r="N39" s="244"/>
    </row>
    <row r="40" spans="1:14" ht="12.95" customHeight="1">
      <c r="B40" s="18" t="s">
        <v>9</v>
      </c>
      <c r="C40" s="311">
        <v>11.479834736746236</v>
      </c>
      <c r="D40" s="311">
        <v>3.26122403816546</v>
      </c>
      <c r="E40" s="20">
        <v>2.4002047447605697</v>
      </c>
      <c r="F40" s="20">
        <v>0.60953486684565128</v>
      </c>
      <c r="G40" s="20">
        <v>-2.4141328828829356</v>
      </c>
      <c r="H40" s="20">
        <v>3.9900997524937587</v>
      </c>
      <c r="I40" s="20">
        <v>20.602060060931304</v>
      </c>
      <c r="J40" s="244"/>
      <c r="K40" s="244"/>
      <c r="L40" s="244"/>
      <c r="M40" s="244"/>
      <c r="N40" s="244"/>
    </row>
    <row r="41" spans="1:14" ht="12.95" customHeight="1">
      <c r="B41" s="18" t="s">
        <v>10</v>
      </c>
      <c r="C41" s="311">
        <v>11.498878097651042</v>
      </c>
      <c r="D41" s="311">
        <v>3.2666339301869387</v>
      </c>
      <c r="E41" s="20">
        <v>2.4041863321481998</v>
      </c>
      <c r="F41" s="20">
        <v>0.16588532275514378</v>
      </c>
      <c r="G41" s="20">
        <v>-2.252252252252307</v>
      </c>
      <c r="H41" s="20">
        <v>4.0299625468164235</v>
      </c>
      <c r="I41" s="20">
        <v>17.330106989863701</v>
      </c>
      <c r="J41" s="244"/>
      <c r="K41" s="244"/>
      <c r="L41" s="244"/>
      <c r="M41" s="244"/>
      <c r="N41" s="244"/>
    </row>
    <row r="42" spans="1:14" ht="12.95" customHeight="1">
      <c r="B42" s="18" t="s">
        <v>11</v>
      </c>
      <c r="C42" s="311">
        <v>11.796948094421952</v>
      </c>
      <c r="D42" s="311">
        <v>3.3513105009579136</v>
      </c>
      <c r="E42" s="20">
        <v>2.4665068303893682</v>
      </c>
      <c r="F42" s="20">
        <v>2.5921658986175045</v>
      </c>
      <c r="G42" s="20">
        <v>0.28153153153145372</v>
      </c>
      <c r="H42" s="20">
        <v>4.7878208428329128</v>
      </c>
      <c r="I42" s="20">
        <v>14.465886020138164</v>
      </c>
      <c r="J42" s="244"/>
      <c r="K42" s="244"/>
      <c r="L42" s="244"/>
      <c r="M42" s="244"/>
      <c r="N42" s="244"/>
    </row>
    <row r="43" spans="1:14" ht="12.95" customHeight="1">
      <c r="B43" s="18" t="s">
        <v>12</v>
      </c>
      <c r="C43" s="311">
        <v>11.97661806469775</v>
      </c>
      <c r="D43" s="311">
        <v>3.4023516561170846</v>
      </c>
      <c r="E43" s="20">
        <v>2.5040722418291836</v>
      </c>
      <c r="F43" s="20">
        <v>1.5230207748455848</v>
      </c>
      <c r="G43" s="20">
        <v>1.8088400900900137</v>
      </c>
      <c r="H43" s="20">
        <v>5.7228475369097476</v>
      </c>
      <c r="I43" s="20">
        <v>11.948522072425693</v>
      </c>
      <c r="J43" s="244"/>
      <c r="K43" s="244"/>
      <c r="L43" s="244"/>
      <c r="M43" s="244"/>
      <c r="N43" s="244"/>
    </row>
    <row r="44" spans="1:14" ht="12.95" customHeight="1">
      <c r="B44" s="18" t="s">
        <v>13</v>
      </c>
      <c r="C44" s="311">
        <v>12.033748147412174</v>
      </c>
      <c r="D44" s="311">
        <v>3.4185813321815219</v>
      </c>
      <c r="E44" s="20">
        <v>2.5160170039920748</v>
      </c>
      <c r="F44" s="20">
        <v>0.47701348081579109</v>
      </c>
      <c r="G44" s="20">
        <v>2.2944819819819218</v>
      </c>
      <c r="H44" s="20">
        <v>4.8099805293141618</v>
      </c>
      <c r="I44" s="20">
        <v>9.5728048266242372</v>
      </c>
      <c r="J44" s="244"/>
      <c r="K44" s="244"/>
      <c r="L44" s="244"/>
      <c r="M44" s="244"/>
      <c r="N44" s="244"/>
    </row>
    <row r="45" spans="1:14" ht="12.95" customHeight="1">
      <c r="B45" s="18" t="s">
        <v>14</v>
      </c>
      <c r="C45" s="311">
        <v>12.281311839174679</v>
      </c>
      <c r="D45" s="311">
        <v>3.4889099284607479</v>
      </c>
      <c r="E45" s="20">
        <v>2.5677776400312675</v>
      </c>
      <c r="F45" s="20">
        <v>2.0572450805008913</v>
      </c>
      <c r="G45" s="20">
        <v>4.3989301801801162</v>
      </c>
      <c r="H45" s="20">
        <v>4.3989301801801162</v>
      </c>
      <c r="I45" s="20">
        <v>7.638972665798871</v>
      </c>
      <c r="J45" s="244"/>
      <c r="K45" s="244"/>
      <c r="L45" s="244"/>
      <c r="M45" s="244"/>
      <c r="N45" s="244"/>
    </row>
    <row r="46" spans="1:14" ht="7.5" customHeight="1">
      <c r="C46" s="311"/>
      <c r="D46" s="311"/>
      <c r="E46" s="20"/>
      <c r="F46" s="20"/>
      <c r="G46" s="20"/>
      <c r="H46" s="20"/>
      <c r="I46" s="20"/>
    </row>
    <row r="47" spans="1:14" ht="12.95" customHeight="1">
      <c r="A47" s="293">
        <v>1987</v>
      </c>
      <c r="B47" s="18" t="s">
        <v>3</v>
      </c>
      <c r="C47" s="311">
        <v>12.195202728996415</v>
      </c>
      <c r="D47" s="311">
        <v>3.4644478080157994</v>
      </c>
      <c r="E47" s="20">
        <v>2.5497739405393745</v>
      </c>
      <c r="F47" s="20">
        <v>-0.70113935144608952</v>
      </c>
      <c r="G47" s="20">
        <v>-0.70113935144608952</v>
      </c>
      <c r="H47" s="20">
        <v>3.2671948397952288</v>
      </c>
      <c r="I47" s="20">
        <v>6.168691253161751</v>
      </c>
      <c r="J47" s="244"/>
      <c r="K47" s="244"/>
      <c r="L47" s="244"/>
      <c r="M47" s="244"/>
      <c r="N47" s="244"/>
    </row>
    <row r="48" spans="1:14" ht="12.95" customHeight="1">
      <c r="B48" s="18" t="s">
        <v>4</v>
      </c>
      <c r="C48" s="311">
        <v>12.251504839497587</v>
      </c>
      <c r="D48" s="311">
        <v>3.4804422713836503</v>
      </c>
      <c r="E48" s="20">
        <v>2.5615455902071504</v>
      </c>
      <c r="F48" s="20">
        <v>0.4616742480820113</v>
      </c>
      <c r="G48" s="20">
        <v>-0.24270208319289166</v>
      </c>
      <c r="H48" s="20">
        <v>4.9953877811678815</v>
      </c>
      <c r="I48" s="20">
        <v>5.4609933459782045</v>
      </c>
      <c r="J48" s="244"/>
      <c r="K48" s="244"/>
      <c r="L48" s="244"/>
      <c r="M48" s="244"/>
      <c r="N48" s="244"/>
    </row>
    <row r="49" spans="1:14" ht="12.95" customHeight="1">
      <c r="B49" s="18" t="s">
        <v>5</v>
      </c>
      <c r="C49" s="311">
        <v>12.37404472705896</v>
      </c>
      <c r="D49" s="311">
        <v>3.5152537504783843</v>
      </c>
      <c r="E49" s="20">
        <v>2.5871662394840751</v>
      </c>
      <c r="F49" s="20">
        <v>1.0002027437994165</v>
      </c>
      <c r="G49" s="20">
        <v>0.75507314771117162</v>
      </c>
      <c r="H49" s="20">
        <v>7.4020840819259304</v>
      </c>
      <c r="I49" s="20">
        <v>5.2158835386886704</v>
      </c>
      <c r="J49" s="244"/>
      <c r="K49" s="244"/>
      <c r="L49" s="244"/>
      <c r="M49" s="244"/>
      <c r="N49" s="244"/>
    </row>
    <row r="50" spans="1:14" ht="12.95" customHeight="1">
      <c r="B50" s="18" t="s">
        <v>6</v>
      </c>
      <c r="C50" s="311">
        <v>12.591801419144375</v>
      </c>
      <c r="D50" s="311">
        <v>3.5771146896805135</v>
      </c>
      <c r="E50" s="20">
        <v>2.6326948256991516</v>
      </c>
      <c r="F50" s="20">
        <v>1.7597858815657563</v>
      </c>
      <c r="G50" s="20">
        <v>2.5281466999258484</v>
      </c>
      <c r="H50" s="20">
        <v>9.607207207207157</v>
      </c>
      <c r="I50" s="20">
        <v>5.2689525964584982</v>
      </c>
      <c r="J50" s="244"/>
      <c r="K50" s="244"/>
      <c r="L50" s="244"/>
      <c r="M50" s="244"/>
      <c r="N50" s="244"/>
    </row>
    <row r="51" spans="1:14" ht="12.95" customHeight="1">
      <c r="B51" s="18" t="s">
        <v>7</v>
      </c>
      <c r="C51" s="311">
        <v>12.768987472780415</v>
      </c>
      <c r="D51" s="311">
        <v>3.6274502067499261</v>
      </c>
      <c r="E51" s="20">
        <v>2.669740899653624</v>
      </c>
      <c r="F51" s="20">
        <v>1.4071541294055745</v>
      </c>
      <c r="G51" s="20">
        <v>3.9708757500168446</v>
      </c>
      <c r="H51" s="20">
        <v>12.029638239139873</v>
      </c>
      <c r="I51" s="20">
        <v>5.8019547761211543</v>
      </c>
      <c r="J51" s="244"/>
      <c r="K51" s="244"/>
      <c r="L51" s="244"/>
      <c r="M51" s="244"/>
      <c r="N51" s="244"/>
    </row>
    <row r="52" spans="1:14" ht="12.95" customHeight="1">
      <c r="B52" s="18" t="s">
        <v>8</v>
      </c>
      <c r="C52" s="311">
        <v>13.211124634657262</v>
      </c>
      <c r="D52" s="311">
        <v>3.7530537867268721</v>
      </c>
      <c r="E52" s="20">
        <v>2.7621829720446911</v>
      </c>
      <c r="F52" s="20">
        <v>3.4625859162235706</v>
      </c>
      <c r="G52" s="20">
        <v>7.570956650711258</v>
      </c>
      <c r="H52" s="20">
        <v>15.782599230825012</v>
      </c>
      <c r="I52" s="20">
        <v>6.7338442044288183</v>
      </c>
      <c r="J52" s="244"/>
      <c r="K52" s="244"/>
      <c r="L52" s="244"/>
      <c r="M52" s="244"/>
      <c r="N52" s="244"/>
    </row>
    <row r="53" spans="1:14" ht="12.95" customHeight="1">
      <c r="B53" s="18" t="s">
        <v>9</v>
      </c>
      <c r="C53" s="311">
        <v>13.462000215272777</v>
      </c>
      <c r="D53" s="311">
        <v>3.8243232337924429</v>
      </c>
      <c r="E53" s="20">
        <v>2.8146360580643419</v>
      </c>
      <c r="F53" s="20">
        <v>1.8989721734770759</v>
      </c>
      <c r="G53" s="20">
        <v>9.6136991842513453</v>
      </c>
      <c r="H53" s="20">
        <v>17.266498377208794</v>
      </c>
      <c r="I53" s="20">
        <v>7.8322166219580769</v>
      </c>
      <c r="J53" s="244"/>
      <c r="K53" s="244"/>
      <c r="L53" s="244"/>
      <c r="M53" s="244"/>
      <c r="N53" s="244"/>
    </row>
    <row r="54" spans="1:14" ht="12.95" customHeight="1">
      <c r="B54" s="18" t="s">
        <v>10</v>
      </c>
      <c r="C54" s="311">
        <v>13.485183437243847</v>
      </c>
      <c r="D54" s="311">
        <v>3.8309091892968516</v>
      </c>
      <c r="E54" s="20">
        <v>2.8194832079275436</v>
      </c>
      <c r="F54" s="20">
        <v>0.17221231318038654</v>
      </c>
      <c r="G54" s="20">
        <v>9.8024674711791207</v>
      </c>
      <c r="H54" s="20">
        <v>17.273905529953915</v>
      </c>
      <c r="I54" s="20">
        <v>8.9226618705035463</v>
      </c>
      <c r="J54" s="244"/>
      <c r="K54" s="244"/>
      <c r="L54" s="244"/>
      <c r="M54" s="244"/>
      <c r="N54" s="244"/>
    </row>
    <row r="55" spans="1:14" ht="12.95" customHeight="1">
      <c r="B55" s="18" t="s">
        <v>11</v>
      </c>
      <c r="C55" s="311">
        <v>13.672305157438917</v>
      </c>
      <c r="D55" s="311">
        <v>3.8840672587252967</v>
      </c>
      <c r="E55" s="20">
        <v>2.8586066318233883</v>
      </c>
      <c r="F55" s="20">
        <v>1.3876097501074325</v>
      </c>
      <c r="G55" s="20">
        <v>11.326097215667751</v>
      </c>
      <c r="H55" s="20">
        <v>15.896967995508128</v>
      </c>
      <c r="I55" s="20">
        <v>9.8518372538831898</v>
      </c>
      <c r="J55" s="244"/>
      <c r="K55" s="244"/>
      <c r="L55" s="244"/>
      <c r="M55" s="244"/>
      <c r="N55" s="244"/>
    </row>
    <row r="56" spans="1:14" ht="12.95" customHeight="1">
      <c r="B56" s="18" t="s">
        <v>12</v>
      </c>
      <c r="C56" s="311">
        <v>13.917384932561664</v>
      </c>
      <c r="D56" s="311">
        <v>3.9536902169147652</v>
      </c>
      <c r="E56" s="20">
        <v>2.9098479303772384</v>
      </c>
      <c r="F56" s="20">
        <v>1.7925270998607301</v>
      </c>
      <c r="G56" s="20">
        <v>13.321647677475902</v>
      </c>
      <c r="H56" s="20">
        <v>16.204631870031115</v>
      </c>
      <c r="I56" s="20">
        <v>10.733858791920747</v>
      </c>
      <c r="J56" s="244"/>
      <c r="K56" s="244"/>
      <c r="L56" s="244"/>
      <c r="M56" s="244"/>
      <c r="N56" s="244"/>
    </row>
    <row r="57" spans="1:14" ht="12.95" customHeight="1">
      <c r="B57" s="18" t="s">
        <v>13</v>
      </c>
      <c r="C57" s="311">
        <v>14.387673149689098</v>
      </c>
      <c r="D57" s="311">
        <v>4.0872910285756365</v>
      </c>
      <c r="E57" s="20">
        <v>3.0081758276021939</v>
      </c>
      <c r="F57" s="20">
        <v>3.3791421262419075</v>
      </c>
      <c r="G57" s="20">
        <v>17.150947212296931</v>
      </c>
      <c r="H57" s="20">
        <v>19.561029310582079</v>
      </c>
      <c r="I57" s="20">
        <v>11.979798817058484</v>
      </c>
      <c r="J57" s="244"/>
      <c r="K57" s="244"/>
      <c r="L57" s="244"/>
      <c r="M57" s="244"/>
      <c r="N57" s="244"/>
    </row>
    <row r="58" spans="1:14" ht="12.95" customHeight="1">
      <c r="B58" s="18" t="s">
        <v>14</v>
      </c>
      <c r="C58" s="311">
        <v>15.065782392342914</v>
      </c>
      <c r="D58" s="311">
        <v>4.2799302270796042</v>
      </c>
      <c r="E58" s="20">
        <v>3.1499549611008528</v>
      </c>
      <c r="F58" s="20">
        <v>4.7131265465845562</v>
      </c>
      <c r="G58" s="20">
        <v>22.672419604934959</v>
      </c>
      <c r="H58" s="20">
        <v>22.672419604934959</v>
      </c>
      <c r="I58" s="20">
        <v>13.550723782782548</v>
      </c>
      <c r="J58" s="244"/>
      <c r="K58" s="244"/>
      <c r="L58" s="244"/>
      <c r="M58" s="244"/>
      <c r="N58" s="244"/>
    </row>
    <row r="59" spans="1:14" ht="12.95" customHeight="1">
      <c r="C59" s="311"/>
      <c r="D59" s="311"/>
      <c r="E59" s="20"/>
      <c r="F59" s="20"/>
      <c r="G59" s="20"/>
      <c r="H59" s="20"/>
      <c r="I59" s="20"/>
    </row>
    <row r="60" spans="1:14" ht="12.95" customHeight="1">
      <c r="A60" s="293">
        <v>1988</v>
      </c>
      <c r="B60" s="18" t="s">
        <v>3</v>
      </c>
      <c r="C60" s="311">
        <v>15.647846858259438</v>
      </c>
      <c r="D60" s="311">
        <v>4.4452847527795916</v>
      </c>
      <c r="E60" s="20">
        <v>3.2716530451662469</v>
      </c>
      <c r="F60" s="20">
        <v>3.8634864805451974</v>
      </c>
      <c r="G60" s="20">
        <v>3.8634864805451974</v>
      </c>
      <c r="H60" s="20">
        <v>28.311494330911845</v>
      </c>
      <c r="I60" s="20">
        <v>15.692503176620075</v>
      </c>
      <c r="J60" s="244"/>
      <c r="K60" s="244"/>
      <c r="L60" s="244"/>
      <c r="M60" s="244"/>
      <c r="N60" s="244"/>
    </row>
    <row r="61" spans="1:14" ht="12.95" customHeight="1">
      <c r="B61" s="18" t="s">
        <v>4</v>
      </c>
      <c r="C61" s="311">
        <v>16.072596603657981</v>
      </c>
      <c r="D61" s="311">
        <v>4.5659488661282301</v>
      </c>
      <c r="E61" s="20">
        <v>3.360459755159912</v>
      </c>
      <c r="F61" s="20">
        <v>2.7144293348854376</v>
      </c>
      <c r="G61" s="20">
        <v>6.682787425807879</v>
      </c>
      <c r="H61" s="20">
        <v>31.18875447725895</v>
      </c>
      <c r="I61" s="20">
        <v>17.918990486010202</v>
      </c>
      <c r="J61" s="244"/>
      <c r="K61" s="244"/>
      <c r="L61" s="244"/>
      <c r="M61" s="244"/>
      <c r="N61" s="244"/>
    </row>
    <row r="62" spans="1:14" ht="12.95" customHeight="1">
      <c r="B62" s="18" t="s">
        <v>5</v>
      </c>
      <c r="C62" s="311">
        <v>16.516389709961334</v>
      </c>
      <c r="D62" s="311">
        <v>4.6920228714983478</v>
      </c>
      <c r="E62" s="20">
        <v>3.4532480525412073</v>
      </c>
      <c r="F62" s="20">
        <v>2.7611786523799475</v>
      </c>
      <c r="G62" s="20">
        <v>9.6284897779731704</v>
      </c>
      <c r="H62" s="20">
        <v>33.476078956172664</v>
      </c>
      <c r="I62" s="20">
        <v>20.125082981027887</v>
      </c>
      <c r="J62" s="244"/>
      <c r="K62" s="244"/>
      <c r="L62" s="244"/>
      <c r="M62" s="244"/>
      <c r="N62" s="244"/>
    </row>
    <row r="63" spans="1:14" ht="12.95" customHeight="1">
      <c r="B63" s="18" t="s">
        <v>6</v>
      </c>
      <c r="C63" s="311">
        <v>16.64969323629499</v>
      </c>
      <c r="D63" s="311">
        <v>4.7298921156487008</v>
      </c>
      <c r="E63" s="20">
        <v>3.4811191642546189</v>
      </c>
      <c r="F63" s="20">
        <v>0.80709845598556651</v>
      </c>
      <c r="G63" s="20">
        <v>10.513299626291484</v>
      </c>
      <c r="H63" s="20">
        <v>32.226459758022095</v>
      </c>
      <c r="I63" s="20">
        <v>22.031792625636392</v>
      </c>
      <c r="J63" s="244"/>
      <c r="K63" s="244"/>
      <c r="L63" s="244"/>
      <c r="M63" s="244"/>
      <c r="N63" s="244"/>
    </row>
    <row r="64" spans="1:14" ht="12.95" customHeight="1">
      <c r="B64" s="18" t="s">
        <v>7</v>
      </c>
      <c r="C64" s="311">
        <v>17.032216398817656</v>
      </c>
      <c r="D64" s="311">
        <v>4.838560381471452</v>
      </c>
      <c r="E64" s="20">
        <v>3.5610971369974522</v>
      </c>
      <c r="F64" s="20">
        <v>2.2974787408623021</v>
      </c>
      <c r="G64" s="20">
        <v>13.052319191030982</v>
      </c>
      <c r="H64" s="20">
        <v>33.387368694073416</v>
      </c>
      <c r="I64" s="20">
        <v>23.822224766047604</v>
      </c>
      <c r="J64" s="244"/>
      <c r="K64" s="244"/>
      <c r="L64" s="244"/>
      <c r="M64" s="244"/>
      <c r="N64" s="244"/>
    </row>
    <row r="65" spans="1:14" ht="12.75" customHeight="1">
      <c r="B65" s="18" t="s">
        <v>8</v>
      </c>
      <c r="C65" s="311">
        <v>18.081257193008604</v>
      </c>
      <c r="D65" s="311">
        <v>5.1365748680459662</v>
      </c>
      <c r="E65" s="20">
        <v>3.7804306683073441</v>
      </c>
      <c r="F65" s="20">
        <v>6.1591560935297496</v>
      </c>
      <c r="G65" s="20">
        <v>20.015387997362065</v>
      </c>
      <c r="H65" s="20">
        <v>36.863875658059712</v>
      </c>
      <c r="I65" s="20">
        <v>25.624964667307392</v>
      </c>
      <c r="J65" s="244"/>
      <c r="K65" s="244"/>
      <c r="L65" s="244"/>
      <c r="M65" s="244"/>
      <c r="N65" s="244"/>
    </row>
    <row r="66" spans="1:14" ht="12.95" customHeight="1">
      <c r="B66" s="18" t="s">
        <v>9</v>
      </c>
      <c r="C66" s="311">
        <v>19.463970789140319</v>
      </c>
      <c r="D66" s="311">
        <v>5.5293800713446553</v>
      </c>
      <c r="E66" s="20">
        <v>4.0695285351483221</v>
      </c>
      <c r="F66" s="20">
        <v>7.6472204414323786</v>
      </c>
      <c r="G66" s="20">
        <v>29.193229281160725</v>
      </c>
      <c r="H66" s="20">
        <v>44.584537794452352</v>
      </c>
      <c r="I66" s="20">
        <v>27.990785569264443</v>
      </c>
      <c r="J66" s="244"/>
      <c r="K66" s="244"/>
      <c r="L66" s="244"/>
      <c r="M66" s="244"/>
      <c r="N66" s="244"/>
    </row>
    <row r="67" spans="1:14" ht="12.95" customHeight="1">
      <c r="B67" s="18" t="s">
        <v>10</v>
      </c>
      <c r="C67" s="311">
        <v>20.447601778484316</v>
      </c>
      <c r="D67" s="311">
        <v>5.8088127548888719</v>
      </c>
      <c r="E67" s="20">
        <v>4.2751861793441792</v>
      </c>
      <c r="F67" s="20">
        <v>5.0535987748851374</v>
      </c>
      <c r="G67" s="20">
        <v>35.72213673334803</v>
      </c>
      <c r="H67" s="20">
        <v>51.630134463068764</v>
      </c>
      <c r="I67" s="20">
        <v>30.929145819917125</v>
      </c>
      <c r="J67" s="244"/>
      <c r="K67" s="244"/>
      <c r="L67" s="244"/>
      <c r="M67" s="244"/>
      <c r="N67" s="244"/>
    </row>
    <row r="68" spans="1:14" ht="12.95" customHeight="1">
      <c r="B68" s="18" t="s">
        <v>11</v>
      </c>
      <c r="C68" s="311">
        <v>21.098387938100799</v>
      </c>
      <c r="D68" s="311">
        <v>5.9936899344055004</v>
      </c>
      <c r="E68" s="20">
        <v>4.4112526005040644</v>
      </c>
      <c r="F68" s="20">
        <v>3.1827016520894036</v>
      </c>
      <c r="G68" s="20">
        <v>40.041767421411343</v>
      </c>
      <c r="H68" s="20">
        <v>54.314782292739139</v>
      </c>
      <c r="I68" s="20">
        <v>34.192815360862895</v>
      </c>
      <c r="J68" s="244"/>
      <c r="K68" s="244"/>
      <c r="L68" s="244"/>
      <c r="M68" s="244"/>
      <c r="N68" s="244"/>
    </row>
    <row r="69" spans="1:14" ht="12.95" customHeight="1">
      <c r="B69" s="18" t="s">
        <v>12</v>
      </c>
      <c r="C69" s="311">
        <v>21.93463987348585</v>
      </c>
      <c r="D69" s="311">
        <v>6.2312547579574016</v>
      </c>
      <c r="E69" s="20">
        <v>4.5860962205695657</v>
      </c>
      <c r="F69" s="20">
        <v>3.9635821364100154</v>
      </c>
      <c r="G69" s="20">
        <v>45.59243789843925</v>
      </c>
      <c r="H69" s="20">
        <v>57.606044380986447</v>
      </c>
      <c r="I69" s="20">
        <v>37.702102076310375</v>
      </c>
      <c r="J69" s="244"/>
      <c r="K69" s="244"/>
      <c r="L69" s="244"/>
      <c r="M69" s="244"/>
      <c r="N69" s="244"/>
    </row>
    <row r="70" spans="1:14" ht="12.95" customHeight="1">
      <c r="B70" s="18" t="s">
        <v>13</v>
      </c>
      <c r="C70" s="311">
        <v>22.877700224380472</v>
      </c>
      <c r="D70" s="311">
        <v>6.4991620193689021</v>
      </c>
      <c r="E70" s="20">
        <v>4.7832713525048192</v>
      </c>
      <c r="F70" s="20">
        <v>4.2994111429865534</v>
      </c>
      <c r="G70" s="20">
        <v>51.85205539679054</v>
      </c>
      <c r="H70" s="20">
        <v>59.009034931230971</v>
      </c>
      <c r="I70" s="20">
        <v>41.053744679726179</v>
      </c>
      <c r="J70" s="244"/>
      <c r="K70" s="244"/>
      <c r="L70" s="244"/>
      <c r="M70" s="244"/>
      <c r="N70" s="244"/>
    </row>
    <row r="71" spans="1:14" ht="12.95" customHeight="1">
      <c r="A71" s="23"/>
      <c r="B71" s="24" t="s">
        <v>14</v>
      </c>
      <c r="C71" s="312">
        <v>23.472184273495785</v>
      </c>
      <c r="D71" s="312">
        <v>6.6680447355176797</v>
      </c>
      <c r="E71" s="25">
        <v>4.9075661239969275</v>
      </c>
      <c r="F71" s="25">
        <v>2.5985306358799809</v>
      </c>
      <c r="G71" s="25">
        <v>55.79797757748959</v>
      </c>
      <c r="H71" s="25">
        <v>55.79797757748959</v>
      </c>
      <c r="I71" s="25">
        <v>43.863832351504996</v>
      </c>
      <c r="J71" s="244"/>
      <c r="K71" s="244"/>
      <c r="L71" s="244"/>
      <c r="M71" s="244"/>
      <c r="N71" s="244"/>
    </row>
    <row r="72" spans="1:14" ht="9" customHeight="1">
      <c r="C72" s="311"/>
      <c r="D72" s="311"/>
      <c r="E72" s="20"/>
      <c r="F72" s="20"/>
      <c r="G72" s="20"/>
      <c r="H72" s="20"/>
      <c r="I72" s="20"/>
    </row>
    <row r="73" spans="1:14" ht="12.95" customHeight="1">
      <c r="A73" s="293">
        <v>1989</v>
      </c>
      <c r="B73" s="18" t="s">
        <v>3</v>
      </c>
      <c r="C73" s="311">
        <v>23.795921408877518</v>
      </c>
      <c r="D73" s="311">
        <v>6.7600128998828213</v>
      </c>
      <c r="E73" s="20">
        <v>4.9752531095866415</v>
      </c>
      <c r="F73" s="20">
        <v>1.3792373628699339</v>
      </c>
      <c r="G73" s="20">
        <v>1.3792373628699339</v>
      </c>
      <c r="H73" s="20">
        <v>52.071538176623108</v>
      </c>
      <c r="I73" s="20">
        <v>45.817316492769542</v>
      </c>
      <c r="J73" s="244"/>
      <c r="K73" s="244"/>
      <c r="L73" s="244"/>
      <c r="M73" s="244"/>
      <c r="N73" s="244"/>
    </row>
    <row r="74" spans="1:14" ht="12.95" customHeight="1">
      <c r="B74" s="18" t="s">
        <v>4</v>
      </c>
      <c r="C74" s="311">
        <v>23.928396962997923</v>
      </c>
      <c r="D74" s="311">
        <v>6.7976469313365877</v>
      </c>
      <c r="E74" s="20">
        <v>5.0029511088049388</v>
      </c>
      <c r="F74" s="20">
        <v>0.55671537926236248</v>
      </c>
      <c r="G74" s="20">
        <v>1.9436311686479302</v>
      </c>
      <c r="H74" s="20">
        <v>48.876983309293244</v>
      </c>
      <c r="I74" s="20">
        <v>47.187790325064725</v>
      </c>
      <c r="J74" s="244"/>
      <c r="K74" s="244"/>
      <c r="L74" s="244"/>
      <c r="M74" s="244"/>
      <c r="N74" s="244"/>
    </row>
    <row r="75" spans="1:14" ht="12.95" customHeight="1">
      <c r="B75" s="18" t="s">
        <v>5</v>
      </c>
      <c r="C75" s="311">
        <v>24.224811015342326</v>
      </c>
      <c r="D75" s="311">
        <v>6.8818530767143908</v>
      </c>
      <c r="E75" s="20">
        <v>5.0649253820558791</v>
      </c>
      <c r="F75" s="20">
        <v>1.2387543252595279</v>
      </c>
      <c r="G75" s="20">
        <v>3.2064623090761746</v>
      </c>
      <c r="H75" s="20">
        <v>46.671345498295615</v>
      </c>
      <c r="I75" s="20">
        <v>48.131235275297456</v>
      </c>
      <c r="J75" s="244"/>
      <c r="K75" s="244"/>
      <c r="L75" s="244"/>
      <c r="M75" s="244"/>
      <c r="N75" s="244"/>
    </row>
    <row r="76" spans="1:14" ht="12.95" customHeight="1">
      <c r="B76" s="18" t="s">
        <v>6</v>
      </c>
      <c r="C76" s="311">
        <v>24.716626510014322</v>
      </c>
      <c r="D76" s="311">
        <v>7.0215694184864983</v>
      </c>
      <c r="E76" s="20">
        <v>5.1677542041538072</v>
      </c>
      <c r="F76" s="20">
        <v>2.0302139585754331</v>
      </c>
      <c r="G76" s="20">
        <v>5.301774313026919</v>
      </c>
      <c r="H76" s="20">
        <v>48.450942364115605</v>
      </c>
      <c r="I76" s="20">
        <v>49.307012268747627</v>
      </c>
      <c r="J76" s="244"/>
      <c r="K76" s="244"/>
      <c r="L76" s="244"/>
      <c r="M76" s="244"/>
      <c r="N76" s="244"/>
    </row>
    <row r="77" spans="1:14" ht="12.95" customHeight="1">
      <c r="B77" s="18" t="s">
        <v>7</v>
      </c>
      <c r="C77" s="311">
        <v>25.50568402924398</v>
      </c>
      <c r="D77" s="311">
        <v>7.2457271183329963</v>
      </c>
      <c r="E77" s="20">
        <v>5.3327304119977903</v>
      </c>
      <c r="F77" s="20">
        <v>3.1924159185314327</v>
      </c>
      <c r="G77" s="20">
        <v>8.6634449186920204</v>
      </c>
      <c r="H77" s="20">
        <v>49.749647562102027</v>
      </c>
      <c r="I77" s="20">
        <v>50.483969380962932</v>
      </c>
      <c r="J77" s="244"/>
      <c r="K77" s="244"/>
      <c r="L77" s="244"/>
      <c r="M77" s="244"/>
      <c r="N77" s="244"/>
    </row>
    <row r="78" spans="1:14" ht="12.75" customHeight="1">
      <c r="B78" s="18" t="s">
        <v>8</v>
      </c>
      <c r="C78" s="311">
        <v>26.141566689021918</v>
      </c>
      <c r="D78" s="311">
        <v>7.4263704693110757</v>
      </c>
      <c r="E78" s="20">
        <v>5.465680808245617</v>
      </c>
      <c r="F78" s="20">
        <v>2.4931017691933066</v>
      </c>
      <c r="G78" s="20">
        <v>11.372535186426337</v>
      </c>
      <c r="H78" s="20">
        <v>44.578258082241987</v>
      </c>
      <c r="I78" s="20">
        <v>50.881566749768247</v>
      </c>
      <c r="J78" s="244"/>
      <c r="K78" s="244"/>
      <c r="L78" s="244"/>
      <c r="M78" s="244"/>
      <c r="N78" s="244"/>
    </row>
    <row r="79" spans="1:14" ht="12.95" customHeight="1">
      <c r="B79" s="18" t="s">
        <v>9</v>
      </c>
      <c r="C79" s="311">
        <v>26.662361211157755</v>
      </c>
      <c r="D79" s="311">
        <v>7.5743192554636956</v>
      </c>
      <c r="E79" s="20">
        <v>5.5745685676725483</v>
      </c>
      <c r="F79" s="20">
        <v>1.9922085326069761</v>
      </c>
      <c r="G79" s="20">
        <v>13.591308335391016</v>
      </c>
      <c r="H79" s="20">
        <v>36.983154670750373</v>
      </c>
      <c r="I79" s="20">
        <v>49.903907751441402</v>
      </c>
      <c r="J79" s="244"/>
      <c r="K79" s="244"/>
      <c r="L79" s="244"/>
      <c r="M79" s="244"/>
      <c r="N79" s="244"/>
    </row>
    <row r="80" spans="1:14" ht="12.95" customHeight="1">
      <c r="B80" s="18" t="s">
        <v>10</v>
      </c>
      <c r="C80" s="311">
        <v>27.310663454134481</v>
      </c>
      <c r="D80" s="311">
        <v>7.7584907968905661</v>
      </c>
      <c r="E80" s="20">
        <v>5.710115651347091</v>
      </c>
      <c r="F80" s="20">
        <v>2.4315259921743992</v>
      </c>
      <c r="G80" s="20">
        <v>16.35331052241704</v>
      </c>
      <c r="H80" s="20">
        <v>33.564139941690961</v>
      </c>
      <c r="I80" s="20">
        <v>48.08934066488424</v>
      </c>
      <c r="J80" s="244"/>
      <c r="K80" s="244"/>
      <c r="L80" s="244"/>
      <c r="M80" s="244"/>
      <c r="N80" s="244"/>
    </row>
    <row r="81" spans="1:14" ht="12.95" customHeight="1">
      <c r="B81" s="18" t="s">
        <v>11</v>
      </c>
      <c r="C81" s="311">
        <v>28.321617526515812</v>
      </c>
      <c r="D81" s="311">
        <v>8.0456854994221221</v>
      </c>
      <c r="E81" s="20">
        <v>5.9214860078817217</v>
      </c>
      <c r="F81" s="20">
        <v>3.7016825829922606</v>
      </c>
      <c r="G81" s="20">
        <v>20.660340752760263</v>
      </c>
      <c r="H81" s="20">
        <v>34.235931245585128</v>
      </c>
      <c r="I81" s="20">
        <v>46.24278393323744</v>
      </c>
      <c r="J81" s="244"/>
      <c r="K81" s="244"/>
      <c r="L81" s="244"/>
      <c r="M81" s="244"/>
      <c r="N81" s="244"/>
    </row>
    <row r="82" spans="1:14" ht="12.95" customHeight="1">
      <c r="B82" s="18" t="s">
        <v>12</v>
      </c>
      <c r="C82" s="311">
        <v>29.855022065459483</v>
      </c>
      <c r="D82" s="311">
        <v>8.4812994134994693</v>
      </c>
      <c r="E82" s="20">
        <v>6.2420903488335115</v>
      </c>
      <c r="F82" s="20">
        <v>5.4142548090978071</v>
      </c>
      <c r="G82" s="20">
        <v>27.19319905464037</v>
      </c>
      <c r="H82" s="20">
        <v>36.10901404197493</v>
      </c>
      <c r="I82" s="20">
        <v>44.451677789559028</v>
      </c>
      <c r="J82" s="244"/>
      <c r="K82" s="244"/>
      <c r="L82" s="244"/>
      <c r="M82" s="244"/>
      <c r="N82" s="244"/>
    </row>
    <row r="83" spans="1:14" ht="12.95" customHeight="1">
      <c r="B83" s="18" t="s">
        <v>13</v>
      </c>
      <c r="C83" s="311">
        <v>30.466065558839844</v>
      </c>
      <c r="D83" s="311">
        <v>8.6548863835799672</v>
      </c>
      <c r="E83" s="20">
        <v>6.369847370227907</v>
      </c>
      <c r="F83" s="20">
        <v>2.0467025348050338</v>
      </c>
      <c r="G83" s="20">
        <v>29.796465483791312</v>
      </c>
      <c r="H83" s="20">
        <v>33.169266403677014</v>
      </c>
      <c r="I83" s="20">
        <v>42.334940138390166</v>
      </c>
      <c r="J83" s="244"/>
      <c r="K83" s="244"/>
      <c r="L83" s="244"/>
      <c r="M83" s="244"/>
      <c r="N83" s="244"/>
    </row>
    <row r="84" spans="1:14" ht="12.95" customHeight="1">
      <c r="B84" s="18" t="s">
        <v>14</v>
      </c>
      <c r="C84" s="311">
        <v>31.592107768863279</v>
      </c>
      <c r="D84" s="311">
        <v>8.9747756509369854</v>
      </c>
      <c r="E84" s="20">
        <v>6.605280363583435</v>
      </c>
      <c r="F84" s="20">
        <v>3.6960539189042407</v>
      </c>
      <c r="G84" s="20">
        <v>34.593812832904192</v>
      </c>
      <c r="H84" s="20">
        <v>34.593812832904192</v>
      </c>
      <c r="I84" s="20">
        <v>40.657916117500534</v>
      </c>
      <c r="J84" s="244"/>
      <c r="K84" s="244"/>
      <c r="L84" s="244"/>
      <c r="M84" s="244"/>
      <c r="N84" s="244"/>
    </row>
    <row r="85" spans="1:14" ht="9" customHeight="1">
      <c r="C85" s="311"/>
      <c r="D85" s="311"/>
      <c r="E85" s="20"/>
      <c r="F85" s="20"/>
      <c r="G85" s="20"/>
      <c r="H85" s="20"/>
      <c r="I85" s="20"/>
    </row>
    <row r="86" spans="1:14" ht="12.95" customHeight="1">
      <c r="A86" s="293">
        <v>1990</v>
      </c>
      <c r="B86" s="18" t="s">
        <v>3</v>
      </c>
      <c r="C86" s="311">
        <v>32.125321874197901</v>
      </c>
      <c r="D86" s="311">
        <v>9.1262526275383937</v>
      </c>
      <c r="E86" s="20">
        <v>6.7167648104370796</v>
      </c>
      <c r="F86" s="20">
        <v>1.6878079463255924</v>
      </c>
      <c r="G86" s="20">
        <v>1.6878079463255924</v>
      </c>
      <c r="H86" s="20">
        <v>35.003479471120372</v>
      </c>
      <c r="I86" s="20">
        <v>39.3390660306302</v>
      </c>
      <c r="J86" s="244"/>
      <c r="K86" s="244"/>
      <c r="L86" s="244"/>
      <c r="M86" s="244"/>
      <c r="N86" s="244"/>
    </row>
    <row r="87" spans="1:14" ht="12.95" customHeight="1">
      <c r="B87" s="18" t="s">
        <v>4</v>
      </c>
      <c r="C87" s="311">
        <v>32.341753810742112</v>
      </c>
      <c r="D87" s="311">
        <v>9.1877372264259858</v>
      </c>
      <c r="E87" s="20">
        <v>6.7620164166599732</v>
      </c>
      <c r="F87" s="20">
        <v>0.67371134020619561</v>
      </c>
      <c r="G87" s="20">
        <v>2.3728902400670826</v>
      </c>
      <c r="H87" s="20">
        <v>35.160553633217994</v>
      </c>
      <c r="I87" s="20">
        <v>38.306510409634683</v>
      </c>
      <c r="J87" s="244"/>
      <c r="K87" s="244"/>
      <c r="L87" s="244"/>
      <c r="M87" s="244"/>
      <c r="N87" s="244"/>
    </row>
    <row r="88" spans="1:14" ht="12.95" customHeight="1">
      <c r="B88" s="18" t="s">
        <v>5</v>
      </c>
      <c r="C88" s="311">
        <v>32.858905255139639</v>
      </c>
      <c r="D88" s="311">
        <v>9.3346510767136284</v>
      </c>
      <c r="E88" s="20">
        <v>6.8701424811084015</v>
      </c>
      <c r="F88" s="20">
        <v>1.5990210284321682</v>
      </c>
      <c r="G88" s="20">
        <v>4.0098542824195338</v>
      </c>
      <c r="H88" s="20">
        <v>35.641533939435362</v>
      </c>
      <c r="I88" s="20">
        <v>37.505285135515429</v>
      </c>
      <c r="J88" s="244"/>
      <c r="K88" s="244"/>
      <c r="L88" s="244"/>
      <c r="M88" s="244"/>
      <c r="N88" s="244"/>
    </row>
    <row r="89" spans="1:14" ht="12.95" customHeight="1">
      <c r="B89" s="18" t="s">
        <v>6</v>
      </c>
      <c r="C89" s="311">
        <v>33.750631328812609</v>
      </c>
      <c r="D89" s="311">
        <v>9.5879751509367939</v>
      </c>
      <c r="E89" s="20">
        <v>7.0565846383465649</v>
      </c>
      <c r="F89" s="20">
        <v>2.7138033563473218</v>
      </c>
      <c r="G89" s="20">
        <v>6.8324771988677924</v>
      </c>
      <c r="H89" s="20">
        <v>36.550314886774757</v>
      </c>
      <c r="I89" s="20">
        <v>36.716827827234155</v>
      </c>
      <c r="J89" s="244"/>
      <c r="K89" s="244"/>
      <c r="L89" s="244"/>
      <c r="M89" s="244"/>
      <c r="N89" s="244"/>
    </row>
    <row r="90" spans="1:14" ht="12.95" customHeight="1">
      <c r="B90" s="18" t="s">
        <v>7</v>
      </c>
      <c r="C90" s="311">
        <v>34.51236576500493</v>
      </c>
      <c r="D90" s="311">
        <v>9.8043708317959517</v>
      </c>
      <c r="E90" s="20">
        <v>7.2158481338517735</v>
      </c>
      <c r="F90" s="20">
        <v>2.2569487034810987</v>
      </c>
      <c r="G90" s="20">
        <v>9.2436314079043633</v>
      </c>
      <c r="H90" s="20">
        <v>35.312449277714641</v>
      </c>
      <c r="I90" s="20">
        <v>35.760418490497671</v>
      </c>
      <c r="J90" s="244"/>
      <c r="K90" s="244"/>
      <c r="L90" s="244"/>
      <c r="M90" s="244"/>
      <c r="N90" s="244"/>
    </row>
    <row r="91" spans="1:14" ht="12.75" customHeight="1">
      <c r="B91" s="18" t="s">
        <v>8</v>
      </c>
      <c r="C91" s="311">
        <v>35.353585533669495</v>
      </c>
      <c r="D91" s="311">
        <v>10.04334693152737</v>
      </c>
      <c r="E91" s="20">
        <v>7.3917304288879615</v>
      </c>
      <c r="F91" s="20">
        <v>2.4374445217474783</v>
      </c>
      <c r="G91" s="20">
        <v>11.906384317014339</v>
      </c>
      <c r="H91" s="20">
        <v>35.238970006017809</v>
      </c>
      <c r="I91" s="20">
        <v>35.136987527066488</v>
      </c>
      <c r="J91" s="244"/>
      <c r="K91" s="244"/>
      <c r="L91" s="244"/>
      <c r="M91" s="244"/>
      <c r="N91" s="244"/>
    </row>
    <row r="92" spans="1:14" ht="12.95" customHeight="1">
      <c r="B92" s="18" t="s">
        <v>9</v>
      </c>
      <c r="C92" s="311">
        <v>37.127929986669649</v>
      </c>
      <c r="D92" s="311">
        <v>10.547407740311256</v>
      </c>
      <c r="E92" s="20">
        <v>7.7627105059180295</v>
      </c>
      <c r="F92" s="20">
        <v>5.018852900536297</v>
      </c>
      <c r="G92" s="20">
        <v>17.522801132194132</v>
      </c>
      <c r="H92" s="20">
        <v>39.252220358983905</v>
      </c>
      <c r="I92" s="20">
        <v>35.39606953892671</v>
      </c>
      <c r="J92" s="244"/>
      <c r="K92" s="244"/>
      <c r="L92" s="244"/>
      <c r="M92" s="244"/>
      <c r="N92" s="244"/>
    </row>
    <row r="93" spans="1:14" ht="12.95" customHeight="1">
      <c r="B93" s="18" t="s">
        <v>10</v>
      </c>
      <c r="C93" s="311">
        <v>41.414342134677959</v>
      </c>
      <c r="D93" s="311">
        <v>11.765103870537189</v>
      </c>
      <c r="E93" s="20">
        <v>8.6589138931250584</v>
      </c>
      <c r="F93" s="20">
        <v>11.544980152535555</v>
      </c>
      <c r="G93" s="20">
        <v>31.090785197609772</v>
      </c>
      <c r="H93" s="20">
        <v>51.64165529786262</v>
      </c>
      <c r="I93" s="20">
        <v>37.045666805764888</v>
      </c>
      <c r="J93" s="244"/>
      <c r="K93" s="244"/>
      <c r="L93" s="244"/>
      <c r="M93" s="244"/>
      <c r="N93" s="244"/>
    </row>
    <row r="94" spans="1:14" ht="12.95" customHeight="1">
      <c r="B94" s="18" t="s">
        <v>11</v>
      </c>
      <c r="C94" s="311">
        <v>45.435803174445468</v>
      </c>
      <c r="D94" s="311">
        <v>12.907531937855593</v>
      </c>
      <c r="E94" s="20">
        <v>9.4997212818954964</v>
      </c>
      <c r="F94" s="20">
        <v>9.7103100821688049</v>
      </c>
      <c r="G94" s="20">
        <v>43.820106929447533</v>
      </c>
      <c r="H94" s="20">
        <v>60.427995088580943</v>
      </c>
      <c r="I94" s="20">
        <v>39.459601709728418</v>
      </c>
      <c r="J94" s="244"/>
      <c r="K94" s="244"/>
      <c r="L94" s="244"/>
      <c r="M94" s="244"/>
      <c r="N94" s="244"/>
    </row>
    <row r="95" spans="1:14" ht="12.95" customHeight="1">
      <c r="B95" s="18" t="s">
        <v>12</v>
      </c>
      <c r="C95" s="311">
        <v>49.902713264942832</v>
      </c>
      <c r="D95" s="311">
        <v>14.176504435937284</v>
      </c>
      <c r="E95" s="20">
        <v>10.433663193037455</v>
      </c>
      <c r="F95" s="20">
        <v>9.8312559224433151</v>
      </c>
      <c r="G95" s="20">
        <v>57.95942970961314</v>
      </c>
      <c r="H95" s="20">
        <v>67.150146985412391</v>
      </c>
      <c r="I95" s="20">
        <v>42.393626925806686</v>
      </c>
      <c r="J95" s="244"/>
      <c r="K95" s="244"/>
      <c r="L95" s="244"/>
      <c r="M95" s="244"/>
      <c r="N95" s="244"/>
    </row>
    <row r="96" spans="1:14" ht="12.95" customHeight="1">
      <c r="B96" s="18" t="s">
        <v>13</v>
      </c>
      <c r="C96" s="311">
        <v>53.60954486367438</v>
      </c>
      <c r="D96" s="311">
        <v>15.229551678552991</v>
      </c>
      <c r="E96" s="20">
        <v>11.208687833664436</v>
      </c>
      <c r="F96" s="20">
        <v>7.4281163411922924</v>
      </c>
      <c r="G96" s="20">
        <v>69.69283992032706</v>
      </c>
      <c r="H96" s="20">
        <v>75.96477878030224</v>
      </c>
      <c r="I96" s="20">
        <v>46.317957253162788</v>
      </c>
      <c r="J96" s="244"/>
      <c r="K96" s="244"/>
      <c r="L96" s="244"/>
      <c r="M96" s="244"/>
      <c r="N96" s="244"/>
    </row>
    <row r="97" spans="1:14" ht="12.95" customHeight="1">
      <c r="B97" s="18" t="s">
        <v>14</v>
      </c>
      <c r="C97" s="311">
        <v>56.840292439785721</v>
      </c>
      <c r="D97" s="311">
        <v>16.147351620631721</v>
      </c>
      <c r="E97" s="20">
        <v>11.884172789600658</v>
      </c>
      <c r="F97" s="20">
        <v>6.0264409711496603</v>
      </c>
      <c r="G97" s="20">
        <v>79.91927875039309</v>
      </c>
      <c r="H97" s="20">
        <v>79.91927875039309</v>
      </c>
      <c r="I97" s="20">
        <v>50.462581925443658</v>
      </c>
      <c r="J97" s="244"/>
      <c r="K97" s="244"/>
      <c r="L97" s="244"/>
      <c r="M97" s="244"/>
      <c r="N97" s="244"/>
    </row>
    <row r="98" spans="1:14" ht="7.5" customHeight="1">
      <c r="C98" s="311"/>
      <c r="D98" s="311"/>
      <c r="E98" s="20"/>
      <c r="F98" s="20"/>
      <c r="G98" s="20"/>
      <c r="H98" s="20"/>
      <c r="I98" s="20"/>
    </row>
    <row r="99" spans="1:14" ht="12.95" customHeight="1">
      <c r="A99" s="293">
        <v>1991</v>
      </c>
      <c r="B99" s="18" t="s">
        <v>3</v>
      </c>
      <c r="C99" s="311">
        <v>56.906530216845923</v>
      </c>
      <c r="D99" s="311">
        <v>16.166168636358606</v>
      </c>
      <c r="E99" s="20">
        <v>11.898021789209809</v>
      </c>
      <c r="F99" s="20">
        <v>0.11653313911144103</v>
      </c>
      <c r="G99" s="20">
        <v>0.11653313911144103</v>
      </c>
      <c r="H99" s="20">
        <v>77.139175257731992</v>
      </c>
      <c r="I99" s="20">
        <v>54.164733439942367</v>
      </c>
      <c r="J99" s="244"/>
      <c r="K99" s="244"/>
      <c r="L99" s="244"/>
      <c r="M99" s="244"/>
      <c r="N99" s="244"/>
    </row>
    <row r="100" spans="1:14" ht="12.95" customHeight="1">
      <c r="B100" s="18" t="s">
        <v>4</v>
      </c>
      <c r="C100" s="311">
        <v>59.021999221706125</v>
      </c>
      <c r="D100" s="311">
        <v>16.767137076135942</v>
      </c>
      <c r="E100" s="20">
        <v>12.340324214226994</v>
      </c>
      <c r="F100" s="20">
        <v>3.7174450749309029</v>
      </c>
      <c r="G100" s="20">
        <v>3.8383102694829141</v>
      </c>
      <c r="H100" s="20">
        <v>82.494739051851738</v>
      </c>
      <c r="I100" s="20">
        <v>58.205784761724402</v>
      </c>
      <c r="J100" s="244"/>
      <c r="K100" s="244"/>
      <c r="L100" s="244"/>
      <c r="M100" s="244"/>
      <c r="N100" s="244"/>
    </row>
    <row r="101" spans="1:14" ht="12.95" customHeight="1">
      <c r="B101" s="18" t="s">
        <v>5</v>
      </c>
      <c r="C101" s="311">
        <v>59.607375576475654</v>
      </c>
      <c r="D101" s="311">
        <v>16.93343245262227</v>
      </c>
      <c r="E101" s="20">
        <v>12.462714748272843</v>
      </c>
      <c r="F101" s="20">
        <v>0.99179350494491558</v>
      </c>
      <c r="G101" s="20">
        <v>4.8681718863802015</v>
      </c>
      <c r="H101" s="20">
        <v>81.404021569319156</v>
      </c>
      <c r="I101" s="20">
        <v>61.968049913798936</v>
      </c>
      <c r="J101" s="244"/>
      <c r="K101" s="244"/>
      <c r="L101" s="244"/>
      <c r="M101" s="244"/>
      <c r="N101" s="244"/>
    </row>
    <row r="102" spans="1:14" ht="12.95" customHeight="1">
      <c r="B102" s="18" t="s">
        <v>6</v>
      </c>
      <c r="C102" s="311">
        <v>58.747112446906286</v>
      </c>
      <c r="D102" s="311">
        <v>16.689046460869374</v>
      </c>
      <c r="E102" s="20">
        <v>12.282850865849026</v>
      </c>
      <c r="F102" s="20">
        <v>-1.4432159128792033</v>
      </c>
      <c r="G102" s="20">
        <v>3.3546977421704538</v>
      </c>
      <c r="H102" s="20">
        <v>74.062262345754746</v>
      </c>
      <c r="I102" s="20">
        <v>64.871765013173572</v>
      </c>
      <c r="J102" s="244"/>
      <c r="K102" s="244"/>
      <c r="L102" s="244"/>
      <c r="M102" s="244"/>
      <c r="N102" s="244"/>
    </row>
    <row r="103" spans="1:14" ht="12.95" customHeight="1">
      <c r="B103" s="18" t="s">
        <v>7</v>
      </c>
      <c r="C103" s="311">
        <v>58.572410309909998</v>
      </c>
      <c r="D103" s="311">
        <v>16.639416581889719</v>
      </c>
      <c r="E103" s="20">
        <v>12.246324129379897</v>
      </c>
      <c r="F103" s="20">
        <v>-0.29737995574535825</v>
      </c>
      <c r="G103" s="20">
        <v>3.0473415877640297</v>
      </c>
      <c r="H103" s="20">
        <v>69.714272005373928</v>
      </c>
      <c r="I103" s="20">
        <v>67.388737772343532</v>
      </c>
      <c r="J103" s="244"/>
      <c r="K103" s="244"/>
      <c r="L103" s="244"/>
      <c r="M103" s="244"/>
      <c r="N103" s="244"/>
    </row>
    <row r="104" spans="1:14" ht="12.75" customHeight="1">
      <c r="B104" s="18" t="s">
        <v>8</v>
      </c>
      <c r="C104" s="311">
        <v>58.710681669523176</v>
      </c>
      <c r="D104" s="311">
        <v>16.678697102219591</v>
      </c>
      <c r="E104" s="20">
        <v>12.275233916063996</v>
      </c>
      <c r="F104" s="20">
        <v>0.23606909615223604</v>
      </c>
      <c r="G104" s="20">
        <v>3.2906045156591679</v>
      </c>
      <c r="H104" s="20">
        <v>66.067121009859747</v>
      </c>
      <c r="I104" s="20">
        <v>69.504479630559061</v>
      </c>
      <c r="J104" s="244"/>
      <c r="K104" s="244"/>
      <c r="L104" s="244"/>
      <c r="M104" s="244"/>
      <c r="N104" s="244"/>
    </row>
    <row r="105" spans="1:14" ht="12.75" customHeight="1">
      <c r="B105" s="18" t="s">
        <v>9</v>
      </c>
      <c r="C105" s="311">
        <v>58.907739056277279</v>
      </c>
      <c r="D105" s="311">
        <v>16.734677724007067</v>
      </c>
      <c r="E105" s="20">
        <v>12.316434689901213</v>
      </c>
      <c r="F105" s="20">
        <v>0.33564145595057493</v>
      </c>
      <c r="G105" s="20">
        <v>3.6372906045156972</v>
      </c>
      <c r="H105" s="20">
        <v>58.661522679630743</v>
      </c>
      <c r="I105" s="20">
        <v>70.552206252734891</v>
      </c>
      <c r="J105" s="244"/>
      <c r="K105" s="244"/>
      <c r="L105" s="244"/>
      <c r="M105" s="244"/>
      <c r="N105" s="244"/>
    </row>
    <row r="106" spans="1:14" ht="12.75" customHeight="1">
      <c r="B106" s="18" t="s">
        <v>10</v>
      </c>
      <c r="C106" s="311">
        <v>59.79449729667072</v>
      </c>
      <c r="D106" s="311">
        <v>16.986590522050715</v>
      </c>
      <c r="E106" s="20">
        <v>12.501838172168689</v>
      </c>
      <c r="F106" s="20">
        <v>1.5053340267333848</v>
      </c>
      <c r="G106" s="20">
        <v>5.1973780043700124</v>
      </c>
      <c r="H106" s="20">
        <v>44.381135168635957</v>
      </c>
      <c r="I106" s="20">
        <v>69.132716365204615</v>
      </c>
      <c r="J106" s="244"/>
      <c r="K106" s="244"/>
      <c r="L106" s="244"/>
      <c r="M106" s="244"/>
      <c r="N106" s="244"/>
    </row>
    <row r="107" spans="1:14" ht="12.75" customHeight="1">
      <c r="A107" s="27"/>
      <c r="B107" s="18" t="s">
        <v>11</v>
      </c>
      <c r="C107" s="311">
        <v>60.582726843687134</v>
      </c>
      <c r="D107" s="311">
        <v>17.210513009200628</v>
      </c>
      <c r="E107" s="20">
        <v>12.666641267517559</v>
      </c>
      <c r="F107" s="20">
        <v>1.3182309119610158</v>
      </c>
      <c r="G107" s="20">
        <v>6.5841223597961074</v>
      </c>
      <c r="H107" s="20">
        <v>33.336977913842134</v>
      </c>
      <c r="I107" s="20">
        <v>65.822341278811322</v>
      </c>
      <c r="J107" s="244"/>
      <c r="K107" s="244"/>
      <c r="L107" s="244"/>
      <c r="M107" s="244"/>
      <c r="N107" s="244"/>
    </row>
    <row r="108" spans="1:14" ht="12.75" customHeight="1">
      <c r="A108" s="27"/>
      <c r="B108" s="18" t="s">
        <v>12</v>
      </c>
      <c r="C108" s="311">
        <v>60.76239681396293</v>
      </c>
      <c r="D108" s="311">
        <v>17.261554164359801</v>
      </c>
      <c r="E108" s="20">
        <v>12.704206678957375</v>
      </c>
      <c r="F108" s="20">
        <v>0.29656963236299738</v>
      </c>
      <c r="G108" s="20">
        <v>6.9002184996358684</v>
      </c>
      <c r="H108" s="20">
        <v>21.761709611587698</v>
      </c>
      <c r="I108" s="20">
        <v>60.69878579155521</v>
      </c>
      <c r="J108" s="244"/>
      <c r="K108" s="244"/>
      <c r="L108" s="244"/>
      <c r="M108" s="244"/>
      <c r="N108" s="244"/>
    </row>
    <row r="109" spans="1:14" ht="12.95" customHeight="1">
      <c r="B109" s="18" t="s">
        <v>13</v>
      </c>
      <c r="C109" s="311">
        <v>60.789719897000261</v>
      </c>
      <c r="D109" s="311">
        <v>17.26931618334714</v>
      </c>
      <c r="E109" s="20">
        <v>12.709919391296149</v>
      </c>
      <c r="F109" s="20">
        <v>4.4967092264291963E-2</v>
      </c>
      <c r="G109" s="20">
        <v>6.9482884195193328</v>
      </c>
      <c r="H109" s="20">
        <v>13.393463890776559</v>
      </c>
      <c r="I109" s="20">
        <v>54.17498493532451</v>
      </c>
      <c r="J109" s="244"/>
      <c r="K109" s="244"/>
      <c r="L109" s="244"/>
      <c r="M109" s="244"/>
      <c r="N109" s="244"/>
    </row>
    <row r="110" spans="1:14" ht="12.95" customHeight="1">
      <c r="B110" s="18" t="s">
        <v>14</v>
      </c>
      <c r="C110" s="311">
        <v>61.332041696680662</v>
      </c>
      <c r="D110" s="311">
        <v>17.423380499610996</v>
      </c>
      <c r="E110" s="20">
        <v>12.823308075596051</v>
      </c>
      <c r="F110" s="20">
        <v>0.8921274856987127</v>
      </c>
      <c r="G110" s="20">
        <v>7.9024034959942036</v>
      </c>
      <c r="H110" s="20">
        <v>7.9024034959942036</v>
      </c>
      <c r="I110" s="20">
        <v>47.079057032061542</v>
      </c>
      <c r="J110" s="244"/>
      <c r="K110" s="244"/>
      <c r="L110" s="244"/>
      <c r="M110" s="244"/>
      <c r="N110" s="244"/>
    </row>
    <row r="111" spans="1:14" ht="12.95" customHeight="1">
      <c r="C111" s="311"/>
      <c r="D111" s="311"/>
      <c r="E111" s="20"/>
      <c r="F111" s="20"/>
      <c r="G111" s="20"/>
      <c r="H111" s="20"/>
      <c r="I111" s="20"/>
    </row>
    <row r="112" spans="1:14" ht="12.75" customHeight="1">
      <c r="A112" s="293">
        <v>1992</v>
      </c>
      <c r="B112" s="18" t="s">
        <v>3</v>
      </c>
      <c r="C112" s="311">
        <v>61.345289252092698</v>
      </c>
      <c r="D112" s="311">
        <v>17.42714390275637</v>
      </c>
      <c r="E112" s="20">
        <v>12.826077875517878</v>
      </c>
      <c r="F112" s="20">
        <v>2.1599730003352136E-2</v>
      </c>
      <c r="G112" s="20">
        <v>2.1599730003352136E-2</v>
      </c>
      <c r="H112" s="20">
        <v>7.8000872981230707</v>
      </c>
      <c r="I112" s="20">
        <v>40.803411011570255</v>
      </c>
      <c r="J112" s="244"/>
      <c r="K112" s="244"/>
      <c r="L112" s="244"/>
      <c r="M112" s="244"/>
      <c r="N112" s="244"/>
    </row>
    <row r="113" spans="1:14" ht="12.95" customHeight="1">
      <c r="B113" s="18" t="s">
        <v>4</v>
      </c>
      <c r="C113" s="311">
        <v>60.423756178742643</v>
      </c>
      <c r="D113" s="311">
        <v>17.165352171456107</v>
      </c>
      <c r="E113" s="20">
        <v>12.633403668455598</v>
      </c>
      <c r="F113" s="20">
        <v>-1.5022067457585941</v>
      </c>
      <c r="G113" s="20">
        <v>-1.4809314883564184</v>
      </c>
      <c r="H113" s="20">
        <v>2.3749736971311997</v>
      </c>
      <c r="I113" s="20">
        <v>34.065456026360131</v>
      </c>
      <c r="J113" s="244"/>
      <c r="K113" s="244"/>
      <c r="L113" s="244"/>
      <c r="M113" s="244"/>
      <c r="N113" s="244"/>
    </row>
    <row r="114" spans="1:14" ht="12.95" customHeight="1">
      <c r="B114" s="18" t="s">
        <v>5</v>
      </c>
      <c r="C114" s="311">
        <v>60.065244210404309</v>
      </c>
      <c r="D114" s="311">
        <v>17.063505073834353</v>
      </c>
      <c r="E114" s="20">
        <v>12.558445958071083</v>
      </c>
      <c r="F114" s="20">
        <v>-0.59332949656059064</v>
      </c>
      <c r="G114" s="20">
        <v>-2.0654741815727351</v>
      </c>
      <c r="H114" s="20">
        <v>0.76814090454495609</v>
      </c>
      <c r="I114" s="20">
        <v>27.782643066424928</v>
      </c>
      <c r="J114" s="244"/>
      <c r="K114" s="244"/>
      <c r="L114" s="244"/>
      <c r="M114" s="244"/>
      <c r="N114" s="244"/>
    </row>
    <row r="115" spans="1:14" ht="12.95" customHeight="1">
      <c r="B115" s="18" t="s">
        <v>6</v>
      </c>
      <c r="C115" s="311">
        <v>60.371593929307735</v>
      </c>
      <c r="D115" s="311">
        <v>17.150533771571187</v>
      </c>
      <c r="E115" s="20">
        <v>12.622497581263394</v>
      </c>
      <c r="F115" s="20">
        <v>0.51002825832240362</v>
      </c>
      <c r="G115" s="20">
        <v>-1.5659804252447063</v>
      </c>
      <c r="H115" s="20">
        <v>2.7652107733288078</v>
      </c>
      <c r="I115" s="20">
        <v>22.630946552083174</v>
      </c>
      <c r="J115" s="244"/>
      <c r="K115" s="244"/>
      <c r="L115" s="244"/>
      <c r="M115" s="244"/>
      <c r="N115" s="244"/>
    </row>
    <row r="116" spans="1:14" ht="12.95" customHeight="1">
      <c r="B116" s="18" t="s">
        <v>7</v>
      </c>
      <c r="C116" s="311">
        <v>60.639856926401549</v>
      </c>
      <c r="D116" s="311">
        <v>17.226742685265062</v>
      </c>
      <c r="E116" s="20">
        <v>12.678586029680444</v>
      </c>
      <c r="F116" s="20">
        <v>0.44435301378316083</v>
      </c>
      <c r="G116" s="20">
        <v>-1.1285858926763703</v>
      </c>
      <c r="H116" s="20">
        <v>3.5297277430663243</v>
      </c>
      <c r="I116" s="20">
        <v>18.151626032194891</v>
      </c>
      <c r="J116" s="244"/>
      <c r="K116" s="244"/>
      <c r="L116" s="244"/>
      <c r="M116" s="244"/>
      <c r="N116" s="244"/>
    </row>
    <row r="117" spans="1:14" ht="12.95" customHeight="1">
      <c r="B117" s="18" t="s">
        <v>8</v>
      </c>
      <c r="C117" s="311">
        <v>62.303253102825877</v>
      </c>
      <c r="D117" s="311">
        <v>17.699284992706424</v>
      </c>
      <c r="E117" s="20">
        <v>13.026369032365192</v>
      </c>
      <c r="F117" s="20">
        <v>2.7430740452491387</v>
      </c>
      <c r="G117" s="20">
        <v>1.5835302058724299</v>
      </c>
      <c r="H117" s="20">
        <v>6.1191104091158799</v>
      </c>
      <c r="I117" s="20">
        <v>14.37676509764756</v>
      </c>
      <c r="J117" s="244"/>
      <c r="K117" s="244"/>
      <c r="L117" s="244"/>
      <c r="M117" s="244"/>
      <c r="N117" s="244"/>
    </row>
    <row r="118" spans="1:14" ht="12.95" customHeight="1">
      <c r="B118" s="18" t="s">
        <v>9</v>
      </c>
      <c r="C118" s="311">
        <v>61.971236245311616</v>
      </c>
      <c r="D118" s="311">
        <v>17.604964701375419</v>
      </c>
      <c r="E118" s="20">
        <v>12.956950921824332</v>
      </c>
      <c r="F118" s="20">
        <v>-0.5329045290240475</v>
      </c>
      <c r="G118" s="20">
        <v>1.0421869726628064</v>
      </c>
      <c r="H118" s="20">
        <v>5.2005003724682197</v>
      </c>
      <c r="I118" s="20">
        <v>11.05483670350309</v>
      </c>
      <c r="J118" s="244"/>
      <c r="K118" s="244"/>
      <c r="L118" s="244"/>
      <c r="M118" s="244"/>
      <c r="N118" s="244"/>
    </row>
    <row r="119" spans="1:14" ht="12.95" customHeight="1">
      <c r="B119" s="18" t="s">
        <v>10</v>
      </c>
      <c r="C119" s="311">
        <v>62.554956655654635</v>
      </c>
      <c r="D119" s="311">
        <v>17.770789652468576</v>
      </c>
      <c r="E119" s="20">
        <v>13.078995230879952</v>
      </c>
      <c r="F119" s="20">
        <v>0.94192151990057926</v>
      </c>
      <c r="G119" s="20">
        <v>1.9939250759365201</v>
      </c>
      <c r="H119" s="20">
        <v>4.6165775845356638</v>
      </c>
      <c r="I119" s="20">
        <v>8.4438734582453989</v>
      </c>
      <c r="J119" s="244"/>
      <c r="K119" s="244"/>
      <c r="L119" s="244"/>
      <c r="M119" s="244"/>
      <c r="N119" s="244"/>
    </row>
    <row r="120" spans="1:14" ht="12.95" customHeight="1">
      <c r="B120" s="18" t="s">
        <v>11</v>
      </c>
      <c r="C120" s="311">
        <v>62.99378192867848</v>
      </c>
      <c r="D120" s="311">
        <v>17.89545238165918</v>
      </c>
      <c r="E120" s="20">
        <v>13.170744853290563</v>
      </c>
      <c r="F120" s="20">
        <v>0.70150360016942859</v>
      </c>
      <c r="G120" s="20">
        <v>2.7094161322983146</v>
      </c>
      <c r="H120" s="20">
        <v>3.9797731310645901</v>
      </c>
      <c r="I120" s="20">
        <v>6.4162718686176179</v>
      </c>
      <c r="J120" s="244"/>
      <c r="K120" s="244"/>
      <c r="L120" s="244"/>
      <c r="M120" s="244"/>
      <c r="N120" s="244"/>
    </row>
    <row r="121" spans="1:14" ht="12.95" customHeight="1">
      <c r="B121" s="18" t="s">
        <v>12</v>
      </c>
      <c r="C121" s="311">
        <v>63.328282702832496</v>
      </c>
      <c r="D121" s="311">
        <v>17.99047831107994</v>
      </c>
      <c r="E121" s="20">
        <v>13.240682301316763</v>
      </c>
      <c r="F121" s="20">
        <v>0.53100601982072337</v>
      </c>
      <c r="G121" s="20">
        <v>3.2548093148835333</v>
      </c>
      <c r="H121" s="20">
        <v>4.2228187553653429</v>
      </c>
      <c r="I121" s="20">
        <v>5.1356773133662603</v>
      </c>
      <c r="J121" s="244"/>
      <c r="K121" s="244"/>
      <c r="L121" s="244"/>
      <c r="M121" s="244"/>
      <c r="N121" s="244"/>
    </row>
    <row r="122" spans="1:14" ht="12.95" customHeight="1">
      <c r="B122" s="18" t="s">
        <v>13</v>
      </c>
      <c r="C122" s="311">
        <v>63.636288366162439</v>
      </c>
      <c r="D122" s="311">
        <v>18.077977434209949</v>
      </c>
      <c r="E122" s="20">
        <v>13.305080149499306</v>
      </c>
      <c r="F122" s="20">
        <v>0.48636351750648288</v>
      </c>
      <c r="G122" s="20">
        <v>3.7570030374620034</v>
      </c>
      <c r="H122" s="20">
        <v>4.6826477798964428</v>
      </c>
      <c r="I122" s="20">
        <v>4.4726670347873698</v>
      </c>
      <c r="J122" s="244"/>
      <c r="K122" s="244"/>
      <c r="L122" s="244"/>
      <c r="M122" s="244"/>
      <c r="N122" s="244"/>
    </row>
    <row r="123" spans="1:14" ht="12.95" customHeight="1">
      <c r="B123" s="18" t="s">
        <v>14</v>
      </c>
      <c r="C123" s="311">
        <v>64.499863384584813</v>
      </c>
      <c r="D123" s="311">
        <v>18.323304276749187</v>
      </c>
      <c r="E123" s="20">
        <v>13.48563648190358</v>
      </c>
      <c r="F123" s="20">
        <v>1.3570480626609926</v>
      </c>
      <c r="G123" s="20">
        <v>5.1650354370569973</v>
      </c>
      <c r="H123" s="20">
        <v>5.1650354370569973</v>
      </c>
      <c r="I123" s="20">
        <v>4.2590263889339619</v>
      </c>
      <c r="J123" s="244"/>
      <c r="K123" s="244"/>
      <c r="L123" s="244"/>
      <c r="M123" s="244"/>
      <c r="N123" s="244"/>
    </row>
    <row r="124" spans="1:14" ht="7.5" customHeight="1">
      <c r="C124" s="311"/>
      <c r="D124" s="311"/>
      <c r="E124" s="20"/>
      <c r="F124" s="20"/>
      <c r="G124" s="20"/>
      <c r="H124" s="20"/>
      <c r="I124" s="20"/>
    </row>
    <row r="125" spans="1:14" ht="12.75" customHeight="1">
      <c r="A125" s="293">
        <v>1993</v>
      </c>
      <c r="B125" s="18" t="s">
        <v>3</v>
      </c>
      <c r="C125" s="311">
        <v>65.057088684103761</v>
      </c>
      <c r="D125" s="311">
        <v>18.481602421551592</v>
      </c>
      <c r="E125" s="20">
        <v>13.602141191115543</v>
      </c>
      <c r="F125" s="20">
        <v>0.86391702288801664</v>
      </c>
      <c r="G125" s="20">
        <v>0.86391702288801664</v>
      </c>
      <c r="H125" s="20">
        <v>6.0506674224939383</v>
      </c>
      <c r="I125" s="20">
        <v>4.131479647539904</v>
      </c>
      <c r="J125" s="244"/>
      <c r="K125" s="244"/>
      <c r="L125" s="244"/>
      <c r="M125" s="244"/>
      <c r="N125" s="244"/>
    </row>
    <row r="126" spans="1:14" ht="12.95" customHeight="1">
      <c r="B126" s="18" t="s">
        <v>4</v>
      </c>
      <c r="C126" s="311">
        <v>64.997474684749577</v>
      </c>
      <c r="D126" s="311">
        <v>18.464667107397396</v>
      </c>
      <c r="E126" s="20">
        <v>13.589677091467308</v>
      </c>
      <c r="F126" s="20">
        <v>-9.1633364726251276E-2</v>
      </c>
      <c r="G126" s="20">
        <v>0.77149202192525745</v>
      </c>
      <c r="H126" s="20">
        <v>7.5694044780618697</v>
      </c>
      <c r="I126" s="20">
        <v>4.5642413489175748</v>
      </c>
      <c r="J126" s="244"/>
      <c r="K126" s="244"/>
      <c r="L126" s="244"/>
      <c r="M126" s="244"/>
      <c r="N126" s="244"/>
    </row>
    <row r="127" spans="1:14" ht="12.95" customHeight="1">
      <c r="B127" s="18" t="s">
        <v>5</v>
      </c>
      <c r="C127" s="311">
        <v>64.588456411402845</v>
      </c>
      <c r="D127" s="311">
        <v>18.348472035283898</v>
      </c>
      <c r="E127" s="20">
        <v>13.504159518880821</v>
      </c>
      <c r="F127" s="20">
        <v>-0.62928333036097461</v>
      </c>
      <c r="G127" s="20">
        <v>0.13735382087525227</v>
      </c>
      <c r="H127" s="20">
        <v>7.5304983113929413</v>
      </c>
      <c r="I127" s="20">
        <v>5.1259436430226124</v>
      </c>
      <c r="J127" s="244"/>
      <c r="K127" s="244"/>
      <c r="L127" s="244"/>
      <c r="M127" s="244"/>
      <c r="N127" s="244"/>
    </row>
    <row r="128" spans="1:14" ht="12.95" customHeight="1">
      <c r="B128" s="18" t="s">
        <v>6</v>
      </c>
      <c r="C128" s="311">
        <v>64.345032580706601</v>
      </c>
      <c r="D128" s="311">
        <v>18.279319502487599</v>
      </c>
      <c r="E128" s="20">
        <v>13.453264445317197</v>
      </c>
      <c r="F128" s="20">
        <v>-0.37688442211056827</v>
      </c>
      <c r="G128" s="20">
        <v>-0.24004826638936994</v>
      </c>
      <c r="H128" s="20">
        <v>6.5816361516834787</v>
      </c>
      <c r="I128" s="20">
        <v>5.4398994030497638</v>
      </c>
      <c r="J128" s="244"/>
      <c r="K128" s="244"/>
      <c r="L128" s="244"/>
      <c r="M128" s="244"/>
      <c r="N128" s="244"/>
    </row>
    <row r="129" spans="1:14" ht="12.95" customHeight="1">
      <c r="B129" s="18" t="s">
        <v>7</v>
      </c>
      <c r="C129" s="311">
        <v>64.559477383938997</v>
      </c>
      <c r="D129" s="311">
        <v>18.340239590903384</v>
      </c>
      <c r="E129" s="20">
        <v>13.498100581551816</v>
      </c>
      <c r="F129" s="20">
        <v>0.33327328409296086</v>
      </c>
      <c r="G129" s="20">
        <v>9.242500096278139E-2</v>
      </c>
      <c r="H129" s="20">
        <v>6.4637693032400856</v>
      </c>
      <c r="I129" s="20">
        <v>5.6802815257855244</v>
      </c>
      <c r="J129" s="244"/>
      <c r="K129" s="244"/>
      <c r="L129" s="244"/>
      <c r="M129" s="244"/>
      <c r="N129" s="244"/>
    </row>
    <row r="130" spans="1:14" ht="12.95" customHeight="1">
      <c r="B130" s="18" t="s">
        <v>8</v>
      </c>
      <c r="C130" s="311">
        <v>64.993334823683327</v>
      </c>
      <c r="D130" s="311">
        <v>18.46349104391447</v>
      </c>
      <c r="E130" s="20">
        <v>13.588811528991739</v>
      </c>
      <c r="F130" s="20">
        <v>0.67202749669756923</v>
      </c>
      <c r="G130" s="20">
        <v>0.7650736190806473</v>
      </c>
      <c r="H130" s="20">
        <v>4.3177227301722132</v>
      </c>
      <c r="I130" s="20">
        <v>5.5281393117061928</v>
      </c>
      <c r="J130" s="244"/>
      <c r="K130" s="244"/>
      <c r="L130" s="244"/>
      <c r="M130" s="244"/>
      <c r="N130" s="244"/>
    </row>
    <row r="131" spans="1:14" ht="12.95" customHeight="1">
      <c r="B131" s="18" t="s">
        <v>9</v>
      </c>
      <c r="C131" s="311">
        <v>65.310448181359035</v>
      </c>
      <c r="D131" s="311">
        <v>18.553577506706922</v>
      </c>
      <c r="E131" s="20">
        <v>13.655113614620538</v>
      </c>
      <c r="F131" s="20">
        <v>0.48791673567143423</v>
      </c>
      <c r="G131" s="20">
        <v>1.2567232769797654</v>
      </c>
      <c r="H131" s="20">
        <v>5.3883255173888145</v>
      </c>
      <c r="I131" s="20">
        <v>5.5427016107548743</v>
      </c>
      <c r="J131" s="244"/>
      <c r="K131" s="244"/>
      <c r="L131" s="244"/>
      <c r="M131" s="244"/>
      <c r="N131" s="244"/>
    </row>
    <row r="132" spans="1:14" ht="12.95" customHeight="1">
      <c r="B132" s="18" t="s">
        <v>10</v>
      </c>
      <c r="C132" s="311">
        <v>65.289748876027716</v>
      </c>
      <c r="D132" s="311">
        <v>18.547697189292268</v>
      </c>
      <c r="E132" s="20">
        <v>13.650785802242677</v>
      </c>
      <c r="F132" s="20">
        <v>-3.1693711967561988E-2</v>
      </c>
      <c r="G132" s="20">
        <v>1.2246312627565814</v>
      </c>
      <c r="H132" s="20">
        <v>4.3718233799237671</v>
      </c>
      <c r="I132" s="20">
        <v>5.5183310049950807</v>
      </c>
      <c r="J132" s="244"/>
      <c r="K132" s="244"/>
      <c r="L132" s="244"/>
      <c r="M132" s="244"/>
      <c r="N132" s="244"/>
    </row>
    <row r="133" spans="1:14" ht="12.95" customHeight="1">
      <c r="B133" s="18" t="s">
        <v>11</v>
      </c>
      <c r="C133" s="311">
        <v>65.668960149697384</v>
      </c>
      <c r="D133" s="311">
        <v>18.65542460432868</v>
      </c>
      <c r="E133" s="20">
        <v>13.730071325005056</v>
      </c>
      <c r="F133" s="20">
        <v>0.58081288440812173</v>
      </c>
      <c r="G133" s="20">
        <v>1.8125569633252736</v>
      </c>
      <c r="H133" s="20">
        <v>4.2467337872295952</v>
      </c>
      <c r="I133" s="20">
        <v>5.5361506744306066</v>
      </c>
      <c r="J133" s="244"/>
      <c r="K133" s="244"/>
      <c r="L133" s="244"/>
      <c r="M133" s="244"/>
      <c r="N133" s="244"/>
    </row>
    <row r="134" spans="1:14" ht="12.95" customHeight="1">
      <c r="B134" s="18" t="s">
        <v>12</v>
      </c>
      <c r="C134" s="311">
        <v>65.965374202041787</v>
      </c>
      <c r="D134" s="311">
        <v>18.739630749706482</v>
      </c>
      <c r="E134" s="20">
        <v>13.792045598255996</v>
      </c>
      <c r="F134" s="20">
        <v>0.45137619305788412</v>
      </c>
      <c r="G134" s="20">
        <v>2.2721146070012077</v>
      </c>
      <c r="H134" s="20">
        <v>4.164160761446567</v>
      </c>
      <c r="I134" s="20">
        <v>5.5265525341062549</v>
      </c>
      <c r="J134" s="244"/>
      <c r="K134" s="244"/>
      <c r="L134" s="244"/>
      <c r="M134" s="244"/>
      <c r="N134" s="244"/>
    </row>
    <row r="135" spans="1:14" ht="12.95" customHeight="1">
      <c r="B135" s="18" t="s">
        <v>13</v>
      </c>
      <c r="C135" s="311">
        <v>66.129312700265785</v>
      </c>
      <c r="D135" s="311">
        <v>18.786202863630518</v>
      </c>
      <c r="E135" s="20">
        <v>13.82632187228864</v>
      </c>
      <c r="F135" s="20">
        <v>0.24852204691796498</v>
      </c>
      <c r="G135" s="20">
        <v>2.5262833596488177</v>
      </c>
      <c r="H135" s="20">
        <v>3.9176143016992571</v>
      </c>
      <c r="I135" s="20">
        <v>5.4576071944182347</v>
      </c>
      <c r="J135" s="244"/>
      <c r="K135" s="244"/>
      <c r="L135" s="244"/>
      <c r="M135" s="244"/>
      <c r="N135" s="244"/>
    </row>
    <row r="136" spans="1:14" ht="12.95" customHeight="1">
      <c r="A136" s="23"/>
      <c r="B136" s="24" t="s">
        <v>14</v>
      </c>
      <c r="C136" s="312">
        <v>66.298219031769293</v>
      </c>
      <c r="D136" s="312">
        <v>18.834186253734067</v>
      </c>
      <c r="E136" s="25">
        <v>13.861636821291967</v>
      </c>
      <c r="F136" s="25">
        <v>0.25541824738006813</v>
      </c>
      <c r="G136" s="25">
        <v>2.7881541957099465</v>
      </c>
      <c r="H136" s="25">
        <v>2.7881541957099465</v>
      </c>
      <c r="I136" s="25">
        <v>5.2503388069101264</v>
      </c>
      <c r="J136" s="244"/>
      <c r="K136" s="244"/>
      <c r="L136" s="244"/>
      <c r="M136" s="244"/>
      <c r="N136" s="244"/>
    </row>
    <row r="137" spans="1:14" ht="9.75" customHeight="1">
      <c r="C137" s="311"/>
      <c r="D137" s="311"/>
      <c r="E137" s="20"/>
      <c r="F137" s="20"/>
      <c r="G137" s="20"/>
      <c r="H137" s="20"/>
      <c r="I137" s="20"/>
    </row>
    <row r="138" spans="1:14" ht="12.75" customHeight="1">
      <c r="A138" s="293">
        <v>1994</v>
      </c>
      <c r="B138" s="18" t="s">
        <v>3</v>
      </c>
      <c r="C138" s="311">
        <v>66.761883471190714</v>
      </c>
      <c r="D138" s="311">
        <v>18.965905363822255</v>
      </c>
      <c r="E138" s="20">
        <v>13.958579818556011</v>
      </c>
      <c r="F138" s="20">
        <v>0.69936183232803817</v>
      </c>
      <c r="G138" s="20">
        <v>0.69936183232803817</v>
      </c>
      <c r="H138" s="20">
        <v>2.6204596940464286</v>
      </c>
      <c r="I138" s="20">
        <v>4.9559079963464203</v>
      </c>
      <c r="J138" s="244"/>
      <c r="K138" s="244"/>
      <c r="L138" s="244"/>
      <c r="M138" s="244"/>
      <c r="N138" s="244"/>
    </row>
    <row r="139" spans="1:14" ht="12.95" customHeight="1">
      <c r="B139" s="18" t="s">
        <v>4</v>
      </c>
      <c r="C139" s="311">
        <v>67.492154963279432</v>
      </c>
      <c r="D139" s="311">
        <v>19.17336296221114</v>
      </c>
      <c r="E139" s="20">
        <v>14.111265039246872</v>
      </c>
      <c r="F139" s="20">
        <v>1.0938449518187232</v>
      </c>
      <c r="G139" s="20">
        <v>1.8008567182446145</v>
      </c>
      <c r="H139" s="20">
        <v>3.8381187740440081</v>
      </c>
      <c r="I139" s="20">
        <v>4.6494686651649797</v>
      </c>
      <c r="J139" s="244"/>
      <c r="K139" s="244"/>
      <c r="L139" s="244"/>
      <c r="M139" s="244"/>
      <c r="N139" s="244"/>
    </row>
    <row r="140" spans="1:14" ht="12.95" customHeight="1">
      <c r="B140" s="18" t="s">
        <v>5</v>
      </c>
      <c r="C140" s="311">
        <v>68.191791483477814</v>
      </c>
      <c r="D140" s="311">
        <v>19.372117690826347</v>
      </c>
      <c r="E140" s="20">
        <v>14.257545097618504</v>
      </c>
      <c r="F140" s="20">
        <v>1.0366190271729137</v>
      </c>
      <c r="G140" s="20">
        <v>2.8561437688109592</v>
      </c>
      <c r="H140" s="20">
        <v>5.5789149830786533</v>
      </c>
      <c r="I140" s="20">
        <v>4.500159700375872</v>
      </c>
      <c r="J140" s="244"/>
      <c r="K140" s="244"/>
      <c r="L140" s="244"/>
      <c r="M140" s="244"/>
      <c r="N140" s="244"/>
    </row>
    <row r="141" spans="1:14" ht="12.95" customHeight="1">
      <c r="B141" s="18" t="s">
        <v>6</v>
      </c>
      <c r="C141" s="311">
        <v>68.980021030494214</v>
      </c>
      <c r="D141" s="311">
        <v>19.596040177976256</v>
      </c>
      <c r="E141" s="20">
        <v>14.422348192967373</v>
      </c>
      <c r="F141" s="20">
        <v>1.1559009227780415</v>
      </c>
      <c r="G141" s="20">
        <v>4.0450588837685819</v>
      </c>
      <c r="H141" s="20">
        <v>7.2033353063798211</v>
      </c>
      <c r="I141" s="20">
        <v>4.5636015238120331</v>
      </c>
      <c r="J141" s="244"/>
      <c r="K141" s="244"/>
      <c r="L141" s="244"/>
      <c r="M141" s="244"/>
      <c r="N141" s="244"/>
    </row>
    <row r="142" spans="1:14" ht="12.95" customHeight="1">
      <c r="B142" s="18" t="s">
        <v>7</v>
      </c>
      <c r="C142" s="311">
        <v>69.691249161678144</v>
      </c>
      <c r="D142" s="311">
        <v>19.798087884343669</v>
      </c>
      <c r="E142" s="20">
        <v>14.57105182627061</v>
      </c>
      <c r="F142" s="20">
        <v>1.0310639523718246</v>
      </c>
      <c r="G142" s="20">
        <v>5.1178299801431626</v>
      </c>
      <c r="H142" s="20">
        <v>7.9489053903274653</v>
      </c>
      <c r="I142" s="20">
        <v>4.6986993163698143</v>
      </c>
      <c r="J142" s="244"/>
      <c r="K142" s="244"/>
      <c r="L142" s="244"/>
      <c r="M142" s="244"/>
      <c r="N142" s="244"/>
    </row>
    <row r="143" spans="1:14" ht="12.95" customHeight="1">
      <c r="B143" s="18" t="s">
        <v>8</v>
      </c>
      <c r="C143" s="311">
        <v>70.317196154897047</v>
      </c>
      <c r="D143" s="311">
        <v>19.975908682962714</v>
      </c>
      <c r="E143" s="20">
        <v>14.701924872577063</v>
      </c>
      <c r="F143" s="20">
        <v>0.89817157928502311</v>
      </c>
      <c r="G143" s="20">
        <v>6.0619684537859486</v>
      </c>
      <c r="H143" s="20">
        <v>8.1913958495229302</v>
      </c>
      <c r="I143" s="20">
        <v>5.0253831200633536</v>
      </c>
      <c r="J143" s="244"/>
      <c r="K143" s="244"/>
      <c r="L143" s="244"/>
      <c r="M143" s="244"/>
      <c r="N143" s="244"/>
    </row>
    <row r="144" spans="1:14" ht="12.95" customHeight="1">
      <c r="B144" s="18" t="s">
        <v>9</v>
      </c>
      <c r="C144" s="311">
        <v>70.445531847951187</v>
      </c>
      <c r="D144" s="311">
        <v>20.012366650933551</v>
      </c>
      <c r="E144" s="20">
        <v>14.728757309319787</v>
      </c>
      <c r="F144" s="20">
        <v>0.18250968478810137</v>
      </c>
      <c r="G144" s="20">
        <v>6.2555418180910038</v>
      </c>
      <c r="H144" s="20">
        <v>7.8625760649087439</v>
      </c>
      <c r="I144" s="20">
        <v>5.2365828273508663</v>
      </c>
      <c r="J144" s="244"/>
      <c r="K144" s="244"/>
      <c r="L144" s="244"/>
      <c r="M144" s="244"/>
      <c r="N144" s="244"/>
    </row>
    <row r="145" spans="1:14" ht="12.95" customHeight="1">
      <c r="B145" s="18" t="s">
        <v>10</v>
      </c>
      <c r="C145" s="311">
        <v>71.256944616938654</v>
      </c>
      <c r="D145" s="311">
        <v>20.24287509358787</v>
      </c>
      <c r="E145" s="20">
        <v>14.898407554531857</v>
      </c>
      <c r="F145" s="20">
        <v>1.1518299992947956</v>
      </c>
      <c r="G145" s="20">
        <v>7.4794250246650096</v>
      </c>
      <c r="H145" s="20">
        <v>9.1395599518103268</v>
      </c>
      <c r="I145" s="20">
        <v>5.6359102244389003</v>
      </c>
      <c r="J145" s="244"/>
      <c r="K145" s="244"/>
      <c r="L145" s="244"/>
      <c r="M145" s="244"/>
      <c r="N145" s="244"/>
    </row>
    <row r="146" spans="1:14" ht="12.95" customHeight="1">
      <c r="B146" s="18" t="s">
        <v>11</v>
      </c>
      <c r="C146" s="311">
        <v>72.208284689965808</v>
      </c>
      <c r="D146" s="311">
        <v>20.513134481965231</v>
      </c>
      <c r="E146" s="20">
        <v>15.097313811418255</v>
      </c>
      <c r="F146" s="20">
        <v>1.3350840092026806</v>
      </c>
      <c r="G146" s="20">
        <v>8.9143656413522834</v>
      </c>
      <c r="H146" s="20">
        <v>9.958014449081487</v>
      </c>
      <c r="I146" s="20">
        <v>6.1142688315747096</v>
      </c>
      <c r="J146" s="244"/>
      <c r="K146" s="244"/>
      <c r="L146" s="244"/>
      <c r="M146" s="244"/>
      <c r="N146" s="244"/>
    </row>
    <row r="147" spans="1:14" ht="12.95" customHeight="1">
      <c r="B147" s="18" t="s">
        <v>12</v>
      </c>
      <c r="C147" s="311">
        <v>73.076827541667711</v>
      </c>
      <c r="D147" s="311">
        <v>20.759872600683991</v>
      </c>
      <c r="E147" s="20">
        <v>15.278908818793218</v>
      </c>
      <c r="F147" s="20">
        <v>1.2028299182442748</v>
      </c>
      <c r="G147" s="20">
        <v>10.224420216552431</v>
      </c>
      <c r="H147" s="20">
        <v>10.780585156455945</v>
      </c>
      <c r="I147" s="20">
        <v>6.6680060292576782</v>
      </c>
      <c r="J147" s="244"/>
      <c r="K147" s="244"/>
      <c r="L147" s="244"/>
      <c r="M147" s="244"/>
      <c r="N147" s="244"/>
    </row>
    <row r="148" spans="1:14" ht="12.95" customHeight="1">
      <c r="B148" s="18" t="s">
        <v>13</v>
      </c>
      <c r="C148" s="311">
        <v>73.691182923901081</v>
      </c>
      <c r="D148" s="311">
        <v>20.934400421550833</v>
      </c>
      <c r="E148" s="20">
        <v>15.407358290168071</v>
      </c>
      <c r="F148" s="20">
        <v>0.84069793791072822</v>
      </c>
      <c r="G148" s="20">
        <v>11.151074644387027</v>
      </c>
      <c r="H148" s="20">
        <v>11.434974771187845</v>
      </c>
      <c r="I148" s="20">
        <v>7.2954160869800333</v>
      </c>
      <c r="J148" s="244"/>
      <c r="K148" s="244"/>
      <c r="L148" s="244"/>
      <c r="M148" s="244"/>
      <c r="N148" s="244"/>
    </row>
    <row r="149" spans="1:14" ht="12.95" customHeight="1">
      <c r="B149" s="18" t="s">
        <v>14</v>
      </c>
      <c r="C149" s="311">
        <v>75.788436540069725</v>
      </c>
      <c r="D149" s="311">
        <v>21.530194182003275</v>
      </c>
      <c r="E149" s="20">
        <v>15.845852240292738</v>
      </c>
      <c r="F149" s="20">
        <v>2.8460034605963802</v>
      </c>
      <c r="G149" s="20">
        <v>14.314438075256341</v>
      </c>
      <c r="H149" s="20">
        <v>14.314438075256341</v>
      </c>
      <c r="I149" s="20">
        <v>8.2607679857579441</v>
      </c>
      <c r="J149" s="244"/>
      <c r="K149" s="244"/>
      <c r="L149" s="244"/>
      <c r="M149" s="244"/>
      <c r="N149" s="244"/>
    </row>
    <row r="150" spans="1:14" ht="7.5" customHeight="1">
      <c r="C150" s="311"/>
      <c r="D150" s="311"/>
      <c r="E150" s="20"/>
      <c r="F150" s="20"/>
      <c r="G150" s="20"/>
      <c r="H150" s="20"/>
      <c r="I150" s="20"/>
    </row>
    <row r="151" spans="1:14" ht="12.75" customHeight="1">
      <c r="A151" s="293">
        <v>1995</v>
      </c>
      <c r="B151" s="18" t="s">
        <v>3</v>
      </c>
      <c r="C151" s="311">
        <v>76.955049388542534</v>
      </c>
      <c r="D151" s="311">
        <v>21.861608871493008</v>
      </c>
      <c r="E151" s="20">
        <v>16.089767745908869</v>
      </c>
      <c r="F151" s="20">
        <v>1.5393019063746127</v>
      </c>
      <c r="G151" s="20">
        <v>1.5393019063746127</v>
      </c>
      <c r="H151" s="20">
        <v>15.267942405714784</v>
      </c>
      <c r="I151" s="20">
        <v>9.324274146930156</v>
      </c>
      <c r="J151" s="244"/>
      <c r="K151" s="244"/>
      <c r="L151" s="244"/>
      <c r="M151" s="244"/>
      <c r="N151" s="244"/>
    </row>
    <row r="152" spans="1:14" ht="12.75" customHeight="1">
      <c r="B152" s="18" t="s">
        <v>4</v>
      </c>
      <c r="C152" s="311">
        <v>77.256431274166445</v>
      </c>
      <c r="D152" s="311">
        <v>21.947226293050324</v>
      </c>
      <c r="E152" s="20">
        <v>16.152780694130495</v>
      </c>
      <c r="F152" s="20">
        <v>0.39163367188845832</v>
      </c>
      <c r="G152" s="20">
        <v>1.9369640028404467</v>
      </c>
      <c r="H152" s="20">
        <v>14.467275961479498</v>
      </c>
      <c r="I152" s="20">
        <v>10.217970328106919</v>
      </c>
      <c r="J152" s="244"/>
      <c r="K152" s="244"/>
      <c r="L152" s="244"/>
      <c r="M152" s="244"/>
      <c r="N152" s="244"/>
    </row>
    <row r="153" spans="1:14" ht="12.75" customHeight="1">
      <c r="B153" s="18" t="s">
        <v>5</v>
      </c>
      <c r="C153" s="311">
        <v>77.888174072878115</v>
      </c>
      <c r="D153" s="311">
        <v>22.126693580545474</v>
      </c>
      <c r="E153" s="20">
        <v>16.284865527902749</v>
      </c>
      <c r="F153" s="20">
        <v>0.81772195310154672</v>
      </c>
      <c r="G153" s="20">
        <v>2.7705249358169093</v>
      </c>
      <c r="H153" s="20">
        <v>14.219281204468203</v>
      </c>
      <c r="I153" s="20">
        <v>10.941714737903197</v>
      </c>
      <c r="J153" s="244"/>
      <c r="K153" s="244"/>
      <c r="L153" s="244"/>
      <c r="M153" s="244"/>
      <c r="N153" s="244"/>
    </row>
    <row r="154" spans="1:14" ht="12.75" customHeight="1">
      <c r="B154" s="18" t="s">
        <v>6</v>
      </c>
      <c r="C154" s="311">
        <v>77.779709712942037</v>
      </c>
      <c r="D154" s="311">
        <v>22.095880717292701</v>
      </c>
      <c r="E154" s="20">
        <v>16.262187791042766</v>
      </c>
      <c r="F154" s="20">
        <v>-0.13925651901224301</v>
      </c>
      <c r="G154" s="20">
        <v>2.6274102802206656</v>
      </c>
      <c r="H154" s="20">
        <v>12.75686575763395</v>
      </c>
      <c r="I154" s="20">
        <v>11.401413807780036</v>
      </c>
      <c r="J154" s="244"/>
      <c r="K154" s="244"/>
      <c r="L154" s="244"/>
      <c r="M154" s="244"/>
      <c r="N154" s="244"/>
    </row>
    <row r="155" spans="1:14" ht="12.75" customHeight="1">
      <c r="B155" s="18" t="s">
        <v>7</v>
      </c>
      <c r="C155" s="311">
        <v>78.11089859824304</v>
      </c>
      <c r="D155" s="311">
        <v>22.189965795927115</v>
      </c>
      <c r="E155" s="20">
        <v>16.33143278908851</v>
      </c>
      <c r="F155" s="20">
        <v>0.42580370449223359</v>
      </c>
      <c r="G155" s="20">
        <v>3.0644015950182846</v>
      </c>
      <c r="H155" s="20">
        <v>12.081358187499225</v>
      </c>
      <c r="I155" s="20">
        <v>11.73893577928531</v>
      </c>
      <c r="J155" s="244"/>
      <c r="K155" s="244"/>
      <c r="L155" s="244"/>
      <c r="M155" s="244"/>
      <c r="N155" s="244"/>
    </row>
    <row r="156" spans="1:14" ht="12.95" customHeight="1">
      <c r="B156" s="18" t="s">
        <v>8</v>
      </c>
      <c r="C156" s="311">
        <v>78.604370037341553</v>
      </c>
      <c r="D156" s="311">
        <v>22.330152563092401</v>
      </c>
      <c r="E156" s="20">
        <v>16.434607836176671</v>
      </c>
      <c r="F156" s="20">
        <v>0.63175747297012919</v>
      </c>
      <c r="G156" s="20">
        <v>3.7155186540667628</v>
      </c>
      <c r="H156" s="20">
        <v>11.785415709962678</v>
      </c>
      <c r="I156" s="20">
        <v>12.029018703156114</v>
      </c>
      <c r="J156" s="244"/>
      <c r="K156" s="244"/>
      <c r="L156" s="244"/>
      <c r="M156" s="244"/>
      <c r="N156" s="244"/>
    </row>
    <row r="157" spans="1:14" ht="12.95" customHeight="1">
      <c r="B157" s="18" t="s">
        <v>9</v>
      </c>
      <c r="C157" s="311">
        <v>79.123508615050881</v>
      </c>
      <c r="D157" s="311">
        <v>22.477630923851848</v>
      </c>
      <c r="E157" s="20">
        <v>16.543149370613371</v>
      </c>
      <c r="F157" s="20">
        <v>0.660444931322135</v>
      </c>
      <c r="G157" s="20">
        <v>4.4005025400120079</v>
      </c>
      <c r="H157" s="20">
        <v>12.318704308784456</v>
      </c>
      <c r="I157" s="20">
        <v>12.389605432234374</v>
      </c>
      <c r="J157" s="244"/>
      <c r="K157" s="244"/>
      <c r="L157" s="244"/>
      <c r="M157" s="244"/>
      <c r="N157" s="244"/>
    </row>
    <row r="158" spans="1:14" ht="12.95" customHeight="1">
      <c r="B158" s="18" t="s">
        <v>10</v>
      </c>
      <c r="C158" s="311">
        <v>80.014406716510592</v>
      </c>
      <c r="D158" s="311">
        <v>22.730719785378426</v>
      </c>
      <c r="E158" s="20">
        <v>16.729418415356417</v>
      </c>
      <c r="F158" s="20">
        <v>1.1259587915825042</v>
      </c>
      <c r="G158" s="20">
        <v>5.5760091768175979</v>
      </c>
      <c r="H158" s="20">
        <v>12.289976993330365</v>
      </c>
      <c r="I158" s="20">
        <v>12.640579216768622</v>
      </c>
      <c r="J158" s="244"/>
      <c r="K158" s="244"/>
      <c r="L158" s="244"/>
      <c r="M158" s="244"/>
      <c r="N158" s="244"/>
    </row>
    <row r="159" spans="1:14" ht="12.95" customHeight="1">
      <c r="B159" s="18" t="s">
        <v>11</v>
      </c>
      <c r="C159" s="311">
        <v>81.253053147536377</v>
      </c>
      <c r="D159" s="311">
        <v>23.082597979471146</v>
      </c>
      <c r="E159" s="20">
        <v>16.988394708047498</v>
      </c>
      <c r="F159" s="20">
        <v>1.5480292635478454</v>
      </c>
      <c r="G159" s="20">
        <v>7.2103566941607022</v>
      </c>
      <c r="H159" s="20">
        <v>12.525942828312942</v>
      </c>
      <c r="I159" s="20">
        <v>12.844386190980718</v>
      </c>
      <c r="J159" s="244"/>
      <c r="K159" s="244"/>
      <c r="L159" s="244"/>
      <c r="M159" s="244"/>
      <c r="N159" s="244"/>
    </row>
    <row r="160" spans="1:14" ht="12.95" customHeight="1">
      <c r="B160" s="18" t="s">
        <v>12</v>
      </c>
      <c r="C160" s="311">
        <v>81.841741391158919</v>
      </c>
      <c r="D160" s="311">
        <v>23.24983420674382</v>
      </c>
      <c r="E160" s="20">
        <v>17.111477692073805</v>
      </c>
      <c r="F160" s="20">
        <v>0.7245121516278541</v>
      </c>
      <c r="G160" s="20">
        <v>7.9871087562134679</v>
      </c>
      <c r="H160" s="20">
        <v>11.994108316338071</v>
      </c>
      <c r="I160" s="20">
        <v>12.933456239567519</v>
      </c>
      <c r="J160" s="244"/>
      <c r="K160" s="244"/>
      <c r="L160" s="244"/>
      <c r="M160" s="244"/>
      <c r="N160" s="244"/>
    </row>
    <row r="161" spans="1:14" ht="12.95" customHeight="1">
      <c r="B161" s="18" t="s">
        <v>13</v>
      </c>
      <c r="C161" s="311">
        <v>82.593540160792202</v>
      </c>
      <c r="D161" s="311">
        <v>23.463407335243943</v>
      </c>
      <c r="E161" s="20">
        <v>17.268663837637639</v>
      </c>
      <c r="F161" s="20">
        <v>0.91860065151849746</v>
      </c>
      <c r="G161" s="20">
        <v>8.979079040804038</v>
      </c>
      <c r="H161" s="20">
        <v>12.080627401631382</v>
      </c>
      <c r="I161" s="20">
        <v>12.976689893818726</v>
      </c>
      <c r="J161" s="244"/>
      <c r="K161" s="244"/>
      <c r="L161" s="244"/>
      <c r="M161" s="244"/>
      <c r="N161" s="244"/>
    </row>
    <row r="162" spans="1:14" ht="12.95" customHeight="1">
      <c r="B162" s="18" t="s">
        <v>14</v>
      </c>
      <c r="C162" s="311">
        <v>82.773210131068012</v>
      </c>
      <c r="D162" s="311">
        <v>23.514448490403119</v>
      </c>
      <c r="E162" s="20">
        <v>17.306229249077461</v>
      </c>
      <c r="F162" s="20">
        <v>0.2175351364356759</v>
      </c>
      <c r="G162" s="20">
        <v>9.216146829081783</v>
      </c>
      <c r="H162" s="20">
        <v>9.216146829081783</v>
      </c>
      <c r="I162" s="20">
        <v>12.535959455896538</v>
      </c>
      <c r="J162" s="244"/>
      <c r="K162" s="244"/>
      <c r="L162" s="244"/>
      <c r="M162" s="244"/>
      <c r="N162" s="244"/>
    </row>
    <row r="163" spans="1:14" ht="12.95" customHeight="1">
      <c r="C163" s="311"/>
      <c r="D163" s="311"/>
      <c r="E163" s="20"/>
      <c r="F163" s="20"/>
      <c r="G163" s="20"/>
      <c r="H163" s="20"/>
      <c r="I163" s="20"/>
    </row>
    <row r="164" spans="1:14" ht="12.95" customHeight="1">
      <c r="A164" s="293">
        <v>1996</v>
      </c>
      <c r="B164" s="18" t="s">
        <v>3</v>
      </c>
      <c r="C164" s="311">
        <v>82.709456270647564</v>
      </c>
      <c r="D164" s="311">
        <v>23.496337112765993</v>
      </c>
      <c r="E164" s="20">
        <v>17.292899586953652</v>
      </c>
      <c r="F164" s="20">
        <v>-7.70223364775946E-2</v>
      </c>
      <c r="G164" s="20">
        <v>-7.70223364775946E-2</v>
      </c>
      <c r="H164" s="20">
        <v>7.477620933034923</v>
      </c>
      <c r="I164" s="20">
        <v>11.869766041639075</v>
      </c>
      <c r="J164" s="244"/>
      <c r="K164" s="244"/>
      <c r="L164" s="244"/>
      <c r="M164" s="244"/>
      <c r="N164" s="244"/>
    </row>
    <row r="165" spans="1:14" ht="12.95" customHeight="1">
      <c r="A165" s="18" t="s">
        <v>131</v>
      </c>
      <c r="B165" s="18" t="s">
        <v>4</v>
      </c>
      <c r="C165" s="311">
        <v>82.813780769517379</v>
      </c>
      <c r="D165" s="311">
        <v>23.525973912535832</v>
      </c>
      <c r="E165" s="20">
        <v>17.31471176133806</v>
      </c>
      <c r="F165" s="20">
        <v>0.12613370172382954</v>
      </c>
      <c r="G165" s="20">
        <v>4.9014214122067301E-2</v>
      </c>
      <c r="H165" s="20">
        <v>7.1933810605735671</v>
      </c>
      <c r="I165" s="20">
        <v>11.251471606813368</v>
      </c>
      <c r="J165" s="244"/>
      <c r="K165" s="244"/>
      <c r="L165" s="244"/>
      <c r="M165" s="244"/>
      <c r="N165" s="244"/>
    </row>
    <row r="166" spans="1:14" ht="12.95" customHeight="1">
      <c r="A166" s="18"/>
      <c r="B166" s="18" t="s">
        <v>5</v>
      </c>
      <c r="C166" s="311">
        <v>82.930524851585986</v>
      </c>
      <c r="D166" s="311">
        <v>23.559138902754466</v>
      </c>
      <c r="E166" s="20">
        <v>17.339120623149185</v>
      </c>
      <c r="F166" s="20">
        <v>0.14097180563887868</v>
      </c>
      <c r="G166" s="20">
        <v>0.19005511598362279</v>
      </c>
      <c r="H166" s="20">
        <v>6.4738335937748914</v>
      </c>
      <c r="I166" s="20">
        <v>10.59681003127697</v>
      </c>
      <c r="J166" s="244"/>
      <c r="K166" s="244"/>
      <c r="L166" s="244"/>
      <c r="M166" s="244"/>
      <c r="N166" s="244"/>
    </row>
    <row r="167" spans="1:14" ht="12.95" customHeight="1">
      <c r="A167" s="18"/>
      <c r="B167" s="18" t="s">
        <v>6</v>
      </c>
      <c r="C167" s="311">
        <v>83.032365433816054</v>
      </c>
      <c r="D167" s="311">
        <v>23.58807006443455</v>
      </c>
      <c r="E167" s="20">
        <v>17.360413460048253</v>
      </c>
      <c r="F167" s="20">
        <v>0.1228022883158264</v>
      </c>
      <c r="G167" s="20">
        <v>0.31309079633092818</v>
      </c>
      <c r="H167" s="20">
        <v>6.7532467532467555</v>
      </c>
      <c r="I167" s="20">
        <v>10.091423457725401</v>
      </c>
      <c r="J167" s="244"/>
      <c r="K167" s="244"/>
      <c r="L167" s="244"/>
      <c r="M167" s="244"/>
      <c r="N167" s="244"/>
    </row>
    <row r="168" spans="1:14" ht="12.95" customHeight="1">
      <c r="A168" s="18"/>
      <c r="B168" s="18" t="s">
        <v>7</v>
      </c>
      <c r="C168" s="311">
        <v>83.221143098437622</v>
      </c>
      <c r="D168" s="311">
        <v>23.641698559256163</v>
      </c>
      <c r="E168" s="20">
        <v>17.399883108934322</v>
      </c>
      <c r="F168" s="20">
        <v>0.22735431374891757</v>
      </c>
      <c r="G168" s="20">
        <v>0.54115693551126665</v>
      </c>
      <c r="H168" s="20">
        <v>6.5422938308246525</v>
      </c>
      <c r="I168" s="20">
        <v>9.6266061616645526</v>
      </c>
      <c r="J168" s="244"/>
      <c r="K168" s="244"/>
      <c r="L168" s="244"/>
      <c r="M168" s="244"/>
      <c r="N168" s="244"/>
    </row>
    <row r="169" spans="1:14" ht="12.95" customHeight="1">
      <c r="A169" s="18"/>
      <c r="B169" s="18" t="s">
        <v>8</v>
      </c>
      <c r="C169" s="311">
        <v>83.50679351200975</v>
      </c>
      <c r="D169" s="311">
        <v>23.72284693957835</v>
      </c>
      <c r="E169" s="20">
        <v>17.459606919748776</v>
      </c>
      <c r="F169" s="20">
        <v>0.34324259789875189</v>
      </c>
      <c r="G169" s="20">
        <v>0.88625701453417527</v>
      </c>
      <c r="H169" s="20">
        <v>6.2368332350214439</v>
      </c>
      <c r="I169" s="20">
        <v>9.163456927764102</v>
      </c>
      <c r="J169" s="244"/>
      <c r="K169" s="244"/>
      <c r="L169" s="244"/>
      <c r="M169" s="244"/>
      <c r="N169" s="244"/>
    </row>
    <row r="170" spans="1:14" ht="12.95" customHeight="1">
      <c r="A170" s="18"/>
      <c r="B170" s="18" t="s">
        <v>9</v>
      </c>
      <c r="C170" s="311">
        <v>83.721238315242147</v>
      </c>
      <c r="D170" s="311">
        <v>23.783767027994134</v>
      </c>
      <c r="E170" s="20">
        <v>17.504443055983394</v>
      </c>
      <c r="F170" s="20">
        <v>0.25679923059380716</v>
      </c>
      <c r="G170" s="20">
        <v>1.1453321463223975</v>
      </c>
      <c r="H170" s="20">
        <v>5.8108263658528614</v>
      </c>
      <c r="I170" s="20">
        <v>8.6287155866658019</v>
      </c>
      <c r="J170" s="244"/>
      <c r="K170" s="244"/>
      <c r="L170" s="244"/>
      <c r="M170" s="244"/>
      <c r="N170" s="244"/>
    </row>
    <row r="171" spans="1:14" ht="12.95" customHeight="1">
      <c r="A171" s="18"/>
      <c r="B171" s="18" t="s">
        <v>10</v>
      </c>
      <c r="C171" s="311">
        <v>83.856197786002298</v>
      </c>
      <c r="D171" s="311">
        <v>23.822106697537656</v>
      </c>
      <c r="E171" s="20">
        <v>17.532660392687031</v>
      </c>
      <c r="F171" s="20">
        <v>0.16120099687486622</v>
      </c>
      <c r="G171" s="20">
        <v>1.3083794300346563</v>
      </c>
      <c r="H171" s="20">
        <v>4.8013741864050496</v>
      </c>
      <c r="I171" s="20">
        <v>8.0125999663593017</v>
      </c>
      <c r="J171" s="244"/>
      <c r="K171" s="244"/>
      <c r="L171" s="244"/>
      <c r="M171" s="244"/>
      <c r="N171" s="244"/>
    </row>
    <row r="172" spans="1:14" ht="12.95" customHeight="1">
      <c r="A172" s="18"/>
      <c r="B172" s="18" t="s">
        <v>11</v>
      </c>
      <c r="C172" s="311">
        <v>84.314066419930953</v>
      </c>
      <c r="D172" s="311">
        <v>23.952179318749739</v>
      </c>
      <c r="E172" s="20">
        <v>17.628391602485273</v>
      </c>
      <c r="F172" s="20">
        <v>0.5460164496094988</v>
      </c>
      <c r="G172" s="20">
        <v>1.86153984655546</v>
      </c>
      <c r="H172" s="20">
        <v>3.7672593875783145</v>
      </c>
      <c r="I172" s="20">
        <v>7.2909030501312255</v>
      </c>
      <c r="J172" s="244"/>
      <c r="K172" s="244"/>
      <c r="L172" s="244"/>
      <c r="M172" s="244"/>
      <c r="N172" s="244"/>
    </row>
    <row r="173" spans="1:14" ht="12.75" customHeight="1">
      <c r="A173" s="18"/>
      <c r="B173" s="18" t="s">
        <v>12</v>
      </c>
      <c r="C173" s="311">
        <v>84.506155973405541</v>
      </c>
      <c r="D173" s="311">
        <v>24.006748664357701</v>
      </c>
      <c r="E173" s="20">
        <v>17.668553701351804</v>
      </c>
      <c r="F173" s="20">
        <v>0.22782622358394899</v>
      </c>
      <c r="G173" s="20">
        <v>2.0936071460723182</v>
      </c>
      <c r="H173" s="20">
        <v>3.2555692693684968</v>
      </c>
      <c r="I173" s="20">
        <v>6.5726369700130016</v>
      </c>
      <c r="J173" s="244"/>
      <c r="K173" s="244"/>
      <c r="L173" s="244"/>
      <c r="M173" s="244"/>
      <c r="N173" s="244"/>
    </row>
    <row r="174" spans="1:14" ht="12.95" customHeight="1">
      <c r="A174" s="28"/>
      <c r="B174" s="18" t="s">
        <v>13</v>
      </c>
      <c r="C174" s="311">
        <v>85.060069384071468</v>
      </c>
      <c r="D174" s="311">
        <v>24.16410595837376</v>
      </c>
      <c r="E174" s="20">
        <v>17.784365960583308</v>
      </c>
      <c r="F174" s="20">
        <v>0.65547107697130347</v>
      </c>
      <c r="G174" s="20">
        <v>2.7628012123515289</v>
      </c>
      <c r="H174" s="20">
        <v>2.9863464121739236</v>
      </c>
      <c r="I174" s="20">
        <v>5.8314124601948736</v>
      </c>
      <c r="J174" s="244"/>
      <c r="K174" s="244"/>
      <c r="L174" s="244"/>
      <c r="M174" s="244"/>
      <c r="N174" s="244"/>
    </row>
    <row r="175" spans="1:14" ht="12.95" customHeight="1">
      <c r="A175" s="28"/>
      <c r="B175" s="18" t="s">
        <v>14</v>
      </c>
      <c r="C175" s="311">
        <v>86.042044428988973</v>
      </c>
      <c r="D175" s="311">
        <v>24.443068216524807</v>
      </c>
      <c r="E175" s="20">
        <v>17.989677379788937</v>
      </c>
      <c r="F175" s="20">
        <v>1.1544489112554013</v>
      </c>
      <c r="G175" s="20">
        <v>3.9491452521230652</v>
      </c>
      <c r="H175" s="20">
        <v>3.9491452521230652</v>
      </c>
      <c r="I175" s="20">
        <v>5.3992938503896193</v>
      </c>
      <c r="J175" s="244"/>
      <c r="K175" s="244"/>
      <c r="L175" s="244"/>
      <c r="M175" s="244"/>
      <c r="N175" s="244"/>
    </row>
    <row r="176" spans="1:14" ht="9" customHeight="1">
      <c r="A176" s="29"/>
      <c r="B176" s="29"/>
      <c r="C176" s="313"/>
      <c r="D176" s="313"/>
      <c r="E176" s="20"/>
      <c r="F176" s="20"/>
      <c r="G176" s="20"/>
      <c r="H176" s="20"/>
      <c r="I176" s="20"/>
    </row>
    <row r="177" spans="1:51" ht="12.95" customHeight="1">
      <c r="A177" s="18">
        <v>1997</v>
      </c>
      <c r="B177" s="18" t="s">
        <v>3</v>
      </c>
      <c r="C177" s="311">
        <v>88.457239375046569</v>
      </c>
      <c r="D177" s="311">
        <v>25.129183652466285</v>
      </c>
      <c r="E177" s="20">
        <v>18.494646528037517</v>
      </c>
      <c r="F177" s="20">
        <v>2.8069939087173701</v>
      </c>
      <c r="G177" s="20">
        <v>2.8069939087173701</v>
      </c>
      <c r="H177" s="20">
        <v>6.9493663283079599</v>
      </c>
      <c r="I177" s="20">
        <v>5.3662377943016759</v>
      </c>
      <c r="J177" s="244"/>
      <c r="K177" s="244"/>
      <c r="L177" s="244"/>
      <c r="M177" s="244"/>
      <c r="N177" s="244"/>
    </row>
    <row r="178" spans="1:51" ht="12.95" customHeight="1">
      <c r="A178" s="18"/>
      <c r="B178" s="18" t="s">
        <v>4</v>
      </c>
      <c r="C178" s="311">
        <v>88.347119070683988</v>
      </c>
      <c r="D178" s="311">
        <v>25.097900363820344</v>
      </c>
      <c r="E178" s="20">
        <v>18.47162256618731</v>
      </c>
      <c r="F178" s="20">
        <v>-0.12448987232765996</v>
      </c>
      <c r="G178" s="20">
        <v>2.6790096132564889</v>
      </c>
      <c r="H178" s="20">
        <v>6.6816636672665242</v>
      </c>
      <c r="I178" s="20">
        <v>5.3328633944167869</v>
      </c>
      <c r="J178" s="244"/>
      <c r="K178" s="244"/>
      <c r="L178" s="244"/>
      <c r="M178" s="244"/>
      <c r="N178" s="244"/>
    </row>
    <row r="179" spans="1:51" ht="12.95" customHeight="1">
      <c r="A179" s="18"/>
      <c r="B179" s="31" t="s">
        <v>5</v>
      </c>
      <c r="C179" s="311">
        <v>88.47048693045862</v>
      </c>
      <c r="D179" s="311">
        <v>25.132947055611666</v>
      </c>
      <c r="E179" s="20">
        <v>18.49741632795935</v>
      </c>
      <c r="F179" s="20">
        <v>0.13963993514709561</v>
      </c>
      <c r="G179" s="20">
        <v>2.8223905156901097</v>
      </c>
      <c r="H179" s="20">
        <v>6.6802448058625341</v>
      </c>
      <c r="I179" s="20">
        <v>5.3564283880125796</v>
      </c>
      <c r="J179" s="244"/>
      <c r="K179" s="244"/>
      <c r="L179" s="244"/>
      <c r="M179" s="244"/>
      <c r="N179" s="244"/>
    </row>
    <row r="180" spans="1:51" ht="12.95" customHeight="1">
      <c r="A180" s="18"/>
      <c r="B180" s="18" t="s">
        <v>6</v>
      </c>
      <c r="C180" s="311">
        <v>89.235533255503952</v>
      </c>
      <c r="D180" s="311">
        <v>25.350283587257167</v>
      </c>
      <c r="E180" s="20">
        <v>18.657372273445016</v>
      </c>
      <c r="F180" s="20">
        <v>0.86474750121663391</v>
      </c>
      <c r="G180" s="20">
        <v>3.7115445683657544</v>
      </c>
      <c r="H180" s="20">
        <v>7.4707829763471345</v>
      </c>
      <c r="I180" s="20">
        <v>5.4250035849349176</v>
      </c>
      <c r="J180" s="244"/>
      <c r="K180" s="244"/>
      <c r="L180" s="244"/>
      <c r="M180" s="244"/>
      <c r="N180" s="244"/>
    </row>
    <row r="181" spans="1:51" ht="12.95" customHeight="1">
      <c r="A181" s="18"/>
      <c r="B181" s="32" t="s">
        <v>7</v>
      </c>
      <c r="C181" s="311">
        <v>89.401955670367713</v>
      </c>
      <c r="D181" s="311">
        <v>25.397561339270961</v>
      </c>
      <c r="E181" s="20">
        <v>18.692167884963002</v>
      </c>
      <c r="F181" s="20">
        <v>0.18649792161520296</v>
      </c>
      <c r="G181" s="20">
        <v>3.9049644434607789</v>
      </c>
      <c r="H181" s="20">
        <v>7.4269738936644458</v>
      </c>
      <c r="I181" s="314">
        <v>5.5058811612919367</v>
      </c>
      <c r="J181" s="244"/>
      <c r="K181" s="244"/>
      <c r="L181" s="244"/>
      <c r="M181" s="244"/>
      <c r="N181" s="244"/>
    </row>
    <row r="182" spans="1:51" ht="12.95" customHeight="1">
      <c r="A182" s="18"/>
      <c r="B182" s="18" t="s">
        <v>8</v>
      </c>
      <c r="C182" s="311">
        <v>89.790274638383138</v>
      </c>
      <c r="D182" s="311">
        <v>25.507876093969813</v>
      </c>
      <c r="E182" s="20">
        <v>18.773357645171636</v>
      </c>
      <c r="F182" s="20">
        <v>0.43435176009705145</v>
      </c>
      <c r="G182" s="20">
        <v>4.3562774853491693</v>
      </c>
      <c r="H182" s="20">
        <v>7.5245149072449058</v>
      </c>
      <c r="I182" s="20">
        <v>5.6185937599736224</v>
      </c>
      <c r="J182" s="244"/>
      <c r="K182" s="244"/>
      <c r="L182" s="244"/>
      <c r="M182" s="244"/>
      <c r="N182" s="244"/>
    </row>
    <row r="183" spans="1:51" s="34" customFormat="1" ht="12.95" customHeight="1">
      <c r="A183" s="18"/>
      <c r="B183" s="18" t="s">
        <v>9</v>
      </c>
      <c r="C183" s="311">
        <v>91.494241453256834</v>
      </c>
      <c r="D183" s="311">
        <v>25.991943823543888</v>
      </c>
      <c r="E183" s="20">
        <v>19.129623160116989</v>
      </c>
      <c r="F183" s="20">
        <v>1.8977186802648482</v>
      </c>
      <c r="G183" s="20">
        <v>6.336666057217677</v>
      </c>
      <c r="H183" s="20">
        <v>9.2843862494560891</v>
      </c>
      <c r="I183" s="20">
        <v>5.9131123927740337</v>
      </c>
      <c r="J183" s="244"/>
      <c r="K183" s="244"/>
      <c r="L183" s="244"/>
      <c r="M183" s="244"/>
      <c r="N183" s="244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spans="1:51" s="34" customFormat="1" ht="12.95" customHeight="1">
      <c r="A184" s="18"/>
      <c r="B184" s="18" t="s">
        <v>10</v>
      </c>
      <c r="C184" s="311">
        <v>92.057262558268548</v>
      </c>
      <c r="D184" s="311">
        <v>26.151888457222395</v>
      </c>
      <c r="E184" s="20">
        <v>19.24733965679475</v>
      </c>
      <c r="F184" s="20">
        <v>0.61536233982479871</v>
      </c>
      <c r="G184" s="20">
        <v>6.9910218535590429</v>
      </c>
      <c r="H184" s="20">
        <v>9.7799148885751706</v>
      </c>
      <c r="I184" s="20">
        <v>6.3287112486457131</v>
      </c>
      <c r="J184" s="244"/>
      <c r="K184" s="244"/>
      <c r="L184" s="244"/>
      <c r="M184" s="244"/>
      <c r="N184" s="244"/>
      <c r="R184" s="15"/>
      <c r="S184" s="15"/>
      <c r="T184" s="15"/>
      <c r="U184" s="15"/>
      <c r="V184" s="15"/>
    </row>
    <row r="185" spans="1:51" s="34" customFormat="1" ht="12.95" customHeight="1">
      <c r="A185" s="18"/>
      <c r="B185" s="18" t="s">
        <v>11</v>
      </c>
      <c r="C185" s="311">
        <v>92.638499051971806</v>
      </c>
      <c r="D185" s="311">
        <v>26.317007770225793</v>
      </c>
      <c r="E185" s="20">
        <v>19.368864628365028</v>
      </c>
      <c r="F185" s="20">
        <v>0.63138581090802504</v>
      </c>
      <c r="G185" s="20">
        <v>7.666547984487937</v>
      </c>
      <c r="H185" s="20">
        <v>9.8731243616937867</v>
      </c>
      <c r="I185" s="20">
        <v>6.8370462738039484</v>
      </c>
      <c r="J185" s="244"/>
      <c r="K185" s="244"/>
      <c r="L185" s="244"/>
      <c r="M185" s="244"/>
      <c r="N185" s="244"/>
      <c r="R185" s="15"/>
      <c r="S185" s="15"/>
      <c r="T185" s="15"/>
      <c r="U185" s="15"/>
      <c r="V185" s="15"/>
    </row>
    <row r="186" spans="1:51" s="34" customFormat="1" ht="12.75" customHeight="1">
      <c r="A186" s="18"/>
      <c r="B186" s="18" t="s">
        <v>12</v>
      </c>
      <c r="C186" s="311">
        <v>92.937397020955984</v>
      </c>
      <c r="D186" s="311">
        <v>26.401919553693357</v>
      </c>
      <c r="E186" s="20">
        <v>19.431358239101314</v>
      </c>
      <c r="F186" s="20">
        <v>0.32264984001575403</v>
      </c>
      <c r="G186" s="20">
        <v>8.0139339293103582</v>
      </c>
      <c r="H186" s="20">
        <v>9.9770732089669458</v>
      </c>
      <c r="I186" s="20">
        <v>7.3955242170526292</v>
      </c>
      <c r="J186" s="244"/>
      <c r="K186" s="244"/>
      <c r="L186" s="244"/>
      <c r="M186" s="244"/>
      <c r="N186" s="244"/>
      <c r="R186" s="15"/>
      <c r="S186" s="15"/>
      <c r="T186" s="15"/>
      <c r="U186" s="15"/>
      <c r="V186" s="15"/>
    </row>
    <row r="187" spans="1:51" s="34" customFormat="1" ht="12.75" customHeight="1">
      <c r="A187" s="18"/>
      <c r="B187" s="18" t="s">
        <v>13</v>
      </c>
      <c r="C187" s="311">
        <v>93.084776074914927</v>
      </c>
      <c r="D187" s="311">
        <v>26.443787413685673</v>
      </c>
      <c r="E187" s="20">
        <v>19.462172263231668</v>
      </c>
      <c r="F187" s="20">
        <v>0.15857884843246683</v>
      </c>
      <c r="G187" s="20">
        <v>8.1852211818820741</v>
      </c>
      <c r="H187" s="20">
        <v>9.4341642899555378</v>
      </c>
      <c r="I187" s="20">
        <v>7.9317895175031516</v>
      </c>
      <c r="J187" s="244"/>
      <c r="K187" s="244"/>
      <c r="L187" s="244"/>
      <c r="M187" s="244"/>
      <c r="N187" s="244"/>
      <c r="R187" s="15"/>
      <c r="S187" s="15"/>
      <c r="T187" s="15"/>
      <c r="U187" s="15"/>
      <c r="V187" s="15"/>
    </row>
    <row r="188" spans="1:51" s="34" customFormat="1" ht="12.75" customHeight="1">
      <c r="A188" s="18"/>
      <c r="B188" s="18" t="s">
        <v>14</v>
      </c>
      <c r="C188" s="311">
        <v>93.240434851006412</v>
      </c>
      <c r="D188" s="311">
        <v>26.488007400643848</v>
      </c>
      <c r="E188" s="20">
        <v>19.494717412313165</v>
      </c>
      <c r="F188" s="20">
        <v>0.16722259283965535</v>
      </c>
      <c r="G188" s="20">
        <v>8.3661313138117208</v>
      </c>
      <c r="H188" s="20">
        <v>8.3661313138117208</v>
      </c>
      <c r="I188" s="20">
        <v>8.2967322015591307</v>
      </c>
      <c r="J188" s="244"/>
      <c r="K188" s="244"/>
      <c r="L188" s="244"/>
      <c r="M188" s="244"/>
      <c r="N188" s="244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</row>
    <row r="189" spans="1:51" s="34" customFormat="1" ht="9" customHeight="1">
      <c r="A189" s="15"/>
      <c r="B189" s="15"/>
      <c r="C189" s="311"/>
      <c r="D189" s="311"/>
      <c r="E189" s="20"/>
      <c r="F189" s="20"/>
      <c r="G189" s="20"/>
      <c r="H189" s="20"/>
      <c r="I189" s="20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</row>
    <row r="190" spans="1:51" s="34" customFormat="1" ht="12.95" customHeight="1">
      <c r="A190" s="18">
        <v>1998</v>
      </c>
      <c r="B190" s="18" t="s">
        <v>3</v>
      </c>
      <c r="C190" s="311">
        <v>93.327371933397927</v>
      </c>
      <c r="D190" s="311">
        <v>26.512704733785384</v>
      </c>
      <c r="E190" s="20">
        <v>19.512894224300172</v>
      </c>
      <c r="F190" s="20">
        <v>9.323967925549681E-2</v>
      </c>
      <c r="G190" s="20">
        <v>9.323967925549681E-2</v>
      </c>
      <c r="H190" s="20">
        <v>5.5056348047474835</v>
      </c>
      <c r="I190" s="20">
        <v>8.1628142464102993</v>
      </c>
      <c r="J190" s="244"/>
      <c r="K190" s="244"/>
      <c r="L190" s="244"/>
      <c r="M190" s="244"/>
      <c r="N190" s="244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</row>
    <row r="191" spans="1:51" s="34" customFormat="1" ht="12.95" customHeight="1">
      <c r="A191" s="18"/>
      <c r="B191" s="18" t="s">
        <v>4</v>
      </c>
      <c r="C191" s="311">
        <v>93.271069822896749</v>
      </c>
      <c r="D191" s="311">
        <v>26.49671027041753</v>
      </c>
      <c r="E191" s="20">
        <v>19.501122574632394</v>
      </c>
      <c r="F191" s="20">
        <v>-6.0327543072102863E-2</v>
      </c>
      <c r="G191" s="20">
        <v>3.2855886975746706E-2</v>
      </c>
      <c r="H191" s="20">
        <v>5.5734140558372225</v>
      </c>
      <c r="I191" s="20">
        <v>8.0584810176049118</v>
      </c>
      <c r="J191" s="244"/>
      <c r="K191" s="244"/>
      <c r="L191" s="244"/>
      <c r="M191" s="244"/>
      <c r="N191" s="244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</row>
    <row r="192" spans="1:51" s="34" customFormat="1" ht="12.95" customHeight="1">
      <c r="A192" s="18"/>
      <c r="B192" s="18" t="s">
        <v>5</v>
      </c>
      <c r="C192" s="311">
        <v>93.117894963445039</v>
      </c>
      <c r="D192" s="311">
        <v>26.453195921549117</v>
      </c>
      <c r="E192" s="20">
        <v>19.469096763036241</v>
      </c>
      <c r="F192" s="20">
        <v>-0.16422547714157743</v>
      </c>
      <c r="G192" s="20">
        <v>-0.13142354790298683</v>
      </c>
      <c r="H192" s="20">
        <v>5.2530603077153515</v>
      </c>
      <c r="I192" s="20">
        <v>7.9275328404266876</v>
      </c>
      <c r="J192" s="244"/>
      <c r="K192" s="244"/>
      <c r="L192" s="244"/>
      <c r="M192" s="244"/>
      <c r="N192" s="244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</row>
    <row r="193" spans="1:57" s="34" customFormat="1" ht="12.95" customHeight="1">
      <c r="A193" s="18"/>
      <c r="B193" s="18" t="s">
        <v>6</v>
      </c>
      <c r="C193" s="311">
        <v>93.007774659082443</v>
      </c>
      <c r="D193" s="311">
        <v>26.421912632903169</v>
      </c>
      <c r="E193" s="20">
        <v>19.44607280118603</v>
      </c>
      <c r="F193" s="20">
        <v>-0.11825901391544491</v>
      </c>
      <c r="G193" s="20">
        <v>-0.24952714162662648</v>
      </c>
      <c r="H193" s="20">
        <v>4.227286223277904</v>
      </c>
      <c r="I193" s="20">
        <v>7.6434289835080049</v>
      </c>
      <c r="J193" s="244"/>
      <c r="K193" s="244"/>
      <c r="L193" s="244"/>
      <c r="M193" s="244"/>
      <c r="N193" s="244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</row>
    <row r="194" spans="1:57" s="34" customFormat="1" ht="12.95" customHeight="1">
      <c r="A194" s="18"/>
      <c r="B194" s="18" t="s">
        <v>7</v>
      </c>
      <c r="C194" s="311">
        <v>93.418448876855692</v>
      </c>
      <c r="D194" s="311">
        <v>26.538578130409846</v>
      </c>
      <c r="E194" s="20">
        <v>19.531936598762751</v>
      </c>
      <c r="F194" s="20">
        <v>0.44154826763522781</v>
      </c>
      <c r="G194" s="20">
        <v>0.19091934323745008</v>
      </c>
      <c r="H194" s="20">
        <v>4.4926234290636025</v>
      </c>
      <c r="I194" s="20">
        <v>7.3886510115653392</v>
      </c>
      <c r="J194" s="244"/>
      <c r="K194" s="244"/>
      <c r="L194" s="244"/>
      <c r="M194" s="244"/>
      <c r="N194" s="244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</row>
    <row r="195" spans="1:57" s="34" customFormat="1" ht="12.95" customHeight="1">
      <c r="A195" s="18"/>
      <c r="B195" s="18" t="s">
        <v>8</v>
      </c>
      <c r="C195" s="311">
        <v>93.9086084271012</v>
      </c>
      <c r="D195" s="311">
        <v>26.677824046788785</v>
      </c>
      <c r="E195" s="20">
        <v>19.634419195870453</v>
      </c>
      <c r="F195" s="20">
        <v>0.52469245222819261</v>
      </c>
      <c r="G195" s="20">
        <v>0.71661353484944179</v>
      </c>
      <c r="H195" s="20">
        <v>4.5866145362669197</v>
      </c>
      <c r="I195" s="20">
        <v>7.1361149170638516</v>
      </c>
      <c r="J195" s="244"/>
      <c r="K195" s="244"/>
      <c r="L195" s="244"/>
      <c r="M195" s="244"/>
      <c r="N195" s="244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</row>
    <row r="196" spans="1:57" s="34" customFormat="1" ht="12.95" customHeight="1">
      <c r="A196" s="18"/>
      <c r="B196" s="18" t="s">
        <v>9</v>
      </c>
      <c r="C196" s="311">
        <v>94.503092476216509</v>
      </c>
      <c r="D196" s="311">
        <v>26.846706762937561</v>
      </c>
      <c r="E196" s="20">
        <v>19.75871396736256</v>
      </c>
      <c r="F196" s="20">
        <v>0.63304531828600741</v>
      </c>
      <c r="G196" s="20">
        <v>1.3541953415680208</v>
      </c>
      <c r="H196" s="20">
        <v>3.2885687395931118</v>
      </c>
      <c r="I196" s="20">
        <v>6.6290636906326528</v>
      </c>
      <c r="J196" s="244"/>
      <c r="K196" s="244"/>
      <c r="L196" s="244"/>
      <c r="M196" s="244"/>
      <c r="N196" s="244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</row>
    <row r="197" spans="1:57" s="34" customFormat="1" ht="12.95" customHeight="1">
      <c r="A197" s="18"/>
      <c r="B197" s="18" t="s">
        <v>10</v>
      </c>
      <c r="C197" s="311">
        <v>94.720021196088666</v>
      </c>
      <c r="D197" s="311">
        <v>26.908332489443104</v>
      </c>
      <c r="E197" s="20">
        <v>19.804069441082522</v>
      </c>
      <c r="F197" s="20">
        <v>0.2295466890956499</v>
      </c>
      <c r="G197" s="20">
        <v>1.5868505412341305</v>
      </c>
      <c r="H197" s="20">
        <v>2.8925025183479391</v>
      </c>
      <c r="I197" s="20">
        <v>6.0537614365622217</v>
      </c>
      <c r="J197" s="244"/>
      <c r="K197" s="244"/>
      <c r="L197" s="244"/>
      <c r="M197" s="244"/>
      <c r="N197" s="244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</row>
    <row r="198" spans="1:57" s="34" customFormat="1" ht="12.95" customHeight="1">
      <c r="A198" s="18"/>
      <c r="B198" s="18" t="s">
        <v>11</v>
      </c>
      <c r="C198" s="311">
        <v>95.3385164393883</v>
      </c>
      <c r="D198" s="311">
        <v>27.084036373792877</v>
      </c>
      <c r="E198" s="20">
        <v>19.933384474932947</v>
      </c>
      <c r="F198" s="20">
        <v>0.65297202797203191</v>
      </c>
      <c r="G198" s="20">
        <v>2.2501842593661392</v>
      </c>
      <c r="H198" s="20">
        <v>2.914573762579753</v>
      </c>
      <c r="I198" s="20">
        <v>5.4785994032077623</v>
      </c>
      <c r="J198" s="244"/>
      <c r="K198" s="244"/>
      <c r="L198" s="244"/>
      <c r="M198" s="244"/>
      <c r="N198" s="244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</row>
    <row r="199" spans="1:57" s="34" customFormat="1" ht="12.75" customHeight="1">
      <c r="A199" s="18"/>
      <c r="B199" s="18" t="s">
        <v>12</v>
      </c>
      <c r="C199" s="311">
        <v>97.434942083343685</v>
      </c>
      <c r="D199" s="311">
        <v>27.67959492154873</v>
      </c>
      <c r="E199" s="20">
        <v>20.371705312562501</v>
      </c>
      <c r="F199" s="20">
        <v>2.1989283264001624</v>
      </c>
      <c r="G199" s="20">
        <v>4.4985925248417047</v>
      </c>
      <c r="H199" s="20">
        <v>4.8393275544112324</v>
      </c>
      <c r="I199" s="20">
        <v>5.0692988698312957</v>
      </c>
      <c r="J199" s="244"/>
      <c r="K199" s="244"/>
      <c r="L199" s="244"/>
      <c r="M199" s="244"/>
      <c r="N199" s="244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</row>
    <row r="200" spans="1:57" s="34" customFormat="1" ht="12.95" customHeight="1">
      <c r="A200" s="18"/>
      <c r="B200" s="18" t="s">
        <v>13</v>
      </c>
      <c r="C200" s="311">
        <v>99.207630591917351</v>
      </c>
      <c r="D200" s="311">
        <v>28.18318530493945</v>
      </c>
      <c r="E200" s="20">
        <v>20.742339164602342</v>
      </c>
      <c r="F200" s="20">
        <v>1.8193560448338308</v>
      </c>
      <c r="G200" s="20">
        <v>6.3997939847086904</v>
      </c>
      <c r="H200" s="20">
        <v>6.5777184789859833</v>
      </c>
      <c r="I200" s="20">
        <v>4.8559217297810431</v>
      </c>
      <c r="J200" s="244"/>
      <c r="K200" s="244"/>
      <c r="L200" s="244"/>
      <c r="M200" s="244"/>
      <c r="N200" s="244"/>
      <c r="R200" s="15"/>
      <c r="S200" s="15"/>
      <c r="T200" s="15"/>
      <c r="U200" s="15"/>
      <c r="V200" s="15"/>
    </row>
    <row r="201" spans="1:57" s="34" customFormat="1" ht="12.75" customHeight="1">
      <c r="A201" s="24"/>
      <c r="B201" s="24" t="s">
        <v>14</v>
      </c>
      <c r="C201" s="312">
        <v>100.53155816090813</v>
      </c>
      <c r="D201" s="312">
        <v>28.55929040678053</v>
      </c>
      <c r="E201" s="25">
        <v>21.019146044290203</v>
      </c>
      <c r="F201" s="25">
        <v>1.3345017526289471</v>
      </c>
      <c r="G201" s="25">
        <v>7.8197011002282268</v>
      </c>
      <c r="H201" s="25">
        <v>7.8197011002282268</v>
      </c>
      <c r="I201" s="25">
        <v>4.8323424169238072</v>
      </c>
      <c r="J201" s="244"/>
      <c r="K201" s="244"/>
      <c r="L201" s="244"/>
      <c r="M201" s="244"/>
      <c r="N201" s="244"/>
      <c r="R201" s="15"/>
      <c r="S201" s="15"/>
      <c r="T201" s="15"/>
      <c r="U201" s="15"/>
      <c r="V201" s="15"/>
    </row>
    <row r="202" spans="1:57" s="34" customFormat="1" ht="9.75" customHeight="1">
      <c r="A202" s="18"/>
      <c r="B202" s="18"/>
      <c r="C202" s="20"/>
      <c r="D202" s="20"/>
      <c r="E202" s="20"/>
      <c r="F202" s="20"/>
      <c r="G202" s="20"/>
      <c r="H202" s="20"/>
      <c r="I202" s="20"/>
      <c r="R202" s="15"/>
      <c r="S202" s="15"/>
      <c r="T202" s="15"/>
      <c r="U202" s="15"/>
      <c r="V202" s="15"/>
    </row>
    <row r="203" spans="1:57" s="34" customFormat="1" ht="12.75" customHeight="1">
      <c r="A203" s="18">
        <v>1999</v>
      </c>
      <c r="B203" s="18" t="s">
        <v>3</v>
      </c>
      <c r="C203" s="20">
        <v>100</v>
      </c>
      <c r="D203" s="311">
        <v>28.408283855572286</v>
      </c>
      <c r="E203" s="20">
        <v>20.908007822426782</v>
      </c>
      <c r="F203" s="20">
        <v>-0.52874756010180546</v>
      </c>
      <c r="G203" s="20">
        <v>-0.52874756010180546</v>
      </c>
      <c r="H203" s="20">
        <v>7.1497010237939085</v>
      </c>
      <c r="I203" s="20">
        <v>4.975589008355974</v>
      </c>
      <c r="J203" s="244"/>
      <c r="K203" s="244"/>
      <c r="L203" s="244"/>
      <c r="M203" s="244"/>
      <c r="N203" s="244"/>
      <c r="R203" s="15"/>
      <c r="S203" s="15"/>
      <c r="T203" s="15"/>
      <c r="U203" s="15"/>
      <c r="V203" s="15"/>
    </row>
    <row r="204" spans="1:57" s="34" customFormat="1" ht="12.95" customHeight="1">
      <c r="A204" s="18"/>
      <c r="B204" s="18" t="s">
        <v>4</v>
      </c>
      <c r="C204" s="20">
        <v>99.73</v>
      </c>
      <c r="D204" s="311">
        <v>28.331581489162243</v>
      </c>
      <c r="E204" s="20">
        <v>20.851556201306231</v>
      </c>
      <c r="F204" s="20">
        <v>-0.26999999999999247</v>
      </c>
      <c r="G204" s="20">
        <v>-0.7973199416895338</v>
      </c>
      <c r="H204" s="20">
        <v>6.9249019973369075</v>
      </c>
      <c r="I204" s="20">
        <v>5.0929723916165237</v>
      </c>
      <c r="J204" s="244"/>
      <c r="K204" s="244"/>
      <c r="L204" s="244"/>
      <c r="M204" s="244"/>
      <c r="N204" s="244"/>
      <c r="R204" s="15"/>
      <c r="S204" s="15"/>
      <c r="T204" s="15"/>
      <c r="U204" s="15"/>
      <c r="V204" s="15"/>
    </row>
    <row r="205" spans="1:57" s="34" customFormat="1" ht="12.95" customHeight="1">
      <c r="A205" s="18"/>
      <c r="B205" s="18" t="s">
        <v>5</v>
      </c>
      <c r="C205" s="20">
        <v>100.25</v>
      </c>
      <c r="D205" s="311">
        <v>28.479304565211216</v>
      </c>
      <c r="E205" s="20">
        <v>20.960277841982851</v>
      </c>
      <c r="F205" s="20">
        <v>0.52140780106286755</v>
      </c>
      <c r="G205" s="20">
        <v>-0.28006942900205001</v>
      </c>
      <c r="H205" s="20">
        <v>7.6592206464233481</v>
      </c>
      <c r="I205" s="20">
        <v>5.2966705154434912</v>
      </c>
      <c r="J205" s="244"/>
      <c r="K205" s="244"/>
      <c r="L205" s="244"/>
      <c r="M205" s="244"/>
      <c r="N205" s="244"/>
      <c r="R205" s="15"/>
      <c r="S205" s="15"/>
      <c r="T205" s="15"/>
      <c r="U205" s="15"/>
      <c r="V205" s="15"/>
    </row>
    <row r="206" spans="1:57" s="34" customFormat="1" ht="12.95" customHeight="1">
      <c r="A206" s="18"/>
      <c r="B206" s="18" t="s">
        <v>6</v>
      </c>
      <c r="C206" s="20">
        <v>100.51</v>
      </c>
      <c r="D206" s="311">
        <v>28.553166103235707</v>
      </c>
      <c r="E206" s="20">
        <v>21.014638662321165</v>
      </c>
      <c r="F206" s="20">
        <v>0.25935162094765651</v>
      </c>
      <c r="G206" s="20">
        <v>-2.1444172658302563E-2</v>
      </c>
      <c r="H206" s="20">
        <v>8.0662346437346812</v>
      </c>
      <c r="I206" s="20">
        <v>5.6154604481523318</v>
      </c>
      <c r="J206" s="244"/>
      <c r="K206" s="244"/>
      <c r="L206" s="244"/>
      <c r="M206" s="244"/>
      <c r="N206" s="244"/>
      <c r="R206" s="15"/>
      <c r="S206" s="15"/>
      <c r="T206" s="15"/>
      <c r="U206" s="15"/>
      <c r="V206" s="15"/>
    </row>
    <row r="207" spans="1:57" s="34" customFormat="1" ht="12.95" customHeight="1">
      <c r="A207" s="18"/>
      <c r="B207" s="18" t="s">
        <v>7</v>
      </c>
      <c r="C207" s="20">
        <v>100.46</v>
      </c>
      <c r="D207" s="311">
        <v>28.538961961307916</v>
      </c>
      <c r="E207" s="20">
        <v>21.004184658409947</v>
      </c>
      <c r="F207" s="20">
        <v>-4.974629390112062E-2</v>
      </c>
      <c r="G207" s="20">
        <v>-7.1179798878273637E-2</v>
      </c>
      <c r="H207" s="20">
        <v>7.53764508809871</v>
      </c>
      <c r="I207" s="20">
        <v>5.8673544548229817</v>
      </c>
      <c r="J207" s="244"/>
      <c r="K207" s="244"/>
      <c r="L207" s="244"/>
      <c r="M207" s="244"/>
      <c r="N207" s="244"/>
      <c r="R207" s="15"/>
      <c r="S207" s="15"/>
      <c r="T207" s="15"/>
      <c r="U207" s="15"/>
      <c r="V207" s="15"/>
    </row>
    <row r="208" spans="1:57" s="34" customFormat="1" ht="12.95" customHeight="1">
      <c r="A208" s="18"/>
      <c r="B208" s="18" t="s">
        <v>8</v>
      </c>
      <c r="C208" s="20">
        <v>99.91</v>
      </c>
      <c r="D208" s="311">
        <v>28.382716400102272</v>
      </c>
      <c r="E208" s="20">
        <v>20.889190615386603</v>
      </c>
      <c r="F208" s="20">
        <v>-0.54748158471031871</v>
      </c>
      <c r="G208" s="20">
        <v>-0.618271687297689</v>
      </c>
      <c r="H208" s="20">
        <v>6.3906724563569162</v>
      </c>
      <c r="I208" s="20">
        <v>6.0145005759787207</v>
      </c>
      <c r="J208" s="244"/>
      <c r="K208" s="244"/>
      <c r="L208" s="244"/>
      <c r="M208" s="244"/>
      <c r="N208" s="244"/>
      <c r="R208" s="15"/>
      <c r="S208" s="15"/>
      <c r="T208" s="15"/>
      <c r="U208" s="15"/>
      <c r="V208" s="15"/>
    </row>
    <row r="209" spans="1:22" s="34" customFormat="1" ht="12.95" customHeight="1">
      <c r="A209" s="18"/>
      <c r="B209" s="18" t="s">
        <v>9</v>
      </c>
      <c r="C209" s="20">
        <v>99.66</v>
      </c>
      <c r="D209" s="311">
        <v>28.311695690463338</v>
      </c>
      <c r="E209" s="20">
        <v>20.836920595830531</v>
      </c>
      <c r="F209" s="20">
        <v>-0.25022520268244142</v>
      </c>
      <c r="G209" s="20">
        <v>-0.86694981839746665</v>
      </c>
      <c r="H209" s="20">
        <v>5.4568664248541232</v>
      </c>
      <c r="I209" s="20">
        <v>6.1903670869771776</v>
      </c>
      <c r="J209" s="244"/>
      <c r="K209" s="244"/>
      <c r="L209" s="244"/>
      <c r="M209" s="244"/>
      <c r="N209" s="244"/>
      <c r="R209" s="15"/>
      <c r="S209" s="15"/>
      <c r="T209" s="15"/>
      <c r="U209" s="15"/>
      <c r="V209" s="15"/>
    </row>
    <row r="210" spans="1:22" s="34" customFormat="1" ht="12.75" customHeight="1">
      <c r="A210" s="18"/>
      <c r="B210" s="18" t="s">
        <v>10</v>
      </c>
      <c r="C210" s="20">
        <v>99.94</v>
      </c>
      <c r="D210" s="311">
        <v>28.391238885258943</v>
      </c>
      <c r="E210" s="20">
        <v>20.895463017733327</v>
      </c>
      <c r="F210" s="20">
        <v>0.28095524784266246</v>
      </c>
      <c r="G210" s="20">
        <v>-0.58843031156574632</v>
      </c>
      <c r="H210" s="20">
        <v>5.5109561188811274</v>
      </c>
      <c r="I210" s="20">
        <v>6.4037490122751395</v>
      </c>
      <c r="J210" s="244"/>
      <c r="K210" s="244"/>
      <c r="L210" s="244"/>
      <c r="M210" s="244"/>
      <c r="N210" s="244"/>
      <c r="R210" s="15"/>
      <c r="S210" s="15"/>
      <c r="T210" s="15"/>
      <c r="U210" s="15"/>
      <c r="V210" s="15"/>
    </row>
    <row r="211" spans="1:22" s="34" customFormat="1" ht="12" customHeight="1">
      <c r="A211" s="18"/>
      <c r="B211" s="18" t="s">
        <v>11</v>
      </c>
      <c r="C211" s="20">
        <v>100.34</v>
      </c>
      <c r="D211" s="311">
        <v>28.504872020681233</v>
      </c>
      <c r="E211" s="20">
        <v>20.979095049023037</v>
      </c>
      <c r="F211" s="20">
        <v>0.40024014408646114</v>
      </c>
      <c r="G211" s="20">
        <v>-0.19054530180613316</v>
      </c>
      <c r="H211" s="20">
        <v>5.2460262099750965</v>
      </c>
      <c r="I211" s="20">
        <v>6.593144013148855</v>
      </c>
      <c r="J211" s="244"/>
      <c r="K211" s="244"/>
      <c r="L211" s="244"/>
      <c r="M211" s="244"/>
      <c r="N211" s="244"/>
      <c r="R211" s="15"/>
      <c r="S211" s="15"/>
      <c r="T211" s="15"/>
      <c r="U211" s="15"/>
      <c r="V211" s="15"/>
    </row>
    <row r="212" spans="1:22" s="34" customFormat="1" ht="12.75" customHeight="1">
      <c r="A212" s="18"/>
      <c r="B212" s="18" t="s">
        <v>12</v>
      </c>
      <c r="C212" s="20">
        <v>103.86</v>
      </c>
      <c r="D212" s="311">
        <v>29.504843612397377</v>
      </c>
      <c r="E212" s="20">
        <v>21.715056924372458</v>
      </c>
      <c r="F212" s="20">
        <v>3.5080725533187085</v>
      </c>
      <c r="G212" s="20">
        <v>3.3108427840782717</v>
      </c>
      <c r="H212" s="20">
        <v>6.5942030438736143</v>
      </c>
      <c r="I212" s="20">
        <v>6.7376869347637314</v>
      </c>
      <c r="J212" s="244"/>
      <c r="K212" s="244"/>
      <c r="L212" s="244"/>
      <c r="M212" s="244"/>
      <c r="N212" s="244"/>
      <c r="R212" s="15"/>
      <c r="S212" s="15"/>
      <c r="T212" s="15"/>
      <c r="U212" s="15"/>
      <c r="V212" s="15"/>
    </row>
    <row r="213" spans="1:22" ht="12.95" customHeight="1">
      <c r="A213" s="18"/>
      <c r="B213" s="18" t="s">
        <v>46</v>
      </c>
      <c r="C213" s="20">
        <v>105.35</v>
      </c>
      <c r="D213" s="311">
        <v>29.928127041845404</v>
      </c>
      <c r="E213" s="20">
        <v>22.026586240926619</v>
      </c>
      <c r="F213" s="20">
        <v>1.4346235316772704</v>
      </c>
      <c r="G213" s="20">
        <v>4.7929644454327569</v>
      </c>
      <c r="H213" s="20">
        <v>6.1914283925889047</v>
      </c>
      <c r="I213" s="20">
        <v>6.7030438910824053</v>
      </c>
      <c r="J213" s="244"/>
      <c r="K213" s="244"/>
      <c r="L213" s="244"/>
      <c r="M213" s="244"/>
      <c r="N213" s="244"/>
    </row>
    <row r="214" spans="1:22" s="34" customFormat="1" ht="12.95" customHeight="1">
      <c r="A214" s="18"/>
      <c r="B214" s="18" t="s">
        <v>47</v>
      </c>
      <c r="C214" s="20">
        <v>105.66</v>
      </c>
      <c r="D214" s="311">
        <v>30.016192721797676</v>
      </c>
      <c r="E214" s="20">
        <v>22.091401065176139</v>
      </c>
      <c r="F214" s="20">
        <v>0.29425723777882773</v>
      </c>
      <c r="G214" s="20">
        <v>5.101325327996431</v>
      </c>
      <c r="H214" s="20">
        <v>5.101325327996431</v>
      </c>
      <c r="I214" s="20">
        <v>6.4708281774830789</v>
      </c>
      <c r="J214" s="244"/>
      <c r="K214" s="244"/>
      <c r="L214" s="244"/>
      <c r="M214" s="244"/>
      <c r="N214" s="244"/>
      <c r="R214" s="15"/>
      <c r="S214" s="15"/>
      <c r="T214" s="15"/>
      <c r="U214" s="15"/>
      <c r="V214" s="15"/>
    </row>
    <row r="215" spans="1:22" s="34" customFormat="1" ht="12.95" customHeight="1">
      <c r="A215" s="18"/>
      <c r="B215" s="18"/>
      <c r="C215" s="311"/>
      <c r="D215" s="311"/>
      <c r="E215" s="20"/>
      <c r="F215" s="20"/>
      <c r="G215" s="20"/>
      <c r="H215" s="20"/>
      <c r="I215" s="20"/>
      <c r="R215" s="15"/>
      <c r="S215" s="15"/>
      <c r="T215" s="15"/>
      <c r="U215" s="15"/>
      <c r="V215" s="15"/>
    </row>
    <row r="216" spans="1:22" s="34" customFormat="1" ht="12.95" customHeight="1">
      <c r="A216" s="18">
        <v>2000</v>
      </c>
      <c r="B216" s="18" t="s">
        <v>3</v>
      </c>
      <c r="C216" s="20">
        <v>105.99</v>
      </c>
      <c r="D216" s="311">
        <v>30.109940058521065</v>
      </c>
      <c r="E216" s="20">
        <v>22.16039749099015</v>
      </c>
      <c r="F216" s="20">
        <v>0.31232254400910264</v>
      </c>
      <c r="G216" s="20">
        <v>0.31232254400910264</v>
      </c>
      <c r="H216" s="20">
        <v>5.9900000000000064</v>
      </c>
      <c r="I216" s="20">
        <v>6.3737936449002275</v>
      </c>
      <c r="J216" s="244"/>
      <c r="K216" s="244"/>
      <c r="L216" s="244"/>
      <c r="M216" s="244"/>
      <c r="N216" s="244"/>
      <c r="R216" s="15"/>
      <c r="S216" s="15"/>
      <c r="T216" s="15"/>
      <c r="U216" s="15"/>
      <c r="V216" s="15"/>
    </row>
    <row r="217" spans="1:22" s="34" customFormat="1" ht="12.95" customHeight="1">
      <c r="A217" s="18"/>
      <c r="B217" s="18" t="s">
        <v>4</v>
      </c>
      <c r="C217" s="20">
        <v>106.04</v>
      </c>
      <c r="D217" s="311">
        <v>30.124144200448853</v>
      </c>
      <c r="E217" s="20">
        <v>22.170851494901363</v>
      </c>
      <c r="F217" s="20">
        <v>4.7174261722804367E-2</v>
      </c>
      <c r="G217" s="20">
        <v>0.35964414158622393</v>
      </c>
      <c r="H217" s="20">
        <v>6.3270831244359949</v>
      </c>
      <c r="I217" s="20">
        <v>6.3252526384010022</v>
      </c>
      <c r="J217" s="244"/>
      <c r="K217" s="244"/>
      <c r="L217" s="244"/>
      <c r="M217" s="244"/>
      <c r="N217" s="244"/>
      <c r="R217" s="15"/>
      <c r="S217" s="15"/>
      <c r="T217" s="15"/>
      <c r="U217" s="15"/>
      <c r="V217" s="15"/>
    </row>
    <row r="218" spans="1:22" ht="12.95" customHeight="1">
      <c r="A218" s="18"/>
      <c r="B218" s="18" t="s">
        <v>48</v>
      </c>
      <c r="C218" s="20">
        <v>105.99</v>
      </c>
      <c r="D218" s="311">
        <v>30.109940058521065</v>
      </c>
      <c r="E218" s="20">
        <v>22.160397490990146</v>
      </c>
      <c r="F218" s="20">
        <v>-4.7152018106388915E-2</v>
      </c>
      <c r="G218" s="20">
        <v>0.31232254400908044</v>
      </c>
      <c r="H218" s="20">
        <v>5.7256857855361387</v>
      </c>
      <c r="I218" s="20">
        <v>6.1666340111400375</v>
      </c>
      <c r="J218" s="244"/>
      <c r="K218" s="244"/>
      <c r="L218" s="244"/>
      <c r="M218" s="244"/>
      <c r="N218" s="244"/>
    </row>
    <row r="219" spans="1:22" s="34" customFormat="1" ht="12.75" customHeight="1">
      <c r="A219" s="18"/>
      <c r="B219" s="18" t="s">
        <v>6</v>
      </c>
      <c r="C219" s="20">
        <v>106.06</v>
      </c>
      <c r="D219" s="311">
        <v>30.129825857219966</v>
      </c>
      <c r="E219" s="20">
        <v>22.175033096465846</v>
      </c>
      <c r="F219" s="20">
        <v>6.6043966411921673E-2</v>
      </c>
      <c r="G219" s="20">
        <v>0.37857278061708133</v>
      </c>
      <c r="H219" s="20">
        <v>5.5218386230225569</v>
      </c>
      <c r="I219" s="20">
        <v>5.9601567932925814</v>
      </c>
      <c r="J219" s="244"/>
      <c r="K219" s="244"/>
      <c r="L219" s="244"/>
      <c r="M219" s="244"/>
      <c r="N219" s="244"/>
      <c r="R219" s="15"/>
      <c r="S219" s="15"/>
      <c r="T219" s="15"/>
      <c r="U219" s="15"/>
      <c r="V219" s="15"/>
    </row>
    <row r="220" spans="1:22" ht="12.95" customHeight="1">
      <c r="A220" s="18"/>
      <c r="B220" s="18" t="s">
        <v>7</v>
      </c>
      <c r="C220" s="20">
        <v>106.14</v>
      </c>
      <c r="D220" s="311">
        <v>30.152552484304426</v>
      </c>
      <c r="E220" s="20">
        <v>22.191759502723787</v>
      </c>
      <c r="F220" s="20">
        <v>7.5429002451432581E-2</v>
      </c>
      <c r="G220" s="20">
        <v>0.45428733674048871</v>
      </c>
      <c r="H220" s="20">
        <v>5.6539916384630517</v>
      </c>
      <c r="I220" s="20">
        <v>5.8087674396523958</v>
      </c>
      <c r="J220" s="244"/>
      <c r="K220" s="244"/>
      <c r="L220" s="244"/>
      <c r="M220" s="244"/>
      <c r="N220" s="244"/>
    </row>
    <row r="221" spans="1:22" ht="12.95" customHeight="1">
      <c r="A221" s="18"/>
      <c r="B221" s="15" t="s">
        <v>8</v>
      </c>
      <c r="C221" s="20">
        <v>107.18</v>
      </c>
      <c r="D221" s="311">
        <v>30.447998636402378</v>
      </c>
      <c r="E221" s="20">
        <v>22.409202784077028</v>
      </c>
      <c r="F221" s="20">
        <v>0.9798379498775267</v>
      </c>
      <c r="G221" s="20">
        <v>1.4385765663448957</v>
      </c>
      <c r="H221" s="20">
        <v>7.2765488940045975</v>
      </c>
      <c r="I221" s="20">
        <v>5.886562539031992</v>
      </c>
      <c r="J221" s="244"/>
      <c r="K221" s="244"/>
      <c r="L221" s="244"/>
      <c r="M221" s="244"/>
      <c r="N221" s="244"/>
    </row>
    <row r="222" spans="1:22" ht="12.95" customHeight="1">
      <c r="A222" s="18"/>
      <c r="B222" s="15" t="s">
        <v>9</v>
      </c>
      <c r="C222" s="20">
        <v>107.67</v>
      </c>
      <c r="D222" s="311">
        <v>30.587199227294683</v>
      </c>
      <c r="E222" s="20">
        <v>22.511652022406917</v>
      </c>
      <c r="F222" s="20">
        <v>0.45717484605336534</v>
      </c>
      <c r="G222" s="20">
        <v>1.9023282226007909</v>
      </c>
      <c r="H222" s="20">
        <v>8.0373269114990986</v>
      </c>
      <c r="I222" s="20">
        <v>6.1012139523628273</v>
      </c>
      <c r="J222" s="244"/>
      <c r="K222" s="244"/>
      <c r="L222" s="244"/>
      <c r="M222" s="244"/>
      <c r="N222" s="244"/>
    </row>
    <row r="223" spans="1:22" ht="12.95" customHeight="1">
      <c r="A223" s="18"/>
      <c r="B223" s="15" t="s">
        <v>49</v>
      </c>
      <c r="C223" s="20">
        <v>108.9</v>
      </c>
      <c r="D223" s="311">
        <v>30.936621118718222</v>
      </c>
      <c r="E223" s="20">
        <v>22.768820518622768</v>
      </c>
      <c r="F223" s="20">
        <v>1.1423794928949516</v>
      </c>
      <c r="G223" s="20">
        <v>3.0664395229982988</v>
      </c>
      <c r="H223" s="20">
        <v>8.9653792275365305</v>
      </c>
      <c r="I223" s="20">
        <v>6.3880217956782559</v>
      </c>
      <c r="J223" s="244"/>
      <c r="K223" s="244"/>
      <c r="L223" s="244"/>
      <c r="M223" s="244"/>
      <c r="N223" s="244"/>
    </row>
    <row r="224" spans="1:22" ht="12.95" customHeight="1">
      <c r="A224" s="18"/>
      <c r="B224" s="15" t="s">
        <v>11</v>
      </c>
      <c r="C224" s="20">
        <v>113.09</v>
      </c>
      <c r="D224" s="311">
        <v>32.126928212266698</v>
      </c>
      <c r="E224" s="20">
        <v>23.644866046382447</v>
      </c>
      <c r="F224" s="20">
        <v>3.8475665748392895</v>
      </c>
      <c r="G224" s="20">
        <v>7.0319893999621241</v>
      </c>
      <c r="H224" s="20">
        <v>12.706796890572036</v>
      </c>
      <c r="I224" s="20">
        <v>7.0081537658271964</v>
      </c>
      <c r="J224" s="244"/>
      <c r="K224" s="244"/>
      <c r="L224" s="244"/>
      <c r="M224" s="244"/>
      <c r="N224" s="244"/>
    </row>
    <row r="225" spans="1:14" ht="12.95" customHeight="1">
      <c r="A225" s="18"/>
      <c r="B225" s="15" t="s">
        <v>12</v>
      </c>
      <c r="C225" s="20">
        <v>113.39</v>
      </c>
      <c r="D225" s="311">
        <v>32.212153063833412</v>
      </c>
      <c r="E225" s="20">
        <v>23.707590069849726</v>
      </c>
      <c r="F225" s="20">
        <v>0.26527544433636585</v>
      </c>
      <c r="G225" s="20">
        <v>7.3159189854249185</v>
      </c>
      <c r="H225" s="20">
        <v>9.1758135952243247</v>
      </c>
      <c r="I225" s="20">
        <v>7.2285677423385986</v>
      </c>
      <c r="J225" s="244"/>
      <c r="K225" s="244"/>
      <c r="L225" s="244"/>
      <c r="M225" s="244"/>
      <c r="N225" s="244"/>
    </row>
    <row r="226" spans="1:14" ht="12.95" customHeight="1">
      <c r="A226" s="18"/>
      <c r="B226" s="15" t="s">
        <v>13</v>
      </c>
      <c r="C226" s="20">
        <v>113.93</v>
      </c>
      <c r="D226" s="311">
        <v>32.365557796653505</v>
      </c>
      <c r="E226" s="20">
        <v>23.820493312090832</v>
      </c>
      <c r="F226" s="20">
        <v>0.47623247199930496</v>
      </c>
      <c r="G226" s="20">
        <v>7.8269922392579794</v>
      </c>
      <c r="H226" s="20">
        <v>8.1442809682012118</v>
      </c>
      <c r="I226" s="20">
        <v>7.3932564508615517</v>
      </c>
      <c r="J226" s="244"/>
      <c r="K226" s="244"/>
      <c r="L226" s="244"/>
      <c r="M226" s="244"/>
      <c r="N226" s="244"/>
    </row>
    <row r="227" spans="1:14" ht="12.95" customHeight="1">
      <c r="A227" s="18"/>
      <c r="B227" s="15" t="s">
        <v>14</v>
      </c>
      <c r="C227" s="20">
        <v>115.19</v>
      </c>
      <c r="D227" s="311">
        <v>32.723502173233719</v>
      </c>
      <c r="E227" s="20">
        <v>24.08393421065341</v>
      </c>
      <c r="F227" s="20">
        <v>1.1059422452383005</v>
      </c>
      <c r="G227" s="20">
        <v>9.0194964982017733</v>
      </c>
      <c r="H227" s="20">
        <v>9.0194964982017733</v>
      </c>
      <c r="I227" s="20">
        <v>7.7241356618160895</v>
      </c>
      <c r="J227" s="244"/>
      <c r="K227" s="244"/>
      <c r="L227" s="244"/>
      <c r="M227" s="244"/>
      <c r="N227" s="244"/>
    </row>
    <row r="228" spans="1:14" ht="9" customHeight="1">
      <c r="A228" s="29"/>
      <c r="B228" s="29"/>
      <c r="C228" s="313"/>
      <c r="D228" s="313"/>
      <c r="E228" s="20"/>
      <c r="F228" s="20"/>
      <c r="G228" s="20"/>
      <c r="H228" s="20"/>
      <c r="I228" s="20"/>
    </row>
    <row r="229" spans="1:14" ht="12.95" customHeight="1">
      <c r="A229" s="18">
        <v>2001</v>
      </c>
      <c r="B229" s="15" t="s">
        <v>3</v>
      </c>
      <c r="C229" s="20">
        <v>118.07</v>
      </c>
      <c r="D229" s="311">
        <v>33.541660748274197</v>
      </c>
      <c r="E229" s="20">
        <v>24.686084835939297</v>
      </c>
      <c r="F229" s="20">
        <v>2.5002170327285134</v>
      </c>
      <c r="G229" s="20">
        <v>2.5002170327285134</v>
      </c>
      <c r="H229" s="20">
        <v>11.397301632229428</v>
      </c>
      <c r="I229" s="20">
        <v>8.1847649918962659</v>
      </c>
      <c r="J229" s="244"/>
      <c r="K229" s="244"/>
      <c r="L229" s="244"/>
      <c r="M229" s="244"/>
      <c r="N229" s="244"/>
    </row>
    <row r="230" spans="1:14" ht="12.95" customHeight="1">
      <c r="A230" s="18"/>
      <c r="B230" s="15" t="s">
        <v>4</v>
      </c>
      <c r="C230" s="20">
        <v>118.23</v>
      </c>
      <c r="D230" s="311">
        <v>33.587114002443116</v>
      </c>
      <c r="E230" s="20">
        <v>24.719537648455184</v>
      </c>
      <c r="F230" s="20">
        <v>0.13551283137123171</v>
      </c>
      <c r="G230" s="20">
        <v>2.6391179789912345</v>
      </c>
      <c r="H230" s="20">
        <v>11.495662014334185</v>
      </c>
      <c r="I230" s="20">
        <v>8.6215461289770765</v>
      </c>
      <c r="J230" s="244"/>
      <c r="K230" s="244"/>
      <c r="L230" s="244"/>
      <c r="M230" s="244"/>
      <c r="N230" s="244"/>
    </row>
    <row r="231" spans="1:14" ht="12.95" customHeight="1">
      <c r="A231" s="18"/>
      <c r="B231" s="18" t="s">
        <v>5</v>
      </c>
      <c r="C231" s="20">
        <v>117.73</v>
      </c>
      <c r="D231" s="311">
        <v>33.445072583165256</v>
      </c>
      <c r="E231" s="20">
        <v>24.614997609343053</v>
      </c>
      <c r="F231" s="20">
        <v>-0.4229045081620475</v>
      </c>
      <c r="G231" s="20">
        <v>2.2050525219203143</v>
      </c>
      <c r="H231" s="20">
        <v>11.076516652514412</v>
      </c>
      <c r="I231" s="20">
        <v>9.0677711942028338</v>
      </c>
      <c r="J231" s="244"/>
      <c r="K231" s="244"/>
      <c r="L231" s="244"/>
      <c r="M231" s="244"/>
      <c r="N231" s="244"/>
    </row>
    <row r="232" spans="1:14" ht="12.75" customHeight="1">
      <c r="A232" s="18"/>
      <c r="B232" s="18" t="s">
        <v>6</v>
      </c>
      <c r="C232" s="20">
        <v>118.46</v>
      </c>
      <c r="D232" s="311">
        <v>33.652453055310929</v>
      </c>
      <c r="E232" s="20">
        <v>24.767626066446766</v>
      </c>
      <c r="F232" s="20">
        <v>0.62006285568672048</v>
      </c>
      <c r="G232" s="20">
        <v>2.8387880892438488</v>
      </c>
      <c r="H232" s="20">
        <v>11.691495379973604</v>
      </c>
      <c r="I232" s="20">
        <v>9.5799105918047633</v>
      </c>
      <c r="J232" s="244"/>
      <c r="K232" s="244"/>
      <c r="L232" s="244"/>
      <c r="M232" s="244"/>
      <c r="N232" s="244"/>
    </row>
    <row r="233" spans="1:14" ht="12.75" customHeight="1">
      <c r="A233" s="18"/>
      <c r="B233" s="18" t="s">
        <v>7</v>
      </c>
      <c r="C233" s="20">
        <v>118.77</v>
      </c>
      <c r="D233" s="311">
        <v>33.740518735263201</v>
      </c>
      <c r="E233" s="20">
        <v>24.832440890696287</v>
      </c>
      <c r="F233" s="20">
        <v>0.2616917102819416</v>
      </c>
      <c r="G233" s="20">
        <v>3.1079086726278238</v>
      </c>
      <c r="H233" s="20">
        <v>11.899378179762564</v>
      </c>
      <c r="I233" s="20">
        <v>10.094462383729308</v>
      </c>
      <c r="J233" s="244"/>
      <c r="K233" s="244"/>
      <c r="L233" s="244"/>
      <c r="M233" s="244"/>
      <c r="N233" s="244"/>
    </row>
    <row r="234" spans="1:14" ht="12.95" customHeight="1">
      <c r="A234" s="18"/>
      <c r="B234" s="18" t="s">
        <v>8</v>
      </c>
      <c r="C234" s="20">
        <v>118.1</v>
      </c>
      <c r="D234" s="311">
        <v>33.550183233430872</v>
      </c>
      <c r="E234" s="20">
        <v>24.692357238286029</v>
      </c>
      <c r="F234" s="20">
        <v>-0.56411551738654309</v>
      </c>
      <c r="G234" s="20">
        <v>2.5262609601527819</v>
      </c>
      <c r="H234" s="20">
        <v>10.188467997760764</v>
      </c>
      <c r="I234" s="20">
        <v>10.327341260651156</v>
      </c>
      <c r="J234" s="244"/>
      <c r="K234" s="244"/>
      <c r="L234" s="244"/>
      <c r="M234" s="244"/>
      <c r="N234" s="244"/>
    </row>
    <row r="235" spans="1:14" ht="12.95" customHeight="1">
      <c r="A235" s="18"/>
      <c r="B235" s="18" t="s">
        <v>9</v>
      </c>
      <c r="C235" s="20">
        <v>117.82</v>
      </c>
      <c r="D235" s="311">
        <v>33.470640038635267</v>
      </c>
      <c r="E235" s="20">
        <v>24.633814816383232</v>
      </c>
      <c r="F235" s="20">
        <v>-0.23708721422524004</v>
      </c>
      <c r="G235" s="20">
        <v>2.2831843041930533</v>
      </c>
      <c r="H235" s="20">
        <v>9.4269527259217778</v>
      </c>
      <c r="I235" s="20">
        <v>10.431511958229489</v>
      </c>
      <c r="J235" s="244"/>
      <c r="K235" s="244"/>
      <c r="L235" s="244"/>
      <c r="M235" s="244"/>
      <c r="N235" s="244"/>
    </row>
    <row r="236" spans="1:14" ht="12.75" customHeight="1">
      <c r="A236" s="18"/>
      <c r="B236" s="18" t="s">
        <v>49</v>
      </c>
      <c r="C236" s="20">
        <v>118.69</v>
      </c>
      <c r="D236" s="311">
        <v>33.717792108178749</v>
      </c>
      <c r="E236" s="20">
        <v>24.815714484438349</v>
      </c>
      <c r="F236" s="20">
        <v>0.73841453063996365</v>
      </c>
      <c r="G236" s="20">
        <v>3.0384581994964854</v>
      </c>
      <c r="H236" s="20">
        <v>8.9898989898989932</v>
      </c>
      <c r="I236" s="20">
        <v>10.423265415465078</v>
      </c>
      <c r="J236" s="244"/>
      <c r="K236" s="244"/>
      <c r="L236" s="244"/>
      <c r="M236" s="244"/>
      <c r="N236" s="244"/>
    </row>
    <row r="237" spans="1:14" ht="12.95" customHeight="1">
      <c r="A237" s="18"/>
      <c r="B237" s="18" t="s">
        <v>11</v>
      </c>
      <c r="C237" s="20">
        <v>119.77</v>
      </c>
      <c r="D237" s="311">
        <v>34.024601573818927</v>
      </c>
      <c r="E237" s="20">
        <v>25.041520968920555</v>
      </c>
      <c r="F237" s="20">
        <v>0.90993344005390053</v>
      </c>
      <c r="G237" s="20">
        <v>3.9760395867696641</v>
      </c>
      <c r="H237" s="20">
        <v>5.9067998938898247</v>
      </c>
      <c r="I237" s="20">
        <v>9.8460914402502588</v>
      </c>
      <c r="J237" s="244"/>
      <c r="K237" s="244"/>
      <c r="L237" s="244"/>
      <c r="M237" s="244"/>
      <c r="N237" s="244"/>
    </row>
    <row r="238" spans="1:14" ht="12.95" customHeight="1">
      <c r="A238" s="18"/>
      <c r="B238" s="18" t="s">
        <v>12</v>
      </c>
      <c r="C238" s="20">
        <v>120.07</v>
      </c>
      <c r="D238" s="311">
        <v>34.109826425385641</v>
      </c>
      <c r="E238" s="20">
        <v>25.104244992387834</v>
      </c>
      <c r="F238" s="20">
        <v>0.25048008683308254</v>
      </c>
      <c r="G238" s="20">
        <v>4.2364788610122162</v>
      </c>
      <c r="H238" s="20">
        <v>5.8911720610283158</v>
      </c>
      <c r="I238" s="20">
        <v>9.5527542471311335</v>
      </c>
      <c r="J238" s="244"/>
      <c r="K238" s="244"/>
      <c r="L238" s="244"/>
      <c r="M238" s="244"/>
      <c r="N238" s="244"/>
    </row>
    <row r="239" spans="1:14" ht="12.95" customHeight="1">
      <c r="A239" s="18"/>
      <c r="B239" s="18" t="s">
        <v>13</v>
      </c>
      <c r="C239" s="20">
        <v>119.95</v>
      </c>
      <c r="D239" s="311">
        <v>34.075736484758956</v>
      </c>
      <c r="E239" s="20">
        <v>25.079155383000924</v>
      </c>
      <c r="F239" s="20">
        <v>-9.994170067459951E-2</v>
      </c>
      <c r="G239" s="20">
        <v>4.1323031513152086</v>
      </c>
      <c r="H239" s="20">
        <v>5.2839462828052186</v>
      </c>
      <c r="I239" s="20">
        <v>9.2927909910464521</v>
      </c>
      <c r="J239" s="244"/>
      <c r="K239" s="244"/>
      <c r="L239" s="244"/>
      <c r="M239" s="244"/>
      <c r="N239" s="244"/>
    </row>
    <row r="240" spans="1:14" ht="12.95" customHeight="1">
      <c r="A240" s="18"/>
      <c r="B240" s="18" t="s">
        <v>14</v>
      </c>
      <c r="C240" s="20">
        <v>120.24</v>
      </c>
      <c r="D240" s="311">
        <v>34.158120507940119</v>
      </c>
      <c r="E240" s="20">
        <v>25.139788605685965</v>
      </c>
      <c r="F240" s="20">
        <v>0.24176740308463618</v>
      </c>
      <c r="G240" s="20">
        <v>4.3840611164163601</v>
      </c>
      <c r="H240" s="20">
        <v>4.3840611164163601</v>
      </c>
      <c r="I240" s="20">
        <v>8.8830684881296982</v>
      </c>
      <c r="J240" s="244"/>
      <c r="K240" s="244"/>
      <c r="L240" s="244"/>
      <c r="M240" s="244"/>
      <c r="N240" s="244"/>
    </row>
    <row r="241" spans="1:14" ht="9" customHeight="1">
      <c r="A241" s="28"/>
      <c r="B241" s="28"/>
      <c r="C241" s="315"/>
      <c r="D241" s="315"/>
      <c r="E241" s="315"/>
      <c r="F241" s="315"/>
      <c r="G241" s="315"/>
      <c r="H241" s="315"/>
      <c r="I241" s="315"/>
    </row>
    <row r="242" spans="1:14" ht="12.95" customHeight="1">
      <c r="A242" s="18">
        <v>2002</v>
      </c>
      <c r="B242" s="15" t="s">
        <v>3</v>
      </c>
      <c r="C242" s="20">
        <v>120.92</v>
      </c>
      <c r="D242" s="311">
        <v>34.351296838158007</v>
      </c>
      <c r="E242" s="20">
        <v>25.281963058878464</v>
      </c>
      <c r="F242" s="20">
        <v>0.56553559547569687</v>
      </c>
      <c r="G242" s="20">
        <v>0.56553559547569687</v>
      </c>
      <c r="H242" s="20">
        <v>2.4138223087998734</v>
      </c>
      <c r="I242" s="20">
        <v>8.10350697991149</v>
      </c>
      <c r="J242" s="244"/>
      <c r="K242" s="244"/>
      <c r="L242" s="244"/>
      <c r="M242" s="244"/>
      <c r="N242" s="244"/>
    </row>
    <row r="243" spans="1:14" ht="12.95" customHeight="1">
      <c r="A243" s="18"/>
      <c r="B243" s="15" t="s">
        <v>4</v>
      </c>
      <c r="C243" s="20">
        <v>120.97</v>
      </c>
      <c r="D243" s="311">
        <v>34.365500980085791</v>
      </c>
      <c r="E243" s="20">
        <v>25.292417062789674</v>
      </c>
      <c r="F243" s="20">
        <v>4.1349652662914238E-2</v>
      </c>
      <c r="G243" s="20">
        <v>0.6071190951430161</v>
      </c>
      <c r="H243" s="20">
        <v>2.317516704728062</v>
      </c>
      <c r="I243" s="20">
        <v>7.3209680321478121</v>
      </c>
      <c r="J243" s="244"/>
      <c r="K243" s="244"/>
      <c r="L243" s="244"/>
      <c r="M243" s="244"/>
      <c r="N243" s="244"/>
    </row>
    <row r="244" spans="1:14" ht="12.95" customHeight="1">
      <c r="A244" s="18"/>
      <c r="B244" s="15" t="s">
        <v>5</v>
      </c>
      <c r="C244" s="20">
        <v>122.35</v>
      </c>
      <c r="D244" s="311">
        <v>34.757535297292691</v>
      </c>
      <c r="E244" s="20">
        <v>25.580947570739166</v>
      </c>
      <c r="F244" s="20">
        <v>1.1407787054641849</v>
      </c>
      <c r="G244" s="20">
        <v>1.7548236859614041</v>
      </c>
      <c r="H244" s="20">
        <v>3.9242334154421021</v>
      </c>
      <c r="I244" s="20">
        <v>6.7279537448535098</v>
      </c>
      <c r="J244" s="244"/>
      <c r="K244" s="244"/>
      <c r="L244" s="244"/>
      <c r="M244" s="244"/>
      <c r="N244" s="244"/>
    </row>
    <row r="245" spans="1:14" ht="12.95" customHeight="1">
      <c r="A245" s="18"/>
      <c r="B245" s="15" t="s">
        <v>6</v>
      </c>
      <c r="C245" s="20">
        <v>123.18</v>
      </c>
      <c r="D245" s="311">
        <v>34.993324053293946</v>
      </c>
      <c r="E245" s="20">
        <v>25.754484035665314</v>
      </c>
      <c r="F245" s="20">
        <v>0.67838169186762443</v>
      </c>
      <c r="G245" s="20">
        <v>2.4451097804391253</v>
      </c>
      <c r="H245" s="20">
        <v>3.9844673307445788</v>
      </c>
      <c r="I245" s="20">
        <v>6.1009735047644176</v>
      </c>
      <c r="J245" s="244"/>
      <c r="K245" s="244"/>
      <c r="L245" s="244"/>
      <c r="M245" s="244"/>
      <c r="N245" s="244"/>
    </row>
    <row r="246" spans="1:14" ht="12.95" customHeight="1">
      <c r="A246" s="18"/>
      <c r="B246" s="15" t="s">
        <v>7</v>
      </c>
      <c r="C246" s="20">
        <v>122.74</v>
      </c>
      <c r="D246" s="311">
        <v>34.868327604329423</v>
      </c>
      <c r="E246" s="20">
        <v>25.662488801246631</v>
      </c>
      <c r="F246" s="20">
        <v>-0.35720084429292642</v>
      </c>
      <c r="G246" s="20">
        <v>2.0791749833665829</v>
      </c>
      <c r="H246" s="20">
        <v>3.342594931379983</v>
      </c>
      <c r="I246" s="20">
        <v>5.412918335631578</v>
      </c>
      <c r="J246" s="244"/>
      <c r="K246" s="244"/>
      <c r="L246" s="244"/>
      <c r="M246" s="244"/>
      <c r="N246" s="244"/>
    </row>
    <row r="247" spans="1:14" ht="12.75" customHeight="1">
      <c r="A247" s="18"/>
      <c r="B247" s="15" t="s">
        <v>8</v>
      </c>
      <c r="C247" s="20">
        <v>122.88</v>
      </c>
      <c r="D247" s="311">
        <v>34.908099201727225</v>
      </c>
      <c r="E247" s="20">
        <v>25.691760012198028</v>
      </c>
      <c r="F247" s="20">
        <v>0.11406224539676213</v>
      </c>
      <c r="G247" s="20">
        <v>2.1956087824351211</v>
      </c>
      <c r="H247" s="20">
        <v>4.0474174428450471</v>
      </c>
      <c r="I247" s="20">
        <v>4.9256983199785775</v>
      </c>
      <c r="J247" s="244"/>
      <c r="K247" s="244"/>
      <c r="L247" s="244"/>
      <c r="M247" s="244"/>
      <c r="N247" s="244"/>
    </row>
    <row r="248" spans="1:14" ht="12.75" customHeight="1">
      <c r="A248" s="18"/>
      <c r="B248" s="15" t="s">
        <v>9</v>
      </c>
      <c r="C248" s="20">
        <v>123.37</v>
      </c>
      <c r="D248" s="311">
        <v>35.047299792619533</v>
      </c>
      <c r="E248" s="20">
        <v>25.794209250527921</v>
      </c>
      <c r="F248" s="20">
        <v>0.39876302083334814</v>
      </c>
      <c r="G248" s="20">
        <v>2.6031270791749828</v>
      </c>
      <c r="H248" s="20">
        <v>4.7105754540825107</v>
      </c>
      <c r="I248" s="20">
        <v>4.5592377558059338</v>
      </c>
      <c r="J248" s="244"/>
      <c r="K248" s="244"/>
      <c r="L248" s="244"/>
      <c r="M248" s="244"/>
      <c r="N248" s="244"/>
    </row>
    <row r="249" spans="1:14" ht="12.75" customHeight="1">
      <c r="A249" s="18"/>
      <c r="B249" s="15" t="s">
        <v>10</v>
      </c>
      <c r="C249" s="20">
        <v>124.47</v>
      </c>
      <c r="D249" s="311">
        <v>35.359790915030821</v>
      </c>
      <c r="E249" s="20">
        <v>26.024197336574609</v>
      </c>
      <c r="F249" s="20">
        <v>0.89162681364998164</v>
      </c>
      <c r="G249" s="20">
        <v>3.5179640718562499</v>
      </c>
      <c r="H249" s="20">
        <v>4.8698289662144845</v>
      </c>
      <c r="I249" s="20">
        <v>4.2412609617044961</v>
      </c>
      <c r="J249" s="244"/>
      <c r="K249" s="244"/>
      <c r="L249" s="244"/>
      <c r="M249" s="244"/>
      <c r="N249" s="244"/>
    </row>
    <row r="250" spans="1:14" ht="12.75" customHeight="1">
      <c r="A250" s="18"/>
      <c r="B250" s="15" t="s">
        <v>11</v>
      </c>
      <c r="C250" s="20">
        <v>126.22</v>
      </c>
      <c r="D250" s="311">
        <v>35.856935882503336</v>
      </c>
      <c r="E250" s="20">
        <v>26.390087473467077</v>
      </c>
      <c r="F250" s="20">
        <v>1.4059612758094309</v>
      </c>
      <c r="G250" s="20">
        <v>4.9733865602128668</v>
      </c>
      <c r="H250" s="20">
        <v>5.3853218669115632</v>
      </c>
      <c r="I250" s="20">
        <v>4.2048077264495776</v>
      </c>
      <c r="J250" s="244"/>
      <c r="K250" s="244"/>
      <c r="L250" s="244"/>
      <c r="M250" s="244"/>
      <c r="N250" s="244"/>
    </row>
    <row r="251" spans="1:14" ht="12.75" customHeight="1">
      <c r="A251" s="18"/>
      <c r="B251" s="15" t="s">
        <v>12</v>
      </c>
      <c r="C251" s="20">
        <v>129.88999999999999</v>
      </c>
      <c r="D251" s="311">
        <v>36.899519900002836</v>
      </c>
      <c r="E251" s="20">
        <v>27.157411360550139</v>
      </c>
      <c r="F251" s="20">
        <v>2.9076216130565768</v>
      </c>
      <c r="G251" s="20">
        <v>8.0256154357950305</v>
      </c>
      <c r="H251" s="20">
        <v>8.1785625052052779</v>
      </c>
      <c r="I251" s="20">
        <v>4.4068898736950857</v>
      </c>
      <c r="J251" s="244"/>
      <c r="K251" s="244"/>
      <c r="L251" s="244"/>
      <c r="M251" s="244"/>
      <c r="N251" s="244"/>
    </row>
    <row r="252" spans="1:14" ht="12.75" customHeight="1">
      <c r="A252" s="18"/>
      <c r="B252" s="15" t="s">
        <v>13</v>
      </c>
      <c r="C252" s="20">
        <v>130.51</v>
      </c>
      <c r="D252" s="311">
        <v>37.075651259907389</v>
      </c>
      <c r="E252" s="20">
        <v>27.28704100904919</v>
      </c>
      <c r="F252" s="20">
        <v>0.47732696897375693</v>
      </c>
      <c r="G252" s="20">
        <v>8.5412508316699665</v>
      </c>
      <c r="H252" s="20">
        <v>8.8036681950812721</v>
      </c>
      <c r="I252" s="20">
        <v>4.7077453636907407</v>
      </c>
      <c r="J252" s="244"/>
      <c r="K252" s="244"/>
      <c r="L252" s="244"/>
      <c r="M252" s="244"/>
      <c r="N252" s="244"/>
    </row>
    <row r="253" spans="1:14" ht="12.75" customHeight="1">
      <c r="A253" s="18"/>
      <c r="B253" s="15" t="s">
        <v>14</v>
      </c>
      <c r="C253" s="20">
        <v>132.88</v>
      </c>
      <c r="D253" s="311">
        <v>37.748927587284456</v>
      </c>
      <c r="E253" s="20">
        <v>27.782560794440705</v>
      </c>
      <c r="F253" s="20">
        <v>1.8159528005516901</v>
      </c>
      <c r="G253" s="20">
        <v>10.512308715901518</v>
      </c>
      <c r="H253" s="20">
        <v>10.512308715901518</v>
      </c>
      <c r="I253" s="20">
        <v>5.2233676975944832</v>
      </c>
      <c r="J253" s="244"/>
      <c r="K253" s="244"/>
      <c r="L253" s="244"/>
      <c r="M253" s="244"/>
      <c r="N253" s="244"/>
    </row>
    <row r="254" spans="1:14" ht="9" customHeight="1">
      <c r="A254" s="18"/>
      <c r="C254" s="20"/>
      <c r="D254" s="20"/>
      <c r="E254" s="20"/>
      <c r="F254" s="20"/>
      <c r="G254" s="20"/>
      <c r="H254" s="20"/>
      <c r="I254" s="20"/>
    </row>
    <row r="255" spans="1:14" ht="12.75" customHeight="1">
      <c r="A255" s="18">
        <v>2003</v>
      </c>
      <c r="B255" s="15" t="s">
        <v>3</v>
      </c>
      <c r="C255" s="20">
        <v>137.25</v>
      </c>
      <c r="D255" s="311">
        <v>38.990369591772961</v>
      </c>
      <c r="E255" s="20">
        <v>28.696240736280757</v>
      </c>
      <c r="F255" s="20">
        <v>3.2886815171583317</v>
      </c>
      <c r="G255" s="20">
        <v>3.2886815171583317</v>
      </c>
      <c r="H255" s="20">
        <v>13.504796559708886</v>
      </c>
      <c r="I255" s="20">
        <v>6.1564304461942054</v>
      </c>
      <c r="J255" s="244"/>
      <c r="K255" s="244"/>
      <c r="L255" s="244"/>
      <c r="M255" s="244"/>
      <c r="N255" s="244"/>
    </row>
    <row r="256" spans="1:14" ht="12.75" customHeight="1">
      <c r="A256" s="18"/>
      <c r="B256" s="15" t="s">
        <v>4</v>
      </c>
      <c r="C256" s="20">
        <v>142.71</v>
      </c>
      <c r="D256" s="311">
        <v>40.541461890287209</v>
      </c>
      <c r="E256" s="20">
        <v>29.837817963385262</v>
      </c>
      <c r="F256" s="20">
        <v>3.9781420765027553</v>
      </c>
      <c r="G256" s="20">
        <v>7.3976520168573368</v>
      </c>
      <c r="H256" s="20">
        <v>17.971397867239848</v>
      </c>
      <c r="I256" s="20">
        <v>7.4719348371277139</v>
      </c>
      <c r="J256" s="244"/>
      <c r="K256" s="244"/>
      <c r="L256" s="244"/>
      <c r="M256" s="244"/>
      <c r="N256" s="244"/>
    </row>
    <row r="257" spans="1:14" ht="12.75" customHeight="1">
      <c r="A257" s="18"/>
      <c r="B257" s="15" t="s">
        <v>5</v>
      </c>
      <c r="C257" s="20">
        <v>145.24</v>
      </c>
      <c r="D257" s="311">
        <v>41.260191471833188</v>
      </c>
      <c r="E257" s="20">
        <v>30.36679056129266</v>
      </c>
      <c r="F257" s="20">
        <v>1.7728260107911176</v>
      </c>
      <c r="G257" s="20">
        <v>9.3016255267911028</v>
      </c>
      <c r="H257" s="20">
        <v>18.708622803432796</v>
      </c>
      <c r="I257" s="20">
        <v>8.7200841161192209</v>
      </c>
      <c r="J257" s="244"/>
      <c r="K257" s="244"/>
      <c r="L257" s="244"/>
      <c r="M257" s="244"/>
      <c r="N257" s="244"/>
    </row>
    <row r="258" spans="1:14" ht="12.75" customHeight="1">
      <c r="A258" s="18"/>
      <c r="B258" s="15" t="s">
        <v>6</v>
      </c>
      <c r="C258" s="20">
        <v>145.66</v>
      </c>
      <c r="D258" s="311">
        <v>41.379506264026588</v>
      </c>
      <c r="E258" s="20">
        <v>30.454604194146849</v>
      </c>
      <c r="F258" s="20">
        <v>0.28917653538969024</v>
      </c>
      <c r="G258" s="20">
        <v>9.6177001806140971</v>
      </c>
      <c r="H258" s="20">
        <v>18.249715862964756</v>
      </c>
      <c r="I258" s="20">
        <v>9.9241409465377508</v>
      </c>
      <c r="J258" s="244"/>
      <c r="K258" s="244"/>
      <c r="L258" s="244"/>
      <c r="M258" s="244"/>
      <c r="N258" s="244"/>
    </row>
    <row r="259" spans="1:14" ht="12.75" customHeight="1">
      <c r="A259" s="18"/>
      <c r="B259" s="15" t="s">
        <v>7</v>
      </c>
      <c r="C259" s="20">
        <v>147.4</v>
      </c>
      <c r="D259" s="311">
        <v>41.873810403113552</v>
      </c>
      <c r="E259" s="20">
        <v>30.818403530257079</v>
      </c>
      <c r="F259" s="20">
        <v>1.1945626802142062</v>
      </c>
      <c r="G259" s="20">
        <v>10.927152317880818</v>
      </c>
      <c r="H259" s="20">
        <v>20.091249796317424</v>
      </c>
      <c r="I259" s="20">
        <v>11.328903654485023</v>
      </c>
      <c r="J259" s="244"/>
      <c r="K259" s="244"/>
      <c r="L259" s="244"/>
      <c r="M259" s="244"/>
      <c r="N259" s="244"/>
    </row>
    <row r="260" spans="1:14" ht="12.75" customHeight="1">
      <c r="A260" s="18"/>
      <c r="B260" s="15" t="s">
        <v>8</v>
      </c>
      <c r="C260" s="20">
        <v>154.97</v>
      </c>
      <c r="D260" s="311">
        <v>44.024317490980373</v>
      </c>
      <c r="E260" s="20">
        <v>32.401139722414783</v>
      </c>
      <c r="F260" s="20">
        <v>5.1356852103120687</v>
      </c>
      <c r="G260" s="20">
        <v>16.62402167369055</v>
      </c>
      <c r="H260" s="20">
        <v>26.114908854166675</v>
      </c>
      <c r="I260" s="20">
        <v>13.175540501386585</v>
      </c>
      <c r="J260" s="244"/>
      <c r="K260" s="244"/>
      <c r="L260" s="244"/>
      <c r="M260" s="244"/>
      <c r="N260" s="244"/>
    </row>
    <row r="261" spans="1:14" ht="12.75" customHeight="1">
      <c r="A261" s="18"/>
      <c r="B261" s="15" t="s">
        <v>9</v>
      </c>
      <c r="C261" s="20">
        <v>160.63999999999999</v>
      </c>
      <c r="D261" s="311">
        <v>45.635067185591318</v>
      </c>
      <c r="E261" s="20">
        <v>33.586623765946378</v>
      </c>
      <c r="F261" s="20">
        <v>3.6587726656772235</v>
      </c>
      <c r="G261" s="20">
        <v>20.891029500301016</v>
      </c>
      <c r="H261" s="20">
        <v>30.209937586123026</v>
      </c>
      <c r="I261" s="20">
        <v>15.305161738126483</v>
      </c>
      <c r="J261" s="244"/>
      <c r="K261" s="244"/>
      <c r="L261" s="244"/>
      <c r="M261" s="244"/>
      <c r="N261" s="244"/>
    </row>
    <row r="262" spans="1:14" ht="12.75" customHeight="1">
      <c r="A262" s="18"/>
      <c r="B262" s="15" t="s">
        <v>10</v>
      </c>
      <c r="C262" s="20">
        <v>165.56</v>
      </c>
      <c r="D262" s="311">
        <v>47.032754751285481</v>
      </c>
      <c r="E262" s="20">
        <v>34.615297750809781</v>
      </c>
      <c r="F262" s="20">
        <v>3.0627490039840888</v>
      </c>
      <c r="G262" s="20">
        <v>24.593618302227593</v>
      </c>
      <c r="H262" s="20">
        <v>33.011970756005503</v>
      </c>
      <c r="I262" s="20">
        <v>17.661594485628807</v>
      </c>
      <c r="J262" s="244"/>
      <c r="K262" s="244"/>
      <c r="L262" s="244"/>
      <c r="M262" s="244"/>
      <c r="N262" s="244"/>
    </row>
    <row r="263" spans="1:14" ht="12.75" customHeight="1">
      <c r="A263" s="18"/>
      <c r="B263" s="15" t="s">
        <v>59</v>
      </c>
      <c r="C263" s="20">
        <v>168.05</v>
      </c>
      <c r="D263" s="311">
        <v>47.740121019289226</v>
      </c>
      <c r="E263" s="20">
        <v>35.135907145588206</v>
      </c>
      <c r="F263" s="20">
        <v>1.5039864701618777</v>
      </c>
      <c r="G263" s="20">
        <v>26.467489464178207</v>
      </c>
      <c r="H263" s="20">
        <v>33.140548249088923</v>
      </c>
      <c r="I263" s="20">
        <v>19.995093228655559</v>
      </c>
      <c r="J263" s="244"/>
      <c r="K263" s="244"/>
      <c r="L263" s="244"/>
      <c r="M263" s="244"/>
      <c r="N263" s="244"/>
    </row>
    <row r="264" spans="1:14" ht="12.75" customHeight="1">
      <c r="A264" s="18"/>
      <c r="B264" s="15" t="s">
        <v>12</v>
      </c>
      <c r="C264" s="20">
        <v>172.41</v>
      </c>
      <c r="D264" s="311">
        <v>48.97872219539218</v>
      </c>
      <c r="E264" s="20">
        <v>36.047496286646016</v>
      </c>
      <c r="F264" s="20">
        <v>2.5944659327581165</v>
      </c>
      <c r="G264" s="20">
        <v>29.748645394340766</v>
      </c>
      <c r="H264" s="20">
        <v>32.735391485102824</v>
      </c>
      <c r="I264" s="20">
        <v>22.07584722241025</v>
      </c>
      <c r="J264" s="244"/>
      <c r="K264" s="244"/>
      <c r="L264" s="244"/>
      <c r="M264" s="244"/>
      <c r="N264" s="244"/>
    </row>
    <row r="265" spans="1:14" ht="12.75" customHeight="1">
      <c r="A265" s="18"/>
      <c r="B265" s="15" t="s">
        <v>13</v>
      </c>
      <c r="C265" s="20">
        <v>182.78</v>
      </c>
      <c r="D265" s="311">
        <v>51.924661231215026</v>
      </c>
      <c r="E265" s="20">
        <v>38.215656697831676</v>
      </c>
      <c r="F265" s="20">
        <v>6.0147323241111383</v>
      </c>
      <c r="G265" s="20">
        <v>37.55267910897053</v>
      </c>
      <c r="H265" s="20">
        <v>40.050570837483754</v>
      </c>
      <c r="I265" s="20">
        <v>24.722733811015395</v>
      </c>
      <c r="J265" s="244"/>
      <c r="K265" s="244"/>
      <c r="L265" s="244"/>
      <c r="M265" s="244"/>
      <c r="N265" s="244"/>
    </row>
    <row r="266" spans="1:14" ht="12.75" customHeight="1">
      <c r="A266" s="24"/>
      <c r="B266" s="23" t="s">
        <v>14</v>
      </c>
      <c r="C266" s="25">
        <v>189.56</v>
      </c>
      <c r="D266" s="312">
        <v>53.850742876622824</v>
      </c>
      <c r="E266" s="25">
        <v>39.633219628192208</v>
      </c>
      <c r="F266" s="25">
        <v>3.7093773935879204</v>
      </c>
      <c r="G266" s="25">
        <v>42.655027092113194</v>
      </c>
      <c r="H266" s="25">
        <v>42.655027092113194</v>
      </c>
      <c r="I266" s="25">
        <v>27.44971273943937</v>
      </c>
      <c r="J266" s="244"/>
      <c r="K266" s="244"/>
      <c r="L266" s="244"/>
      <c r="M266" s="244"/>
      <c r="N266" s="244"/>
    </row>
    <row r="267" spans="1:14" ht="12.75" customHeight="1">
      <c r="A267" s="18"/>
      <c r="B267" s="18"/>
      <c r="C267" s="20"/>
      <c r="D267" s="311"/>
      <c r="E267" s="20"/>
      <c r="F267" s="20"/>
      <c r="G267" s="20"/>
      <c r="H267" s="20"/>
      <c r="I267" s="20"/>
    </row>
    <row r="268" spans="1:14" ht="12.75" customHeight="1">
      <c r="A268" s="18">
        <v>2004</v>
      </c>
      <c r="B268" s="15" t="s">
        <v>3</v>
      </c>
      <c r="C268" s="20">
        <v>207.06</v>
      </c>
      <c r="D268" s="311">
        <v>58.822192551347975</v>
      </c>
      <c r="E268" s="20">
        <v>43.292120997116896</v>
      </c>
      <c r="F268" s="20">
        <v>9.2319054652880475</v>
      </c>
      <c r="G268" s="20">
        <v>9.2319054652880475</v>
      </c>
      <c r="H268" s="20">
        <v>50.863387978142093</v>
      </c>
      <c r="I268" s="20">
        <v>30.68022232331824</v>
      </c>
      <c r="J268" s="244"/>
      <c r="K268" s="244"/>
      <c r="L268" s="244"/>
      <c r="M268" s="244"/>
      <c r="N268" s="244"/>
    </row>
    <row r="269" spans="1:14" ht="12.75" customHeight="1">
      <c r="A269" s="18"/>
      <c r="B269" s="15" t="s">
        <v>4</v>
      </c>
      <c r="C269" s="20">
        <v>230.36</v>
      </c>
      <c r="D269" s="311">
        <v>65.441322689696321</v>
      </c>
      <c r="E269" s="20">
        <v>48.163686819742338</v>
      </c>
      <c r="F269" s="20">
        <v>11.252776972858115</v>
      </c>
      <c r="G269" s="20">
        <v>21.523528170500118</v>
      </c>
      <c r="H269" s="20">
        <v>61.418260808632887</v>
      </c>
      <c r="I269" s="20">
        <v>34.530858981442393</v>
      </c>
      <c r="J269" s="244"/>
      <c r="K269" s="244"/>
      <c r="L269" s="244"/>
      <c r="M269" s="244"/>
      <c r="N269" s="244"/>
    </row>
    <row r="270" spans="1:14" ht="12.75" customHeight="1">
      <c r="A270" s="18"/>
      <c r="B270" s="15" t="s">
        <v>5</v>
      </c>
      <c r="C270" s="20">
        <v>235.76</v>
      </c>
      <c r="D270" s="311">
        <v>66.97537001789722</v>
      </c>
      <c r="E270" s="20">
        <v>49.292719242153375</v>
      </c>
      <c r="F270" s="20">
        <v>2.3441569716964539</v>
      </c>
      <c r="G270" s="20">
        <v>24.372230428360385</v>
      </c>
      <c r="H270" s="20">
        <v>62.324428532084795</v>
      </c>
      <c r="I270" s="20">
        <v>38.356155609924848</v>
      </c>
      <c r="J270" s="244"/>
      <c r="K270" s="244"/>
      <c r="L270" s="244"/>
      <c r="M270" s="244"/>
      <c r="N270" s="244"/>
    </row>
    <row r="271" spans="1:14" ht="12.75" customHeight="1">
      <c r="A271" s="18"/>
      <c r="B271" s="15" t="s">
        <v>6</v>
      </c>
      <c r="C271" s="20">
        <v>237.4</v>
      </c>
      <c r="D271" s="311">
        <v>67.441265873128614</v>
      </c>
      <c r="E271" s="20">
        <v>49.63561057044118</v>
      </c>
      <c r="F271" s="20">
        <v>0.69562266711911125</v>
      </c>
      <c r="G271" s="20">
        <v>25.237391854821702</v>
      </c>
      <c r="H271" s="20">
        <v>62.982287518879602</v>
      </c>
      <c r="I271" s="20">
        <v>42.18471796037435</v>
      </c>
      <c r="J271" s="244"/>
      <c r="K271" s="244"/>
      <c r="L271" s="244"/>
      <c r="M271" s="244"/>
      <c r="N271" s="244"/>
    </row>
    <row r="272" spans="1:14" ht="12.75" customHeight="1">
      <c r="A272" s="18"/>
      <c r="B272" s="15" t="s">
        <v>7</v>
      </c>
      <c r="C272" s="20">
        <v>243.64</v>
      </c>
      <c r="D272" s="311">
        <v>69.213942785716313</v>
      </c>
      <c r="E272" s="20">
        <v>50.940270258560602</v>
      </c>
      <c r="F272" s="20">
        <v>2.6284751474304757</v>
      </c>
      <c r="G272" s="20">
        <v>28.529225575015804</v>
      </c>
      <c r="H272" s="20">
        <v>65.291723202170914</v>
      </c>
      <c r="I272" s="20">
        <v>45.988137869292814</v>
      </c>
      <c r="J272" s="244"/>
      <c r="K272" s="244"/>
      <c r="L272" s="244"/>
      <c r="M272" s="244"/>
      <c r="N272" s="244"/>
    </row>
    <row r="273" spans="1:14" ht="12.75" customHeight="1">
      <c r="A273" s="18"/>
      <c r="B273" s="15" t="s">
        <v>8</v>
      </c>
      <c r="C273" s="20">
        <v>248.49</v>
      </c>
      <c r="D273" s="311">
        <v>70.591744552711575</v>
      </c>
      <c r="E273" s="20">
        <v>51.954308637948301</v>
      </c>
      <c r="F273" s="20">
        <v>1.9906419307174517</v>
      </c>
      <c r="G273" s="20">
        <v>31.087782232538498</v>
      </c>
      <c r="H273" s="20">
        <v>60.347163967219444</v>
      </c>
      <c r="I273" s="20">
        <v>48.833027545304411</v>
      </c>
      <c r="J273" s="244"/>
      <c r="K273" s="244"/>
      <c r="L273" s="244"/>
      <c r="M273" s="244"/>
      <c r="N273" s="244"/>
    </row>
    <row r="274" spans="1:14" ht="12.75" customHeight="1">
      <c r="A274" s="18"/>
      <c r="B274" s="15" t="s">
        <v>9</v>
      </c>
      <c r="C274" s="20">
        <v>250.02</v>
      </c>
      <c r="D274" s="311">
        <v>71.026391295701828</v>
      </c>
      <c r="E274" s="20">
        <v>52.274201157631431</v>
      </c>
      <c r="F274" s="20">
        <v>0.61571894241216896</v>
      </c>
      <c r="G274" s="20">
        <v>31.894914538932252</v>
      </c>
      <c r="H274" s="20">
        <v>55.639940239043817</v>
      </c>
      <c r="I274" s="20">
        <v>50.854074285986783</v>
      </c>
      <c r="J274" s="244"/>
      <c r="K274" s="244"/>
      <c r="L274" s="244"/>
      <c r="M274" s="244"/>
      <c r="N274" s="244"/>
    </row>
    <row r="275" spans="1:14" ht="12.75" customHeight="1">
      <c r="A275" s="18"/>
      <c r="B275" s="15" t="s">
        <v>10</v>
      </c>
      <c r="C275" s="20">
        <v>251.38</v>
      </c>
      <c r="D275" s="311">
        <v>71.412743956137618</v>
      </c>
      <c r="E275" s="20">
        <v>52.558550064016444</v>
      </c>
      <c r="F275" s="20">
        <v>0.54395648348133374</v>
      </c>
      <c r="G275" s="20">
        <v>32.612365477948927</v>
      </c>
      <c r="H275" s="20">
        <v>51.836192316984778</v>
      </c>
      <c r="I275" s="20">
        <v>52.240638071358369</v>
      </c>
      <c r="J275" s="244"/>
      <c r="K275" s="244"/>
      <c r="L275" s="244"/>
      <c r="M275" s="244"/>
      <c r="N275" s="244"/>
    </row>
    <row r="276" spans="1:14" ht="12.75" customHeight="1">
      <c r="A276" s="18"/>
      <c r="B276" s="15" t="s">
        <v>59</v>
      </c>
      <c r="C276" s="20">
        <v>248.53</v>
      </c>
      <c r="D276" s="311">
        <v>70.603107866253808</v>
      </c>
      <c r="E276" s="20">
        <v>51.962671841077281</v>
      </c>
      <c r="F276" s="20">
        <v>-1.1337417455644871</v>
      </c>
      <c r="G276" s="20">
        <v>31.108883730744875</v>
      </c>
      <c r="H276" s="20">
        <v>47.890508777149662</v>
      </c>
      <c r="I276" s="20">
        <v>53.19464322224492</v>
      </c>
      <c r="J276" s="244"/>
      <c r="K276" s="244"/>
      <c r="L276" s="244"/>
      <c r="M276" s="244"/>
      <c r="N276" s="244"/>
    </row>
    <row r="277" spans="1:14" ht="12.75" customHeight="1">
      <c r="A277" s="18"/>
      <c r="B277" s="15" t="s">
        <v>12</v>
      </c>
      <c r="C277" s="20">
        <v>251.88</v>
      </c>
      <c r="D277" s="311">
        <v>71.554785375415477</v>
      </c>
      <c r="E277" s="20">
        <v>52.663090103128575</v>
      </c>
      <c r="F277" s="20">
        <v>1.3479258037258912</v>
      </c>
      <c r="G277" s="20">
        <v>32.876134205528572</v>
      </c>
      <c r="H277" s="20">
        <v>46.093614059509292</v>
      </c>
      <c r="I277" s="20">
        <v>53.989397098620231</v>
      </c>
      <c r="J277" s="244"/>
      <c r="K277" s="244"/>
      <c r="L277" s="244"/>
      <c r="M277" s="244"/>
      <c r="N277" s="244"/>
    </row>
    <row r="278" spans="1:14" ht="12.75" customHeight="1">
      <c r="A278" s="18"/>
      <c r="B278" s="15" t="s">
        <v>13</v>
      </c>
      <c r="C278" s="20">
        <v>247.72</v>
      </c>
      <c r="D278" s="311">
        <v>70.373000767023669</v>
      </c>
      <c r="E278" s="20">
        <v>51.793316977715619</v>
      </c>
      <c r="F278" s="20">
        <v>-1.6515801175162825</v>
      </c>
      <c r="G278" s="20">
        <v>30.681578392065823</v>
      </c>
      <c r="H278" s="20">
        <v>35.529051318524971</v>
      </c>
      <c r="I278" s="20">
        <v>53.151356740588994</v>
      </c>
      <c r="J278" s="244"/>
      <c r="K278" s="244"/>
      <c r="L278" s="244"/>
      <c r="M278" s="244"/>
      <c r="N278" s="244"/>
    </row>
    <row r="279" spans="1:14" ht="12.75" customHeight="1">
      <c r="A279" s="18"/>
      <c r="B279" s="15" t="s">
        <v>14</v>
      </c>
      <c r="C279" s="20">
        <v>244.04</v>
      </c>
      <c r="D279" s="311">
        <v>69.327575921138603</v>
      </c>
      <c r="E279" s="20">
        <v>51.023902289850305</v>
      </c>
      <c r="F279" s="20">
        <v>-1.4855481995801889</v>
      </c>
      <c r="G279" s="20">
        <v>28.74024055707951</v>
      </c>
      <c r="H279" s="20">
        <v>28.74024055707951</v>
      </c>
      <c r="I279" s="20">
        <v>51.460859833806573</v>
      </c>
      <c r="J279" s="244"/>
      <c r="K279" s="244"/>
      <c r="L279" s="244"/>
      <c r="M279" s="244"/>
      <c r="N279" s="244"/>
    </row>
    <row r="280" spans="1:14" ht="9.75" customHeight="1">
      <c r="A280" s="18"/>
      <c r="C280" s="20"/>
      <c r="D280" s="20"/>
      <c r="E280" s="20"/>
      <c r="F280" s="20"/>
      <c r="G280" s="20"/>
      <c r="H280" s="20"/>
      <c r="I280" s="20"/>
    </row>
    <row r="281" spans="1:14" ht="12.75" customHeight="1">
      <c r="A281" s="18">
        <v>2005</v>
      </c>
      <c r="B281" s="15" t="s">
        <v>3</v>
      </c>
      <c r="C281" s="20">
        <v>245.96</v>
      </c>
      <c r="D281" s="311">
        <v>69.873014971165603</v>
      </c>
      <c r="E281" s="20">
        <v>51.425336040040911</v>
      </c>
      <c r="F281" s="20">
        <v>0.78675626946405064</v>
      </c>
      <c r="G281" s="20">
        <v>0.78675626946405064</v>
      </c>
      <c r="H281" s="20">
        <v>18.786825074857518</v>
      </c>
      <c r="I281" s="20">
        <v>48.088837763112721</v>
      </c>
      <c r="J281" s="244"/>
      <c r="K281" s="244"/>
      <c r="L281" s="244"/>
      <c r="M281" s="244"/>
      <c r="N281" s="244"/>
    </row>
    <row r="282" spans="1:14" ht="12.75" customHeight="1">
      <c r="A282" s="18"/>
      <c r="B282" s="15" t="s">
        <v>4</v>
      </c>
      <c r="C282" s="20">
        <v>246.06</v>
      </c>
      <c r="D282" s="311">
        <v>69.901423255021172</v>
      </c>
      <c r="E282" s="20">
        <v>51.446244047863331</v>
      </c>
      <c r="F282" s="20">
        <v>4.0657017401191098E-2</v>
      </c>
      <c r="G282" s="20">
        <v>0.8277331584986225</v>
      </c>
      <c r="H282" s="20">
        <v>6.8154193436360311</v>
      </c>
      <c r="I282" s="20">
        <v>42.575941324546164</v>
      </c>
      <c r="J282" s="244"/>
      <c r="K282" s="244"/>
      <c r="L282" s="244"/>
      <c r="M282" s="244"/>
      <c r="N282" s="244"/>
    </row>
    <row r="283" spans="1:14" ht="12.75" customHeight="1">
      <c r="A283" s="18"/>
      <c r="B283" s="15" t="s">
        <v>5</v>
      </c>
      <c r="C283" s="20">
        <v>245.88</v>
      </c>
      <c r="D283" s="311">
        <v>69.850288344081136</v>
      </c>
      <c r="E283" s="20">
        <v>51.408609633782959</v>
      </c>
      <c r="F283" s="20">
        <v>-7.3152889539140897E-2</v>
      </c>
      <c r="G283" s="20">
        <v>0.75397475823635318</v>
      </c>
      <c r="H283" s="20">
        <v>4.2925008483203131</v>
      </c>
      <c r="I283" s="20">
        <v>37.070007082644693</v>
      </c>
      <c r="J283" s="244"/>
      <c r="K283" s="244"/>
      <c r="L283" s="244"/>
      <c r="M283" s="244"/>
      <c r="N283" s="244"/>
    </row>
    <row r="284" spans="1:14" ht="12.75" customHeight="1">
      <c r="A284" s="18"/>
      <c r="B284" s="15" t="s">
        <v>6</v>
      </c>
      <c r="C284" s="20">
        <v>246.65</v>
      </c>
      <c r="D284" s="311">
        <v>70.069032129769042</v>
      </c>
      <c r="E284" s="20">
        <v>51.569601294015641</v>
      </c>
      <c r="F284" s="20">
        <v>0.31316089149178161</v>
      </c>
      <c r="G284" s="20">
        <v>1.0694968038026387</v>
      </c>
      <c r="H284" s="20">
        <v>3.8963774220724279</v>
      </c>
      <c r="I284" s="20">
        <v>31.896800550633863</v>
      </c>
      <c r="J284" s="244"/>
      <c r="K284" s="244"/>
      <c r="L284" s="244"/>
      <c r="M284" s="244"/>
      <c r="N284" s="244"/>
    </row>
    <row r="285" spans="1:14" ht="12.75" customHeight="1">
      <c r="A285" s="18"/>
      <c r="B285" s="15" t="s">
        <v>7</v>
      </c>
      <c r="C285" s="20">
        <v>245.91</v>
      </c>
      <c r="D285" s="311">
        <v>69.858810829237811</v>
      </c>
      <c r="E285" s="20">
        <v>51.414882036129683</v>
      </c>
      <c r="F285" s="20">
        <v>-0.30002027163997802</v>
      </c>
      <c r="G285" s="20">
        <v>0.7662678249467314</v>
      </c>
      <c r="H285" s="20">
        <v>0.93170251190279885</v>
      </c>
      <c r="I285" s="20">
        <v>26.587712237936433</v>
      </c>
      <c r="J285" s="244"/>
      <c r="K285" s="244"/>
      <c r="L285" s="244"/>
      <c r="M285" s="244"/>
      <c r="N285" s="244"/>
    </row>
    <row r="286" spans="1:14" ht="12.75" customHeight="1">
      <c r="A286" s="18"/>
      <c r="B286" s="15" t="s">
        <v>8</v>
      </c>
      <c r="C286" s="20">
        <v>246.05</v>
      </c>
      <c r="D286" s="311">
        <v>69.898582426635613</v>
      </c>
      <c r="E286" s="20">
        <v>51.444153247081083</v>
      </c>
      <c r="F286" s="20">
        <v>5.6931397665826999E-2</v>
      </c>
      <c r="G286" s="20">
        <v>0.82363546959514089</v>
      </c>
      <c r="H286" s="20">
        <v>-0.98193086240896399</v>
      </c>
      <c r="I286" s="20">
        <v>21.639342919511328</v>
      </c>
      <c r="J286" s="244"/>
      <c r="K286" s="244"/>
      <c r="L286" s="244"/>
      <c r="M286" s="244"/>
      <c r="N286" s="244"/>
    </row>
    <row r="287" spans="1:14" ht="12.75" customHeight="1">
      <c r="A287" s="18"/>
      <c r="B287" s="15" t="s">
        <v>9</v>
      </c>
      <c r="C287" s="20">
        <v>247.52</v>
      </c>
      <c r="D287" s="311">
        <v>70.316184199312531</v>
      </c>
      <c r="E287" s="20">
        <v>51.751500962070764</v>
      </c>
      <c r="F287" s="20">
        <v>0.59743954480797612</v>
      </c>
      <c r="G287" s="20">
        <v>1.4259957384035626</v>
      </c>
      <c r="H287" s="20">
        <v>-0.99992000639947953</v>
      </c>
      <c r="I287" s="20">
        <v>17.245139445851354</v>
      </c>
      <c r="J287" s="244"/>
      <c r="K287" s="244"/>
      <c r="L287" s="244"/>
      <c r="M287" s="244"/>
      <c r="N287" s="244"/>
    </row>
    <row r="288" spans="1:14" ht="12.75" customHeight="1">
      <c r="A288" s="18"/>
      <c r="B288" s="15" t="s">
        <v>10</v>
      </c>
      <c r="C288" s="20">
        <v>250.83</v>
      </c>
      <c r="D288" s="311">
        <v>71.256498394931967</v>
      </c>
      <c r="E288" s="20">
        <v>52.443556020993086</v>
      </c>
      <c r="F288" s="20">
        <v>1.3372656755009649</v>
      </c>
      <c r="G288" s="20">
        <v>2.7823307654482932</v>
      </c>
      <c r="H288" s="20">
        <v>-0.21879226668790608</v>
      </c>
      <c r="I288" s="20">
        <v>13.379137990989353</v>
      </c>
      <c r="J288" s="244"/>
      <c r="K288" s="244"/>
      <c r="L288" s="244"/>
      <c r="M288" s="244"/>
      <c r="N288" s="244"/>
    </row>
    <row r="289" spans="1:41" ht="12.75" customHeight="1">
      <c r="A289" s="18"/>
      <c r="B289" s="15" t="s">
        <v>11</v>
      </c>
      <c r="C289" s="20">
        <v>259.01</v>
      </c>
      <c r="D289" s="311">
        <v>73.580296014317781</v>
      </c>
      <c r="E289" s="20">
        <v>54.153831060867596</v>
      </c>
      <c r="F289" s="20">
        <v>3.2611729059522476</v>
      </c>
      <c r="G289" s="20">
        <v>6.1342402884773106</v>
      </c>
      <c r="H289" s="20">
        <v>4.2167947531484895</v>
      </c>
      <c r="I289" s="20">
        <v>10.384853506537773</v>
      </c>
      <c r="J289" s="244"/>
      <c r="K289" s="244"/>
      <c r="L289" s="244"/>
      <c r="M289" s="244"/>
      <c r="N289" s="244"/>
    </row>
    <row r="290" spans="1:41" ht="12.75" customHeight="1">
      <c r="A290" s="18"/>
      <c r="B290" s="15" t="s">
        <v>12</v>
      </c>
      <c r="C290" s="20">
        <v>261.89</v>
      </c>
      <c r="D290" s="311">
        <v>74.398454589358252</v>
      </c>
      <c r="E290" s="20">
        <v>54.755981686153476</v>
      </c>
      <c r="F290" s="20">
        <v>1.1119261804563241</v>
      </c>
      <c r="G290" s="20">
        <v>7.3143746926733089</v>
      </c>
      <c r="H290" s="20">
        <v>3.9741146577735087</v>
      </c>
      <c r="I290" s="20">
        <v>7.5862665024524212</v>
      </c>
      <c r="J290" s="244"/>
      <c r="K290" s="244"/>
      <c r="L290" s="244"/>
      <c r="M290" s="244"/>
      <c r="N290" s="244"/>
    </row>
    <row r="291" spans="1:41" ht="12.75" customHeight="1">
      <c r="A291" s="18"/>
      <c r="B291" s="15" t="s">
        <v>13</v>
      </c>
      <c r="C291" s="20">
        <v>259.69</v>
      </c>
      <c r="D291" s="311">
        <v>73.773472344535662</v>
      </c>
      <c r="E291" s="20">
        <v>54.296005514060084</v>
      </c>
      <c r="F291" s="20">
        <v>-0.84004734812326287</v>
      </c>
      <c r="G291" s="20">
        <v>6.4128831339124615</v>
      </c>
      <c r="H291" s="20">
        <v>4.8320684643952561</v>
      </c>
      <c r="I291" s="20">
        <v>5.5489478499542555</v>
      </c>
      <c r="J291" s="244"/>
      <c r="K291" s="244"/>
      <c r="L291" s="244"/>
      <c r="M291" s="244"/>
      <c r="N291" s="244"/>
    </row>
    <row r="292" spans="1:41" ht="12.75" customHeight="1">
      <c r="A292" s="18"/>
      <c r="B292" s="15" t="s">
        <v>14</v>
      </c>
      <c r="C292" s="20">
        <v>262.19</v>
      </c>
      <c r="D292" s="311">
        <v>74.483679440924973</v>
      </c>
      <c r="E292" s="20">
        <v>54.818705709620758</v>
      </c>
      <c r="F292" s="20">
        <v>0.9626862797951441</v>
      </c>
      <c r="G292" s="20">
        <v>7.4373053597770689</v>
      </c>
      <c r="H292" s="20">
        <v>7.4373053597770689</v>
      </c>
      <c r="I292" s="20">
        <v>4.1902026047205609</v>
      </c>
      <c r="J292" s="244"/>
      <c r="K292" s="244"/>
      <c r="L292" s="244"/>
      <c r="M292" s="244"/>
      <c r="N292" s="244"/>
    </row>
    <row r="293" spans="1:41" ht="9" customHeight="1">
      <c r="A293" s="18"/>
      <c r="C293" s="20"/>
      <c r="D293" s="20"/>
      <c r="E293" s="20"/>
      <c r="F293" s="20"/>
      <c r="G293" s="20"/>
      <c r="H293" s="20"/>
      <c r="I293" s="20"/>
    </row>
    <row r="294" spans="1:41" ht="12.95" customHeight="1">
      <c r="A294" s="18">
        <v>2006</v>
      </c>
      <c r="B294" s="15" t="s">
        <v>3</v>
      </c>
      <c r="C294" s="20">
        <v>266.25</v>
      </c>
      <c r="D294" s="311">
        <v>75.637055765461213</v>
      </c>
      <c r="E294" s="20">
        <v>55.667570827211293</v>
      </c>
      <c r="F294" s="20">
        <v>1.5484953659560041</v>
      </c>
      <c r="G294" s="20">
        <v>1.5484953659560041</v>
      </c>
      <c r="H294" s="20">
        <v>8.2493088307041607</v>
      </c>
      <c r="I294" s="20">
        <v>3.5006370989172586</v>
      </c>
      <c r="J294" s="244"/>
      <c r="K294" s="244"/>
      <c r="L294" s="244"/>
      <c r="M294" s="244"/>
      <c r="N294" s="244"/>
    </row>
    <row r="295" spans="1:41" ht="12.95" customHeight="1">
      <c r="A295" s="18"/>
      <c r="B295" s="15" t="s">
        <v>4</v>
      </c>
      <c r="C295" s="20">
        <v>265.93</v>
      </c>
      <c r="D295" s="311">
        <v>75.546149257123389</v>
      </c>
      <c r="E295" s="20">
        <v>55.600665202179528</v>
      </c>
      <c r="F295" s="20">
        <v>-0.12018779342722885</v>
      </c>
      <c r="G295" s="20">
        <v>1.4264464701171153</v>
      </c>
      <c r="H295" s="20">
        <v>8.0752661952369298</v>
      </c>
      <c r="I295" s="20">
        <v>3.623325923114451</v>
      </c>
      <c r="J295" s="244"/>
      <c r="K295" s="244"/>
      <c r="L295" s="244"/>
      <c r="M295" s="244"/>
      <c r="N295" s="244"/>
    </row>
    <row r="296" spans="1:41" ht="12.95" customHeight="1">
      <c r="A296" s="18"/>
      <c r="B296" s="15" t="s">
        <v>5</v>
      </c>
      <c r="C296" s="20">
        <v>266.18</v>
      </c>
      <c r="D296" s="311">
        <v>75.617169966762319</v>
      </c>
      <c r="E296" s="20">
        <v>55.652935221735596</v>
      </c>
      <c r="F296" s="20">
        <v>9.4009701801223144E-2</v>
      </c>
      <c r="G296" s="20">
        <v>1.5217971699912569</v>
      </c>
      <c r="H296" s="20">
        <v>8.256059866601607</v>
      </c>
      <c r="I296" s="20">
        <v>3.954745018574779</v>
      </c>
      <c r="J296" s="244"/>
      <c r="K296" s="244"/>
      <c r="L296" s="244"/>
      <c r="M296" s="244"/>
      <c r="N296" s="244"/>
    </row>
    <row r="297" spans="1:41" ht="12.75" customHeight="1">
      <c r="A297" s="18"/>
      <c r="B297" s="15" t="s">
        <v>6</v>
      </c>
      <c r="C297" s="20">
        <v>267.76</v>
      </c>
      <c r="D297" s="311">
        <v>76.066020851680349</v>
      </c>
      <c r="E297" s="20">
        <v>55.983281745329933</v>
      </c>
      <c r="F297" s="20">
        <v>0.59358328950334105</v>
      </c>
      <c r="G297" s="20">
        <v>2.1244135931957731</v>
      </c>
      <c r="H297" s="20">
        <v>8.5586863977295877</v>
      </c>
      <c r="I297" s="20">
        <v>4.3417220772661969</v>
      </c>
      <c r="J297" s="244"/>
      <c r="K297" s="244"/>
      <c r="L297" s="244"/>
      <c r="M297" s="244"/>
      <c r="N297" s="244"/>
    </row>
    <row r="298" spans="1:41" ht="12.75" customHeight="1">
      <c r="A298" s="18"/>
      <c r="B298" s="15" t="s">
        <v>7</v>
      </c>
      <c r="C298" s="20">
        <v>269.29000000000002</v>
      </c>
      <c r="D298" s="311">
        <v>76.500667594670617</v>
      </c>
      <c r="E298" s="20">
        <v>56.30317426501307</v>
      </c>
      <c r="F298" s="20">
        <v>0.5714072303555584</v>
      </c>
      <c r="G298" s="20">
        <v>2.7079598764255142</v>
      </c>
      <c r="H298" s="20">
        <v>9.507543410190733</v>
      </c>
      <c r="I298" s="20">
        <v>5.0485783106589688</v>
      </c>
      <c r="J298" s="244"/>
      <c r="K298" s="244"/>
      <c r="L298" s="244"/>
      <c r="M298" s="244"/>
      <c r="N298" s="244"/>
    </row>
    <row r="299" spans="1:41" ht="12" customHeight="1">
      <c r="B299" s="15" t="s">
        <v>8</v>
      </c>
      <c r="C299" s="20">
        <v>271.33</v>
      </c>
      <c r="D299" s="311">
        <v>77.080196585324273</v>
      </c>
      <c r="E299" s="20">
        <v>56.729697624590571</v>
      </c>
      <c r="F299" s="20">
        <v>0.75754762523672081</v>
      </c>
      <c r="G299" s="20">
        <v>3.4860215873984579</v>
      </c>
      <c r="H299" s="20">
        <v>10.274334484860791</v>
      </c>
      <c r="I299" s="20">
        <v>5.986034046220956</v>
      </c>
      <c r="J299" s="244"/>
      <c r="K299" s="244"/>
      <c r="L299" s="244"/>
      <c r="M299" s="244"/>
      <c r="N299" s="244"/>
      <c r="AO299" s="35" t="e">
        <f t="shared" ref="AO299:AO305" si="0">(100/AL559)</f>
        <v>#DIV/0!</v>
      </c>
    </row>
    <row r="300" spans="1:41" ht="12" customHeight="1">
      <c r="B300" s="15" t="s">
        <v>9</v>
      </c>
      <c r="C300" s="20">
        <v>273.76</v>
      </c>
      <c r="D300" s="311">
        <v>77.770517883014691</v>
      </c>
      <c r="E300" s="20">
        <v>57.237762214675548</v>
      </c>
      <c r="F300" s="20">
        <v>0.89558839789187772</v>
      </c>
      <c r="G300" s="20">
        <v>4.4128303901750821</v>
      </c>
      <c r="H300" s="20">
        <v>10.601163542339997</v>
      </c>
      <c r="I300" s="20">
        <v>6.9595427924436626</v>
      </c>
      <c r="J300" s="244"/>
      <c r="K300" s="244"/>
      <c r="L300" s="244"/>
      <c r="M300" s="244"/>
      <c r="N300" s="244"/>
      <c r="AO300" s="35" t="e">
        <f t="shared" si="0"/>
        <v>#DIV/0!</v>
      </c>
    </row>
    <row r="301" spans="1:41" ht="12" customHeight="1">
      <c r="B301" s="15" t="s">
        <v>10</v>
      </c>
      <c r="C301" s="20">
        <v>274.27999999999997</v>
      </c>
      <c r="D301" s="311">
        <v>77.918240959063652</v>
      </c>
      <c r="E301" s="20">
        <v>57.346483855352155</v>
      </c>
      <c r="F301" s="20">
        <v>0.18994739918174464</v>
      </c>
      <c r="G301" s="20">
        <v>4.6111598459132708</v>
      </c>
      <c r="H301" s="20">
        <v>9.3489614479926431</v>
      </c>
      <c r="I301" s="20">
        <v>7.7697225845373863</v>
      </c>
      <c r="J301" s="244"/>
      <c r="K301" s="244"/>
      <c r="L301" s="244"/>
      <c r="M301" s="244"/>
      <c r="N301" s="244"/>
      <c r="AO301" s="35" t="e">
        <f t="shared" si="0"/>
        <v>#DIV/0!</v>
      </c>
    </row>
    <row r="302" spans="1:41" ht="12" customHeight="1">
      <c r="B302" s="15" t="s">
        <v>11</v>
      </c>
      <c r="C302" s="20">
        <v>271.26</v>
      </c>
      <c r="D302" s="311">
        <v>77.060310786625379</v>
      </c>
      <c r="E302" s="20">
        <v>56.715062019114868</v>
      </c>
      <c r="F302" s="20">
        <v>-1.1010646055126139</v>
      </c>
      <c r="G302" s="20">
        <v>3.4593233914336885</v>
      </c>
      <c r="H302" s="20">
        <v>4.7295471217327467</v>
      </c>
      <c r="I302" s="20">
        <v>7.8018209846482334</v>
      </c>
      <c r="J302" s="244"/>
      <c r="K302" s="244"/>
      <c r="L302" s="244"/>
      <c r="M302" s="244"/>
      <c r="N302" s="244"/>
      <c r="AO302" s="35" t="e">
        <f t="shared" si="0"/>
        <v>#DIV/0!</v>
      </c>
    </row>
    <row r="303" spans="1:41" ht="12" customHeight="1">
      <c r="B303" s="15" t="s">
        <v>12</v>
      </c>
      <c r="C303" s="20">
        <v>271.54000000000002</v>
      </c>
      <c r="D303" s="311">
        <v>77.139853981420998</v>
      </c>
      <c r="E303" s="20">
        <v>56.773604441017682</v>
      </c>
      <c r="F303" s="20">
        <v>0.10322200103225487</v>
      </c>
      <c r="G303" s="20">
        <v>3.5661161752927661</v>
      </c>
      <c r="H303" s="20">
        <v>3.6847531406316136</v>
      </c>
      <c r="I303" s="20">
        <v>7.7636300342759146</v>
      </c>
      <c r="J303" s="244"/>
      <c r="K303" s="244"/>
      <c r="L303" s="244"/>
      <c r="M303" s="244"/>
      <c r="N303" s="244"/>
      <c r="AO303" s="35" t="e">
        <f t="shared" si="0"/>
        <v>#DIV/0!</v>
      </c>
    </row>
    <row r="304" spans="1:41" ht="12" customHeight="1">
      <c r="B304" s="15" t="s">
        <v>13</v>
      </c>
      <c r="C304" s="20">
        <v>273.27999999999997</v>
      </c>
      <c r="D304" s="311">
        <v>77.634158120507934</v>
      </c>
      <c r="E304" s="20">
        <v>57.137403777127886</v>
      </c>
      <c r="F304" s="20">
        <v>0.64078957059729991</v>
      </c>
      <c r="G304" s="20">
        <v>4.2297570464167267</v>
      </c>
      <c r="H304" s="20">
        <v>5.2331626169663803</v>
      </c>
      <c r="I304" s="20">
        <v>7.786657065034408</v>
      </c>
      <c r="J304" s="244"/>
      <c r="K304" s="244"/>
      <c r="L304" s="244"/>
      <c r="M304" s="244"/>
      <c r="N304" s="244"/>
      <c r="AO304" s="35" t="e">
        <f t="shared" si="0"/>
        <v>#DIV/0!</v>
      </c>
    </row>
    <row r="305" spans="1:41" ht="12" customHeight="1">
      <c r="B305" s="15" t="s">
        <v>14</v>
      </c>
      <c r="C305" s="20">
        <v>275.3</v>
      </c>
      <c r="D305" s="311">
        <v>78.208005454390502</v>
      </c>
      <c r="E305" s="20">
        <v>57.559745535140912</v>
      </c>
      <c r="F305" s="20">
        <v>0.73916861826699432</v>
      </c>
      <c r="G305" s="20">
        <v>5.0001907013997648</v>
      </c>
      <c r="H305" s="20">
        <v>5.0001907013997648</v>
      </c>
      <c r="I305" s="20">
        <v>7.5728052385307665</v>
      </c>
      <c r="J305" s="244"/>
      <c r="K305" s="244"/>
      <c r="L305" s="244"/>
      <c r="M305" s="244"/>
      <c r="N305" s="244"/>
      <c r="AO305" s="35" t="e">
        <f t="shared" si="0"/>
        <v>#DIV/0!</v>
      </c>
    </row>
    <row r="306" spans="1:41" ht="9" customHeight="1">
      <c r="C306" s="20"/>
      <c r="D306" s="20"/>
      <c r="E306" s="20"/>
      <c r="F306" s="20"/>
      <c r="G306" s="20"/>
      <c r="H306" s="20"/>
      <c r="I306" s="20"/>
      <c r="AO306" s="35"/>
    </row>
    <row r="307" spans="1:41" ht="13.5" customHeight="1">
      <c r="A307" s="18">
        <v>2007</v>
      </c>
      <c r="B307" s="15" t="s">
        <v>3</v>
      </c>
      <c r="C307" s="20">
        <v>277.87</v>
      </c>
      <c r="D307" s="311">
        <v>78.938098349478707</v>
      </c>
      <c r="E307" s="20">
        <v>58.097081336177283</v>
      </c>
      <c r="F307" s="20">
        <v>0.93352706138758457</v>
      </c>
      <c r="G307" s="20">
        <v>0.93352706138758457</v>
      </c>
      <c r="H307" s="20">
        <v>4.3643192488262983</v>
      </c>
      <c r="I307" s="20">
        <v>7.2368356084570928</v>
      </c>
      <c r="J307" s="244"/>
      <c r="K307" s="244"/>
      <c r="L307" s="244"/>
      <c r="M307" s="244"/>
      <c r="N307" s="244"/>
      <c r="AO307" s="35"/>
    </row>
    <row r="308" spans="1:41" ht="12.95" customHeight="1">
      <c r="A308" s="18"/>
      <c r="B308" s="15" t="s">
        <v>4</v>
      </c>
      <c r="C308" s="20">
        <v>278.72000000000003</v>
      </c>
      <c r="D308" s="311">
        <v>79.17956876225108</v>
      </c>
      <c r="E308" s="20">
        <v>58.274799402667909</v>
      </c>
      <c r="F308" s="20">
        <v>0.30589844171735603</v>
      </c>
      <c r="G308" s="20">
        <v>1.2422811478387308</v>
      </c>
      <c r="H308" s="20">
        <v>4.8095363441507111</v>
      </c>
      <c r="I308" s="20">
        <v>6.9582706521028381</v>
      </c>
      <c r="J308" s="244"/>
      <c r="K308" s="244"/>
      <c r="L308" s="244"/>
      <c r="M308" s="244"/>
      <c r="N308" s="244"/>
    </row>
    <row r="309" spans="1:41" ht="12.95" customHeight="1">
      <c r="A309" s="18"/>
      <c r="B309" s="36" t="s">
        <v>5</v>
      </c>
      <c r="C309" s="20">
        <v>280.92</v>
      </c>
      <c r="D309" s="311">
        <v>79.80455100707367</v>
      </c>
      <c r="E309" s="20">
        <v>58.734775574761301</v>
      </c>
      <c r="F309" s="20">
        <v>0.78932261768083212</v>
      </c>
      <c r="G309" s="20">
        <v>2.0414093715946269</v>
      </c>
      <c r="H309" s="20">
        <v>5.5376061311894098</v>
      </c>
      <c r="I309" s="20">
        <v>6.731750105584644</v>
      </c>
      <c r="J309" s="244"/>
      <c r="K309" s="244"/>
      <c r="L309" s="244"/>
      <c r="M309" s="244"/>
      <c r="N309" s="244"/>
    </row>
    <row r="310" spans="1:41" ht="12.95" customHeight="1">
      <c r="A310" s="18"/>
      <c r="B310" s="15" t="s">
        <v>6</v>
      </c>
      <c r="C310" s="20">
        <v>283.2</v>
      </c>
      <c r="D310" s="311">
        <v>80.452259878980712</v>
      </c>
      <c r="E310" s="20">
        <v>59.21147815311263</v>
      </c>
      <c r="F310" s="20">
        <v>0.81161896625372432</v>
      </c>
      <c r="G310" s="20">
        <v>2.8695968034871067</v>
      </c>
      <c r="H310" s="20">
        <v>5.7663579324768399</v>
      </c>
      <c r="I310" s="20">
        <v>6.5029475253371105</v>
      </c>
      <c r="J310" s="244"/>
      <c r="K310" s="244"/>
      <c r="L310" s="244"/>
      <c r="M310" s="244"/>
      <c r="N310" s="244"/>
    </row>
    <row r="311" spans="1:41" ht="12.95" customHeight="1">
      <c r="A311" s="18"/>
      <c r="B311" s="15" t="s">
        <v>7</v>
      </c>
      <c r="C311" s="20">
        <v>286.20999999999998</v>
      </c>
      <c r="D311" s="311">
        <v>81.307349223033441</v>
      </c>
      <c r="E311" s="20">
        <v>59.840809188567682</v>
      </c>
      <c r="F311" s="20">
        <v>1.0628531073446412</v>
      </c>
      <c r="G311" s="20">
        <v>3.9629495096258793</v>
      </c>
      <c r="H311" s="20">
        <v>6.2831891269635065</v>
      </c>
      <c r="I311" s="20">
        <v>6.2473779778965399</v>
      </c>
      <c r="J311" s="244"/>
      <c r="K311" s="244"/>
      <c r="L311" s="244"/>
      <c r="M311" s="244"/>
      <c r="N311" s="244"/>
    </row>
    <row r="312" spans="1:41" ht="12.95" customHeight="1">
      <c r="A312" s="18"/>
      <c r="B312" s="15" t="s">
        <v>8</v>
      </c>
      <c r="C312" s="20">
        <v>287.36</v>
      </c>
      <c r="D312" s="311">
        <v>81.63404448737252</v>
      </c>
      <c r="E312" s="20">
        <v>60.081251278525592</v>
      </c>
      <c r="F312" s="20">
        <v>0.40180287201705411</v>
      </c>
      <c r="G312" s="20">
        <v>4.3806756265891922</v>
      </c>
      <c r="H312" s="20">
        <v>5.9079349869163078</v>
      </c>
      <c r="I312" s="20">
        <v>5.9033568730601838</v>
      </c>
      <c r="J312" s="244"/>
      <c r="K312" s="244"/>
      <c r="L312" s="244"/>
      <c r="M312" s="244"/>
      <c r="N312" s="244"/>
    </row>
    <row r="313" spans="1:41" ht="12.95" customHeight="1">
      <c r="A313" s="18"/>
      <c r="B313" s="15" t="s">
        <v>9</v>
      </c>
      <c r="C313" s="20">
        <v>288.10000000000002</v>
      </c>
      <c r="D313" s="311">
        <v>81.844265787903765</v>
      </c>
      <c r="E313" s="20">
        <v>60.235970536411557</v>
      </c>
      <c r="F313" s="20">
        <v>0.25751670378619806</v>
      </c>
      <c r="G313" s="20">
        <v>4.6494733018525469</v>
      </c>
      <c r="H313" s="20">
        <v>5.2381648158971617</v>
      </c>
      <c r="I313" s="20">
        <v>5.4796462630469556</v>
      </c>
      <c r="J313" s="244"/>
      <c r="K313" s="244"/>
      <c r="L313" s="244"/>
      <c r="M313" s="244"/>
      <c r="N313" s="244"/>
    </row>
    <row r="314" spans="1:41" ht="12.95" customHeight="1">
      <c r="A314" s="18"/>
      <c r="B314" s="15" t="s">
        <v>10</v>
      </c>
      <c r="C314" s="20">
        <v>286.25</v>
      </c>
      <c r="D314" s="311">
        <v>81.318712536575674</v>
      </c>
      <c r="E314" s="20">
        <v>59.849172391696662</v>
      </c>
      <c r="F314" s="20">
        <v>-0.64213814647691159</v>
      </c>
      <c r="G314" s="20">
        <v>3.9774791136941934</v>
      </c>
      <c r="H314" s="20">
        <v>4.3641534198629595</v>
      </c>
      <c r="I314" s="20">
        <v>5.080436332703675</v>
      </c>
      <c r="J314" s="244"/>
      <c r="K314" s="244"/>
      <c r="L314" s="244"/>
      <c r="M314" s="244"/>
      <c r="N314" s="244"/>
    </row>
    <row r="315" spans="1:41" ht="12.95" customHeight="1">
      <c r="A315" s="18"/>
      <c r="B315" s="15" t="s">
        <v>11</v>
      </c>
      <c r="C315" s="20">
        <v>289.74</v>
      </c>
      <c r="D315" s="311">
        <v>82.310161643135146</v>
      </c>
      <c r="E315" s="20">
        <v>60.578861864699348</v>
      </c>
      <c r="F315" s="20">
        <v>1.2192139737991159</v>
      </c>
      <c r="G315" s="20">
        <v>5.2451870686524016</v>
      </c>
      <c r="H315" s="20">
        <v>6.8126520681265346</v>
      </c>
      <c r="I315" s="20">
        <v>5.2551397123194343</v>
      </c>
      <c r="J315" s="244"/>
      <c r="K315" s="244"/>
      <c r="L315" s="244"/>
      <c r="M315" s="244"/>
      <c r="N315" s="244"/>
    </row>
    <row r="316" spans="1:41" ht="12.95" customHeight="1">
      <c r="A316" s="18"/>
      <c r="B316" s="15" t="s">
        <v>12</v>
      </c>
      <c r="C316" s="20">
        <v>291.12</v>
      </c>
      <c r="D316" s="311">
        <v>82.702195960342038</v>
      </c>
      <c r="E316" s="20">
        <v>60.867392372648837</v>
      </c>
      <c r="F316" s="20">
        <v>0.47628908676744519</v>
      </c>
      <c r="G316" s="20">
        <v>5.7464584090083592</v>
      </c>
      <c r="H316" s="20">
        <v>7.2107240185607768</v>
      </c>
      <c r="I316" s="20">
        <v>5.5478247904928057</v>
      </c>
      <c r="J316" s="244"/>
      <c r="K316" s="244"/>
      <c r="L316" s="244"/>
      <c r="M316" s="244"/>
      <c r="N316" s="244"/>
    </row>
    <row r="317" spans="1:41" ht="12.95" customHeight="1">
      <c r="A317" s="18"/>
      <c r="B317" s="15" t="s">
        <v>13</v>
      </c>
      <c r="C317" s="20">
        <v>296.36</v>
      </c>
      <c r="D317" s="311">
        <v>84.190790034374032</v>
      </c>
      <c r="E317" s="20">
        <v>61.962971982543998</v>
      </c>
      <c r="F317" s="20">
        <v>1.799945039846107</v>
      </c>
      <c r="G317" s="20">
        <v>7.6498365419542358</v>
      </c>
      <c r="H317" s="20">
        <v>8.4455503512880661</v>
      </c>
      <c r="I317" s="20">
        <v>5.8180356010578027</v>
      </c>
      <c r="J317" s="244"/>
      <c r="K317" s="244"/>
      <c r="L317" s="244"/>
      <c r="M317" s="244"/>
      <c r="N317" s="244"/>
    </row>
    <row r="318" spans="1:41" ht="12.95" customHeight="1">
      <c r="A318" s="18"/>
      <c r="B318" s="15" t="s">
        <v>14</v>
      </c>
      <c r="C318" s="20">
        <v>299.74</v>
      </c>
      <c r="D318" s="311">
        <v>85.150990028692377</v>
      </c>
      <c r="E318" s="20">
        <v>62.669662646942022</v>
      </c>
      <c r="F318" s="20">
        <v>1.1405047914698319</v>
      </c>
      <c r="G318" s="20">
        <v>8.8775880857246747</v>
      </c>
      <c r="H318" s="20">
        <v>8.8775880857246747</v>
      </c>
      <c r="I318" s="20">
        <v>6.1435665524804506</v>
      </c>
      <c r="J318" s="244"/>
      <c r="K318" s="244"/>
      <c r="L318" s="244"/>
      <c r="M318" s="244"/>
      <c r="N318" s="244"/>
    </row>
    <row r="319" spans="1:41" ht="12.95" customHeight="1">
      <c r="A319" s="18"/>
      <c r="C319" s="20"/>
      <c r="D319" s="20"/>
      <c r="E319" s="20"/>
      <c r="F319" s="20"/>
      <c r="G319" s="20"/>
      <c r="H319" s="20"/>
      <c r="I319" s="20"/>
    </row>
    <row r="320" spans="1:41" ht="12.95" customHeight="1">
      <c r="A320" s="18">
        <v>2008</v>
      </c>
      <c r="B320" s="15" t="s">
        <v>3</v>
      </c>
      <c r="C320" s="20">
        <v>303.01</v>
      </c>
      <c r="D320" s="311">
        <v>86.079940910769579</v>
      </c>
      <c r="E320" s="20">
        <v>63.353354502735378</v>
      </c>
      <c r="F320" s="20">
        <v>1.0909454860879464</v>
      </c>
      <c r="G320" s="20">
        <v>1.0909454860879464</v>
      </c>
      <c r="H320" s="20">
        <v>9.0473962644402217</v>
      </c>
      <c r="I320" s="20">
        <v>6.536659934065514</v>
      </c>
      <c r="J320" s="244"/>
      <c r="K320" s="244"/>
      <c r="L320" s="244"/>
      <c r="M320" s="244"/>
      <c r="N320" s="244"/>
    </row>
    <row r="321" spans="1:41" ht="12.95" customHeight="1">
      <c r="A321" s="18"/>
      <c r="B321" s="15" t="s">
        <v>4</v>
      </c>
      <c r="C321" s="20">
        <v>302.91000000000003</v>
      </c>
      <c r="D321" s="311">
        <v>86.051532626914025</v>
      </c>
      <c r="E321" s="20">
        <v>63.332446494912958</v>
      </c>
      <c r="F321" s="20">
        <v>-3.3002211148136507E-2</v>
      </c>
      <c r="G321" s="20">
        <v>1.0575832388069806</v>
      </c>
      <c r="H321" s="20">
        <v>8.6789609644087449</v>
      </c>
      <c r="I321" s="20">
        <v>6.8596605484670503</v>
      </c>
      <c r="J321" s="244"/>
      <c r="K321" s="244"/>
      <c r="L321" s="244"/>
      <c r="M321" s="244"/>
      <c r="N321" s="244"/>
    </row>
    <row r="322" spans="1:41" ht="12.95" customHeight="1">
      <c r="A322" s="18"/>
      <c r="B322" s="15" t="s">
        <v>5</v>
      </c>
      <c r="C322" s="20">
        <v>308.08999999999997</v>
      </c>
      <c r="D322" s="311">
        <v>87.523081730632654</v>
      </c>
      <c r="E322" s="20">
        <v>64.415481300114649</v>
      </c>
      <c r="F322" s="20">
        <v>1.7100789013237971</v>
      </c>
      <c r="G322" s="20">
        <v>2.7857476479615562</v>
      </c>
      <c r="H322" s="20">
        <v>9.671792681190361</v>
      </c>
      <c r="I322" s="20">
        <v>7.207234629304371</v>
      </c>
      <c r="J322" s="244"/>
      <c r="K322" s="244"/>
      <c r="L322" s="244"/>
      <c r="M322" s="244"/>
      <c r="N322" s="244"/>
    </row>
    <row r="323" spans="1:41" ht="12.75" customHeight="1">
      <c r="A323" s="18"/>
      <c r="B323" s="15" t="s">
        <v>6</v>
      </c>
      <c r="C323" s="20">
        <v>313.88</v>
      </c>
      <c r="D323" s="311">
        <v>89.167921365870285</v>
      </c>
      <c r="E323" s="20">
        <v>65.626054953033147</v>
      </c>
      <c r="F323" s="20">
        <v>1.8793209776363895</v>
      </c>
      <c r="G323" s="20">
        <v>4.7174217655300943</v>
      </c>
      <c r="H323" s="20">
        <v>10.833333333333295</v>
      </c>
      <c r="I323" s="20">
        <v>7.635234416420511</v>
      </c>
      <c r="J323" s="244"/>
      <c r="K323" s="244"/>
      <c r="L323" s="244"/>
      <c r="M323" s="244"/>
      <c r="N323" s="244"/>
    </row>
    <row r="324" spans="1:41" ht="12.75" customHeight="1">
      <c r="A324" s="18"/>
      <c r="B324" s="15" t="s">
        <v>7</v>
      </c>
      <c r="C324" s="20">
        <v>314.93</v>
      </c>
      <c r="D324" s="311">
        <v>89.46620834635381</v>
      </c>
      <c r="E324" s="20">
        <v>65.845589035168643</v>
      </c>
      <c r="F324" s="20">
        <v>0.33452274754686151</v>
      </c>
      <c r="G324" s="20">
        <v>5.0677253619803686</v>
      </c>
      <c r="H324" s="20">
        <v>10.034589986373632</v>
      </c>
      <c r="I324" s="20">
        <v>7.9519662895948251</v>
      </c>
      <c r="J324" s="244"/>
      <c r="K324" s="244"/>
      <c r="L324" s="244"/>
      <c r="M324" s="244"/>
      <c r="N324" s="244"/>
    </row>
    <row r="325" spans="1:41" ht="12.75" customHeight="1">
      <c r="A325" s="18"/>
      <c r="B325" s="15" t="s">
        <v>8</v>
      </c>
      <c r="C325" s="20">
        <v>322.43</v>
      </c>
      <c r="D325" s="311">
        <v>91.596829635521729</v>
      </c>
      <c r="E325" s="20">
        <v>67.413689621850651</v>
      </c>
      <c r="F325" s="20">
        <v>2.3814815990855109</v>
      </c>
      <c r="G325" s="20">
        <v>7.5698939080536265</v>
      </c>
      <c r="H325" s="20">
        <v>12.204203786191513</v>
      </c>
      <c r="I325" s="20">
        <v>8.4848666646669013</v>
      </c>
      <c r="J325" s="244"/>
      <c r="K325" s="244"/>
      <c r="L325" s="244"/>
      <c r="M325" s="244"/>
      <c r="N325" s="244"/>
    </row>
    <row r="326" spans="1:41" ht="12.75" customHeight="1">
      <c r="A326" s="18"/>
      <c r="B326" s="15" t="s">
        <v>9</v>
      </c>
      <c r="C326" s="20">
        <v>327.64999999999998</v>
      </c>
      <c r="D326" s="311">
        <v>93.079742052782592</v>
      </c>
      <c r="E326" s="20">
        <v>68.505087630181322</v>
      </c>
      <c r="F326" s="20">
        <v>1.6189560524765056</v>
      </c>
      <c r="G326" s="20">
        <v>9.3114032161206062</v>
      </c>
      <c r="H326" s="20">
        <v>13.72787226657406</v>
      </c>
      <c r="I326" s="20">
        <v>9.2015029689012309</v>
      </c>
      <c r="J326" s="244"/>
      <c r="K326" s="244"/>
      <c r="L326" s="244"/>
      <c r="M326" s="244"/>
      <c r="N326" s="244"/>
    </row>
    <row r="327" spans="1:41" ht="12.75" customHeight="1">
      <c r="A327" s="18"/>
      <c r="B327" s="15" t="s">
        <v>10</v>
      </c>
      <c r="C327" s="20">
        <v>327.95</v>
      </c>
      <c r="D327" s="311">
        <v>93.164966904349313</v>
      </c>
      <c r="E327" s="20">
        <v>68.567811653648604</v>
      </c>
      <c r="F327" s="20">
        <v>9.1561117045624307E-2</v>
      </c>
      <c r="G327" s="20">
        <v>9.411489957963548</v>
      </c>
      <c r="H327" s="20">
        <v>14.56768558951962</v>
      </c>
      <c r="I327" s="20">
        <v>10.053541507316943</v>
      </c>
      <c r="J327" s="244"/>
      <c r="K327" s="244"/>
      <c r="L327" s="244"/>
      <c r="M327" s="244"/>
      <c r="N327" s="244"/>
    </row>
    <row r="328" spans="1:41" ht="12.75" customHeight="1">
      <c r="A328" s="18"/>
      <c r="B328" s="15" t="s">
        <v>11</v>
      </c>
      <c r="C328" s="20">
        <v>331.98</v>
      </c>
      <c r="D328" s="311">
        <v>94.309820743728878</v>
      </c>
      <c r="E328" s="20">
        <v>69.410404368892401</v>
      </c>
      <c r="F328" s="20">
        <v>1.2288458606494856</v>
      </c>
      <c r="G328" s="20">
        <v>10.755988523386906</v>
      </c>
      <c r="H328" s="20">
        <v>14.578587699316593</v>
      </c>
      <c r="I328" s="20">
        <v>10.701822411787521</v>
      </c>
      <c r="J328" s="244"/>
      <c r="K328" s="244"/>
      <c r="L328" s="244"/>
      <c r="M328" s="244"/>
      <c r="N328" s="244"/>
      <c r="AO328" s="35"/>
    </row>
    <row r="329" spans="1:41" ht="12.75" customHeight="1">
      <c r="A329" s="18"/>
      <c r="B329" s="15" t="s">
        <v>12</v>
      </c>
      <c r="C329" s="20">
        <v>328.51</v>
      </c>
      <c r="D329" s="311">
        <v>93.324053293940509</v>
      </c>
      <c r="E329" s="20">
        <v>68.68489649745419</v>
      </c>
      <c r="F329" s="20">
        <v>-1.045243689378883</v>
      </c>
      <c r="G329" s="20">
        <v>9.5983185427370046</v>
      </c>
      <c r="H329" s="20">
        <v>12.843500961802668</v>
      </c>
      <c r="I329" s="20">
        <v>11.164278546351291</v>
      </c>
      <c r="J329" s="244"/>
      <c r="K329" s="244"/>
      <c r="L329" s="244"/>
      <c r="M329" s="244"/>
      <c r="N329" s="244"/>
      <c r="AO329" s="35"/>
    </row>
    <row r="330" spans="1:41" ht="12.75" customHeight="1">
      <c r="A330" s="18"/>
      <c r="B330" s="15" t="s">
        <v>13</v>
      </c>
      <c r="C330" s="20">
        <v>317.74</v>
      </c>
      <c r="D330" s="311">
        <v>90.264481122695386</v>
      </c>
      <c r="E330" s="20">
        <v>66.433104054978841</v>
      </c>
      <c r="F330" s="20">
        <v>-3.2784390125110141</v>
      </c>
      <c r="G330" s="20">
        <v>6.0052045105758234</v>
      </c>
      <c r="H330" s="20">
        <v>7.2141989472263468</v>
      </c>
      <c r="I330" s="20">
        <v>11.039270420764913</v>
      </c>
      <c r="J330" s="244"/>
      <c r="K330" s="244"/>
      <c r="L330" s="244"/>
      <c r="M330" s="244"/>
      <c r="N330" s="244"/>
      <c r="AO330" s="35"/>
    </row>
    <row r="331" spans="1:41" ht="12.75" customHeight="1">
      <c r="A331" s="24"/>
      <c r="B331" s="23" t="s">
        <v>14</v>
      </c>
      <c r="C331" s="25">
        <v>313.27999999999997</v>
      </c>
      <c r="D331" s="312">
        <v>88.997471662736857</v>
      </c>
      <c r="E331" s="25">
        <v>65.500606906098611</v>
      </c>
      <c r="F331" s="25">
        <v>-1.4036633725687642</v>
      </c>
      <c r="G331" s="25">
        <v>4.5172482818442772</v>
      </c>
      <c r="H331" s="25">
        <v>4.5172482818442772</v>
      </c>
      <c r="I331" s="25">
        <v>10.644621095371164</v>
      </c>
      <c r="J331" s="244"/>
      <c r="K331" s="244"/>
      <c r="L331" s="244"/>
      <c r="M331" s="244"/>
      <c r="N331" s="244"/>
      <c r="AO331" s="35"/>
    </row>
    <row r="332" spans="1:41" ht="9" customHeight="1">
      <c r="A332" s="18"/>
      <c r="C332" s="20"/>
      <c r="D332" s="20"/>
      <c r="E332" s="20"/>
      <c r="F332" s="20"/>
      <c r="G332" s="20"/>
      <c r="H332" s="20"/>
      <c r="I332" s="20"/>
      <c r="AO332" s="35"/>
    </row>
    <row r="333" spans="1:41" ht="12.75" customHeight="1">
      <c r="A333" s="32">
        <v>2009</v>
      </c>
      <c r="B333" s="37" t="s">
        <v>3</v>
      </c>
      <c r="C333" s="314">
        <v>314.16000000000003</v>
      </c>
      <c r="D333" s="311">
        <v>89.247464560665904</v>
      </c>
      <c r="E333" s="20">
        <v>65.684597374935976</v>
      </c>
      <c r="F333" s="20">
        <v>0.28089887640450062</v>
      </c>
      <c r="G333" s="314">
        <v>0.28089887640450062</v>
      </c>
      <c r="H333" s="20">
        <v>3.6797465430183918</v>
      </c>
      <c r="I333" s="314">
        <v>10.164432266410795</v>
      </c>
      <c r="J333" s="244"/>
      <c r="K333" s="244"/>
      <c r="L333" s="244"/>
      <c r="M333" s="244"/>
      <c r="N333" s="244"/>
      <c r="AO333" s="35"/>
    </row>
    <row r="334" spans="1:41" ht="12.75" customHeight="1">
      <c r="A334" s="32"/>
      <c r="B334" s="37" t="s">
        <v>4</v>
      </c>
      <c r="C334" s="314">
        <v>315.12</v>
      </c>
      <c r="D334" s="311">
        <v>89.520184085679389</v>
      </c>
      <c r="E334" s="20">
        <v>65.885314250031271</v>
      </c>
      <c r="F334" s="20">
        <v>0.30557677616500634</v>
      </c>
      <c r="G334" s="314">
        <v>0.5873340143003114</v>
      </c>
      <c r="H334" s="20">
        <v>4.0309002674061567</v>
      </c>
      <c r="I334" s="314">
        <v>9.7512961670081175</v>
      </c>
      <c r="J334" s="244"/>
      <c r="K334" s="244"/>
      <c r="L334" s="244"/>
      <c r="M334" s="244"/>
      <c r="N334" s="244"/>
      <c r="AO334" s="35"/>
    </row>
    <row r="335" spans="1:41" ht="12.75" customHeight="1">
      <c r="A335" s="32"/>
      <c r="B335" s="15" t="s">
        <v>5</v>
      </c>
      <c r="C335" s="314">
        <v>315.61</v>
      </c>
      <c r="D335" s="311">
        <v>89.65938467657169</v>
      </c>
      <c r="E335" s="20">
        <v>65.987763488361153</v>
      </c>
      <c r="F335" s="20">
        <v>0.15549631886264681</v>
      </c>
      <c r="G335" s="314">
        <v>0.74374361593463334</v>
      </c>
      <c r="H335" s="20">
        <v>2.4408452075692422</v>
      </c>
      <c r="I335" s="314">
        <v>9.1181656346089888</v>
      </c>
      <c r="J335" s="244"/>
      <c r="K335" s="244"/>
      <c r="L335" s="244"/>
      <c r="M335" s="244"/>
      <c r="N335" s="244"/>
      <c r="AO335" s="35"/>
    </row>
    <row r="336" spans="1:41" ht="12.75" customHeight="1">
      <c r="A336" s="32"/>
      <c r="B336" s="15" t="s">
        <v>6</v>
      </c>
      <c r="C336" s="314">
        <v>316.06</v>
      </c>
      <c r="D336" s="311">
        <v>89.787221953921772</v>
      </c>
      <c r="E336" s="20">
        <v>66.081849523562084</v>
      </c>
      <c r="F336" s="20">
        <v>0.14258103355409002</v>
      </c>
      <c r="G336" s="314">
        <v>0.8873850868233113</v>
      </c>
      <c r="H336" s="20">
        <v>0.69453294252586062</v>
      </c>
      <c r="I336" s="314">
        <v>8.2372346084885741</v>
      </c>
      <c r="J336" s="244"/>
      <c r="K336" s="244"/>
      <c r="L336" s="244"/>
      <c r="M336" s="244"/>
      <c r="N336" s="244"/>
      <c r="AO336" s="35"/>
    </row>
    <row r="337" spans="1:41" ht="12.75" customHeight="1">
      <c r="A337" s="32"/>
      <c r="B337" s="15" t="s">
        <v>7</v>
      </c>
      <c r="C337" s="314">
        <v>316.42</v>
      </c>
      <c r="D337" s="311">
        <v>89.889491775801829</v>
      </c>
      <c r="E337" s="20">
        <v>66.157118351722815</v>
      </c>
      <c r="F337" s="20">
        <v>0.11390242359043956</v>
      </c>
      <c r="G337" s="314">
        <v>1.0022982635342181</v>
      </c>
      <c r="H337" s="20">
        <v>0.47312101101835147</v>
      </c>
      <c r="I337" s="314">
        <v>7.4108820630519601</v>
      </c>
      <c r="J337" s="244"/>
      <c r="K337" s="244"/>
      <c r="L337" s="244"/>
      <c r="M337" s="244"/>
      <c r="N337" s="244"/>
      <c r="AO337" s="35"/>
    </row>
    <row r="338" spans="1:41" ht="12.75" customHeight="1">
      <c r="A338" s="32"/>
      <c r="B338" s="15" t="s">
        <v>8</v>
      </c>
      <c r="C338" s="314">
        <v>323.26</v>
      </c>
      <c r="D338" s="311">
        <v>91.832618391522971</v>
      </c>
      <c r="E338" s="20">
        <v>67.587226086776809</v>
      </c>
      <c r="F338" s="20">
        <v>2.1616838379369119</v>
      </c>
      <c r="G338" s="314">
        <v>3.1856486210418922</v>
      </c>
      <c r="H338" s="20">
        <v>0.2574202152405336</v>
      </c>
      <c r="I338" s="314">
        <v>6.3922622602694101</v>
      </c>
      <c r="J338" s="244"/>
      <c r="K338" s="244"/>
      <c r="L338" s="244"/>
      <c r="M338" s="244"/>
      <c r="N338" s="244"/>
      <c r="AO338" s="35"/>
    </row>
    <row r="339" spans="1:41" ht="12.75" customHeight="1">
      <c r="A339" s="32"/>
      <c r="B339" s="15" t="s">
        <v>9</v>
      </c>
      <c r="C339" s="314">
        <v>323.64999999999998</v>
      </c>
      <c r="D339" s="311">
        <v>91.943410698559703</v>
      </c>
      <c r="E339" s="20">
        <v>67.668767317284264</v>
      </c>
      <c r="F339" s="20">
        <v>0.12064591969311866</v>
      </c>
      <c r="G339" s="314">
        <v>3.3101378958120486</v>
      </c>
      <c r="H339" s="20">
        <v>-1.2208148939416907</v>
      </c>
      <c r="I339" s="314">
        <v>5.1319571894718585</v>
      </c>
      <c r="J339" s="244"/>
      <c r="K339" s="244"/>
      <c r="L339" s="244"/>
      <c r="M339" s="244"/>
      <c r="N339" s="244"/>
      <c r="AO339" s="35"/>
    </row>
    <row r="340" spans="1:41" ht="12.75" customHeight="1">
      <c r="A340" s="32"/>
      <c r="B340" s="15" t="s">
        <v>10</v>
      </c>
      <c r="C340" s="314">
        <v>326.41000000000003</v>
      </c>
      <c r="D340" s="311">
        <v>92.727479332973502</v>
      </c>
      <c r="E340" s="20">
        <v>68.245828333183255</v>
      </c>
      <c r="F340" s="20">
        <v>0.85277305731501496</v>
      </c>
      <c r="G340" s="314">
        <v>4.1911389172625269</v>
      </c>
      <c r="H340" s="20">
        <v>-0.4695837780149037</v>
      </c>
      <c r="I340" s="314">
        <v>3.9047436185201789</v>
      </c>
      <c r="J340" s="244"/>
      <c r="K340" s="244"/>
      <c r="L340" s="244"/>
      <c r="M340" s="244"/>
      <c r="N340" s="244"/>
      <c r="AO340" s="35"/>
    </row>
    <row r="341" spans="1:41" ht="12.75" customHeight="1">
      <c r="A341" s="32"/>
      <c r="B341" s="15" t="s">
        <v>11</v>
      </c>
      <c r="C341" s="314">
        <v>326.77</v>
      </c>
      <c r="D341" s="311">
        <v>92.829749154853559</v>
      </c>
      <c r="E341" s="20">
        <v>68.321097161343999</v>
      </c>
      <c r="F341" s="20">
        <v>0.11029073864159411</v>
      </c>
      <c r="G341" s="314">
        <v>4.3060520939734781</v>
      </c>
      <c r="H341" s="20">
        <v>-1.5693716488944687</v>
      </c>
      <c r="I341" s="314">
        <v>2.59194395796849</v>
      </c>
      <c r="J341" s="244"/>
      <c r="K341" s="244"/>
      <c r="L341" s="244"/>
      <c r="M341" s="244"/>
      <c r="N341" s="244"/>
      <c r="AO341" s="35"/>
    </row>
    <row r="342" spans="1:41" ht="12.75" customHeight="1">
      <c r="A342" s="32"/>
      <c r="B342" s="15" t="s">
        <v>12</v>
      </c>
      <c r="C342" s="314">
        <v>327.52</v>
      </c>
      <c r="D342" s="311">
        <v>93.042811283770348</v>
      </c>
      <c r="E342" s="20">
        <v>68.477907220012199</v>
      </c>
      <c r="F342" s="20">
        <v>0.22951923371177241</v>
      </c>
      <c r="G342" s="314">
        <v>4.5454545454545636</v>
      </c>
      <c r="H342" s="20">
        <v>-0.30136068917226977</v>
      </c>
      <c r="I342" s="314">
        <v>1.5502562582066393</v>
      </c>
      <c r="J342" s="244"/>
      <c r="K342" s="244"/>
      <c r="L342" s="244"/>
      <c r="M342" s="244"/>
      <c r="N342" s="244"/>
      <c r="AO342" s="35"/>
    </row>
    <row r="343" spans="1:41" ht="12.75" customHeight="1">
      <c r="A343" s="32"/>
      <c r="B343" s="15" t="s">
        <v>13</v>
      </c>
      <c r="C343" s="314">
        <v>331.02</v>
      </c>
      <c r="D343" s="311">
        <v>94.037101218715378</v>
      </c>
      <c r="E343" s="20">
        <v>69.209687493797134</v>
      </c>
      <c r="F343" s="20">
        <v>1.0686370297997128</v>
      </c>
      <c r="G343" s="314">
        <v>5.6626659856997108</v>
      </c>
      <c r="H343" s="20">
        <v>4.1795178447787684</v>
      </c>
      <c r="I343" s="314">
        <v>1.3283072111866856</v>
      </c>
      <c r="J343" s="244"/>
      <c r="K343" s="244"/>
      <c r="L343" s="244"/>
      <c r="M343" s="244"/>
      <c r="N343" s="244"/>
      <c r="AO343" s="35"/>
    </row>
    <row r="344" spans="1:41" ht="12.75" customHeight="1">
      <c r="A344" s="32"/>
      <c r="B344" s="15" t="s">
        <v>14</v>
      </c>
      <c r="C344" s="314">
        <v>331.34</v>
      </c>
      <c r="D344" s="311">
        <v>94.128007727053202</v>
      </c>
      <c r="E344" s="20">
        <v>69.276593118828899</v>
      </c>
      <c r="F344" s="20">
        <v>9.6670896018369312E-2</v>
      </c>
      <c r="G344" s="314">
        <v>5.7648110316649737</v>
      </c>
      <c r="H344" s="20">
        <v>5.7648110316649737</v>
      </c>
      <c r="I344" s="314">
        <v>1.4421513183435319</v>
      </c>
      <c r="J344" s="244"/>
      <c r="K344" s="244"/>
      <c r="L344" s="244"/>
      <c r="M344" s="244"/>
      <c r="N344" s="244"/>
      <c r="AO344" s="35"/>
    </row>
    <row r="345" spans="1:41" ht="9" customHeight="1">
      <c r="A345" s="18"/>
      <c r="C345" s="20"/>
      <c r="D345" s="20"/>
      <c r="E345" s="20"/>
      <c r="F345" s="20"/>
      <c r="G345" s="20"/>
      <c r="H345" s="20"/>
      <c r="I345" s="20"/>
      <c r="AO345" s="35"/>
    </row>
    <row r="346" spans="1:41" ht="12.75" customHeight="1">
      <c r="A346" s="32">
        <v>2010</v>
      </c>
      <c r="B346" s="37" t="s">
        <v>3</v>
      </c>
      <c r="C346" s="314">
        <v>335.69</v>
      </c>
      <c r="D346" s="311">
        <v>95.363768074770604</v>
      </c>
      <c r="E346" s="20">
        <v>70.186091459104475</v>
      </c>
      <c r="F346" s="20">
        <v>1.3128508480714896</v>
      </c>
      <c r="G346" s="314">
        <v>1.3128508480714896</v>
      </c>
      <c r="H346" s="20">
        <v>6.8531958237840751</v>
      </c>
      <c r="I346" s="314">
        <v>1.709424063229914</v>
      </c>
      <c r="J346" s="244"/>
      <c r="K346" s="244"/>
      <c r="L346" s="244"/>
      <c r="M346" s="244"/>
      <c r="N346" s="244"/>
      <c r="AO346" s="35"/>
    </row>
    <row r="347" spans="1:41" ht="12.75" customHeight="1">
      <c r="A347" s="32"/>
      <c r="B347" s="37" t="s">
        <v>4</v>
      </c>
      <c r="C347" s="314">
        <v>336.16</v>
      </c>
      <c r="D347" s="311">
        <v>95.497287008891803</v>
      </c>
      <c r="E347" s="20">
        <v>70.284359095869888</v>
      </c>
      <c r="F347" s="20">
        <v>0.14001012839228721</v>
      </c>
      <c r="G347" s="314">
        <v>1.454699100621748</v>
      </c>
      <c r="H347" s="20">
        <v>6.6768215283067089</v>
      </c>
      <c r="I347" s="314">
        <v>1.9341870626636393</v>
      </c>
      <c r="J347" s="244"/>
      <c r="K347" s="244"/>
      <c r="L347" s="244"/>
      <c r="M347" s="244"/>
      <c r="N347" s="244"/>
      <c r="AO347" s="35"/>
    </row>
    <row r="348" spans="1:41" ht="12.75" customHeight="1">
      <c r="A348" s="32"/>
      <c r="B348" s="15" t="s">
        <v>5</v>
      </c>
      <c r="C348" s="314">
        <v>339.05</v>
      </c>
      <c r="D348" s="311">
        <v>96.318286412317846</v>
      </c>
      <c r="E348" s="20">
        <v>70.888600521938031</v>
      </c>
      <c r="F348" s="20">
        <v>0.85970966206569965</v>
      </c>
      <c r="G348" s="314">
        <v>2.3269149514094645</v>
      </c>
      <c r="H348" s="20">
        <v>7.426887614460953</v>
      </c>
      <c r="I348" s="314">
        <v>2.3446362964582468</v>
      </c>
      <c r="J348" s="244"/>
      <c r="K348" s="244"/>
      <c r="L348" s="244"/>
      <c r="M348" s="244"/>
      <c r="N348" s="244"/>
      <c r="AO348" s="35"/>
    </row>
    <row r="349" spans="1:41" ht="12.75" customHeight="1">
      <c r="A349" s="32"/>
      <c r="B349" s="15" t="s">
        <v>6</v>
      </c>
      <c r="C349" s="314">
        <v>340.26</v>
      </c>
      <c r="D349" s="311">
        <v>96.662026646970261</v>
      </c>
      <c r="E349" s="20">
        <v>71.141587416589388</v>
      </c>
      <c r="F349" s="20">
        <v>0.35687951629552739</v>
      </c>
      <c r="G349" s="314">
        <v>2.6920987505281824</v>
      </c>
      <c r="H349" s="20">
        <v>7.6567740302474485</v>
      </c>
      <c r="I349" s="314">
        <v>2.9159363606576338</v>
      </c>
      <c r="J349" s="244"/>
      <c r="K349" s="244"/>
      <c r="L349" s="244"/>
      <c r="M349" s="244"/>
      <c r="N349" s="244"/>
      <c r="AO349" s="35"/>
    </row>
    <row r="350" spans="1:41" ht="12.75" customHeight="1">
      <c r="A350" s="32"/>
      <c r="B350" s="15" t="s">
        <v>7</v>
      </c>
      <c r="C350" s="314">
        <v>341.42</v>
      </c>
      <c r="D350" s="311">
        <v>96.991562739694899</v>
      </c>
      <c r="E350" s="20">
        <v>71.384120307329539</v>
      </c>
      <c r="F350" s="20">
        <v>0.34091577029331521</v>
      </c>
      <c r="G350" s="314">
        <v>3.0421923100139026</v>
      </c>
      <c r="H350" s="20">
        <v>7.9008912205297266</v>
      </c>
      <c r="I350" s="314">
        <v>3.5259467988593807</v>
      </c>
      <c r="J350" s="244"/>
      <c r="K350" s="244"/>
      <c r="L350" s="244"/>
      <c r="M350" s="244"/>
      <c r="N350" s="244"/>
      <c r="AO350" s="35"/>
    </row>
    <row r="351" spans="1:41" ht="12.75" customHeight="1">
      <c r="A351" s="32"/>
      <c r="B351" s="15" t="s">
        <v>8</v>
      </c>
      <c r="C351" s="314">
        <v>340.84</v>
      </c>
      <c r="D351" s="311">
        <v>96.826794693332573</v>
      </c>
      <c r="E351" s="20">
        <v>71.262853861959456</v>
      </c>
      <c r="F351" s="20">
        <v>-0.16987874172574857</v>
      </c>
      <c r="G351" s="314">
        <v>2.8671455302710314</v>
      </c>
      <c r="H351" s="20">
        <v>5.4383468415517111</v>
      </c>
      <c r="I351" s="314">
        <v>3.9605066870423089</v>
      </c>
      <c r="J351" s="244"/>
      <c r="K351" s="244"/>
      <c r="L351" s="244"/>
      <c r="M351" s="244"/>
      <c r="N351" s="244"/>
      <c r="AO351" s="35"/>
    </row>
    <row r="352" spans="1:41" ht="12.75" customHeight="1">
      <c r="A352" s="32"/>
      <c r="B352" s="15" t="s">
        <v>9</v>
      </c>
      <c r="C352" s="314">
        <v>342.01</v>
      </c>
      <c r="D352" s="311">
        <v>97.159171614442769</v>
      </c>
      <c r="E352" s="20">
        <v>71.507477553481849</v>
      </c>
      <c r="F352" s="20">
        <v>0.34326956929937591</v>
      </c>
      <c r="G352" s="314">
        <v>3.2202571376833689</v>
      </c>
      <c r="H352" s="20">
        <v>5.6727946856172107</v>
      </c>
      <c r="I352" s="314">
        <v>4.5463532913256666</v>
      </c>
      <c r="J352" s="244"/>
      <c r="K352" s="244"/>
      <c r="L352" s="244"/>
      <c r="M352" s="244"/>
      <c r="N352" s="244"/>
      <c r="AO352" s="35"/>
    </row>
    <row r="353" spans="1:14" ht="12.75" customHeight="1">
      <c r="A353" s="32"/>
      <c r="B353" s="15" t="s">
        <v>10</v>
      </c>
      <c r="C353" s="314">
        <v>342.76</v>
      </c>
      <c r="D353" s="311">
        <v>97.372233743359558</v>
      </c>
      <c r="E353" s="20">
        <v>71.664287612150048</v>
      </c>
      <c r="F353" s="20">
        <v>0.21929183357212167</v>
      </c>
      <c r="G353" s="314">
        <v>3.4466107321784456</v>
      </c>
      <c r="H353" s="20">
        <v>5.0090377133053643</v>
      </c>
      <c r="I353" s="314">
        <v>5.013794180417519</v>
      </c>
      <c r="J353" s="244"/>
      <c r="K353" s="244"/>
      <c r="L353" s="244"/>
      <c r="M353" s="244"/>
      <c r="N353" s="244"/>
    </row>
    <row r="354" spans="1:14" ht="12.75" customHeight="1">
      <c r="A354" s="32"/>
      <c r="B354" s="15" t="s">
        <v>11</v>
      </c>
      <c r="C354" s="314">
        <v>345.4</v>
      </c>
      <c r="D354" s="311">
        <v>98.122212437146672</v>
      </c>
      <c r="E354" s="20">
        <v>72.216259018662114</v>
      </c>
      <c r="F354" s="20">
        <v>0.77021822849807631</v>
      </c>
      <c r="G354" s="314">
        <v>4.2433753848011291</v>
      </c>
      <c r="H354" s="20">
        <v>5.7012577654007579</v>
      </c>
      <c r="I354" s="314">
        <v>5.6419224444160809</v>
      </c>
      <c r="J354" s="244"/>
      <c r="K354" s="244"/>
      <c r="L354" s="244"/>
      <c r="M354" s="244"/>
      <c r="N354" s="244"/>
    </row>
    <row r="355" spans="1:14" ht="12.75" customHeight="1">
      <c r="A355" s="32"/>
      <c r="B355" s="15" t="s">
        <v>12</v>
      </c>
      <c r="C355" s="314">
        <v>347.73</v>
      </c>
      <c r="D355" s="311">
        <v>98.78412545098152</v>
      </c>
      <c r="E355" s="20">
        <v>72.703415600924671</v>
      </c>
      <c r="F355" s="20">
        <v>0.67458019687320903</v>
      </c>
      <c r="G355" s="314">
        <v>4.9465805516991868</v>
      </c>
      <c r="H355" s="20">
        <v>6.1706155349291913</v>
      </c>
      <c r="I355" s="314">
        <v>6.1960375391032718</v>
      </c>
      <c r="J355" s="244"/>
      <c r="K355" s="244"/>
      <c r="L355" s="244"/>
      <c r="M355" s="244"/>
      <c r="N355" s="244"/>
    </row>
    <row r="356" spans="1:14" ht="12.75" customHeight="1">
      <c r="A356" s="32"/>
      <c r="B356" s="15" t="s">
        <v>13</v>
      </c>
      <c r="C356" s="314">
        <v>348.81</v>
      </c>
      <c r="D356" s="311">
        <v>99.090934916621691</v>
      </c>
      <c r="E356" s="20">
        <v>72.929222085406877</v>
      </c>
      <c r="F356" s="20">
        <v>0.31058579932705666</v>
      </c>
      <c r="G356" s="314">
        <v>5.2725297277721017</v>
      </c>
      <c r="H356" s="20">
        <v>5.3742976255211516</v>
      </c>
      <c r="I356" s="314">
        <v>6.2918260038241192</v>
      </c>
      <c r="J356" s="244"/>
      <c r="K356" s="244"/>
      <c r="L356" s="244"/>
      <c r="M356" s="244"/>
      <c r="N356" s="244"/>
    </row>
    <row r="357" spans="1:14" ht="12.75" customHeight="1">
      <c r="A357" s="32"/>
      <c r="B357" s="15" t="s">
        <v>14</v>
      </c>
      <c r="C357" s="314">
        <v>352.01</v>
      </c>
      <c r="D357" s="311">
        <v>100</v>
      </c>
      <c r="E357" s="20">
        <v>73.59827833572453</v>
      </c>
      <c r="F357" s="20">
        <v>0.91740489091480804</v>
      </c>
      <c r="G357" s="314">
        <v>6.238305064284444</v>
      </c>
      <c r="H357" s="20">
        <v>6.238305064284444</v>
      </c>
      <c r="I357" s="314">
        <v>6.3299322014614967</v>
      </c>
      <c r="J357" s="244"/>
      <c r="K357" s="244"/>
      <c r="L357" s="244"/>
      <c r="M357" s="244"/>
      <c r="N357" s="244"/>
    </row>
    <row r="358" spans="1:14" ht="12.75" customHeight="1">
      <c r="A358" s="32"/>
      <c r="C358" s="314"/>
      <c r="D358" s="311"/>
      <c r="E358" s="20"/>
      <c r="F358" s="20"/>
      <c r="G358" s="314"/>
      <c r="H358" s="20"/>
      <c r="I358" s="314"/>
    </row>
    <row r="359" spans="1:14" ht="12.75" customHeight="1">
      <c r="A359" s="32">
        <v>2011</v>
      </c>
      <c r="B359" s="37" t="s">
        <v>3</v>
      </c>
      <c r="C359" s="314" t="s">
        <v>2</v>
      </c>
      <c r="D359" s="311">
        <v>101.2437</v>
      </c>
      <c r="E359" s="20">
        <v>74.513620123385948</v>
      </c>
      <c r="F359" s="20">
        <v>1.2437000000000253</v>
      </c>
      <c r="G359" s="314">
        <v>1.2437000000000253</v>
      </c>
      <c r="H359" s="20">
        <v>6.1657923590217489</v>
      </c>
      <c r="I359" s="314">
        <v>6.2734920007611938</v>
      </c>
      <c r="J359" s="244"/>
      <c r="K359" s="244"/>
      <c r="L359" s="244"/>
      <c r="M359" s="244"/>
      <c r="N359" s="244"/>
    </row>
    <row r="360" spans="1:14" ht="12.75" customHeight="1">
      <c r="A360" s="32"/>
      <c r="B360" s="37" t="s">
        <v>4</v>
      </c>
      <c r="C360" s="314" t="s">
        <v>2</v>
      </c>
      <c r="D360" s="311">
        <v>102.461</v>
      </c>
      <c r="E360" s="20">
        <v>75.409531965566714</v>
      </c>
      <c r="F360" s="20">
        <v>1.2023464176042387</v>
      </c>
      <c r="G360" s="314">
        <v>2.4610000000000021</v>
      </c>
      <c r="H360" s="20">
        <v>7.2920532187053855</v>
      </c>
      <c r="I360" s="314">
        <v>6.328557804911128</v>
      </c>
      <c r="J360" s="244"/>
      <c r="K360" s="244"/>
      <c r="L360" s="244"/>
      <c r="M360" s="244"/>
      <c r="N360" s="244"/>
    </row>
    <row r="361" spans="1:14" ht="12.75" customHeight="1">
      <c r="A361" s="32"/>
      <c r="B361" s="15" t="s">
        <v>5</v>
      </c>
      <c r="C361" s="314" t="s">
        <v>2</v>
      </c>
      <c r="D361" s="311">
        <v>103.645</v>
      </c>
      <c r="E361" s="20">
        <v>76.280935581061698</v>
      </c>
      <c r="F361" s="20">
        <v>1.1555616283268844</v>
      </c>
      <c r="G361" s="314">
        <v>3.6450000000000093</v>
      </c>
      <c r="H361" s="20">
        <v>7.606773189795013</v>
      </c>
      <c r="I361" s="314">
        <v>6.3506089966568258</v>
      </c>
      <c r="J361" s="244"/>
      <c r="K361" s="244"/>
      <c r="L361" s="244"/>
      <c r="M361" s="244"/>
      <c r="N361" s="244"/>
    </row>
    <row r="362" spans="1:14" ht="12.75" customHeight="1">
      <c r="A362" s="32"/>
      <c r="B362" s="15" t="s">
        <v>6</v>
      </c>
      <c r="C362" s="314" t="s">
        <v>2</v>
      </c>
      <c r="D362" s="311">
        <v>104.551</v>
      </c>
      <c r="E362" s="20">
        <v>76.947000000000003</v>
      </c>
      <c r="F362" s="20">
        <v>0.87317284963095432</v>
      </c>
      <c r="G362" s="314">
        <v>4.5500000000000096</v>
      </c>
      <c r="H362" s="20">
        <v>8.1603641333098267</v>
      </c>
      <c r="I362" s="314">
        <v>6.4018934434183272</v>
      </c>
      <c r="J362" s="244"/>
      <c r="K362" s="244"/>
      <c r="L362" s="244"/>
      <c r="M362" s="244"/>
      <c r="N362" s="244"/>
    </row>
    <row r="363" spans="1:14" ht="12.75" customHeight="1">
      <c r="A363" s="32"/>
      <c r="B363" s="15" t="s">
        <v>7</v>
      </c>
      <c r="C363" s="314" t="s">
        <v>2</v>
      </c>
      <c r="D363" s="311">
        <v>104.779</v>
      </c>
      <c r="E363" s="20">
        <v>77.116276040172167</v>
      </c>
      <c r="F363" s="20">
        <v>0.21999043519846939</v>
      </c>
      <c r="G363" s="314">
        <v>4.7800000000000065</v>
      </c>
      <c r="H363" s="20">
        <v>8.0300152305078818</v>
      </c>
      <c r="I363" s="314">
        <v>6.4223729010307595</v>
      </c>
      <c r="J363" s="244"/>
      <c r="K363" s="244"/>
      <c r="L363" s="244"/>
      <c r="M363" s="244"/>
      <c r="N363" s="244"/>
    </row>
    <row r="364" spans="1:14" ht="12.75" customHeight="1">
      <c r="A364" s="32"/>
      <c r="B364" s="15" t="s">
        <v>8</v>
      </c>
      <c r="C364" s="314" t="s">
        <v>2</v>
      </c>
      <c r="D364" s="311">
        <v>105.84699999999999</v>
      </c>
      <c r="E364" s="20">
        <v>77.903777618364416</v>
      </c>
      <c r="F364" s="20">
        <v>1.0211872494750862</v>
      </c>
      <c r="G364" s="314">
        <v>5.85</v>
      </c>
      <c r="H364" s="20">
        <v>9.3189135664828004</v>
      </c>
      <c r="I364" s="314">
        <v>6.7487005914808051</v>
      </c>
      <c r="J364" s="244"/>
      <c r="K364" s="244"/>
      <c r="L364" s="244"/>
      <c r="M364" s="244"/>
      <c r="N364" s="244"/>
    </row>
    <row r="365" spans="1:14" ht="12.75" customHeight="1">
      <c r="A365" s="32"/>
      <c r="B365" s="15" t="s">
        <v>9</v>
      </c>
      <c r="C365" s="314" t="s">
        <v>2</v>
      </c>
      <c r="D365" s="311">
        <v>106.75</v>
      </c>
      <c r="E365" s="20">
        <v>78.566162123385936</v>
      </c>
      <c r="F365" s="20">
        <v>0.85025980160604586</v>
      </c>
      <c r="G365" s="314">
        <v>6.7500000000000115</v>
      </c>
      <c r="H365" s="20">
        <v>9.8712537645098131</v>
      </c>
      <c r="I365" s="314">
        <v>7.1011119094485764</v>
      </c>
      <c r="J365" s="244"/>
      <c r="K365" s="244"/>
      <c r="L365" s="244"/>
      <c r="M365" s="244"/>
      <c r="N365" s="244"/>
    </row>
    <row r="366" spans="1:14" ht="12.75" customHeight="1">
      <c r="A366" s="32"/>
      <c r="B366" s="38" t="s">
        <v>10</v>
      </c>
      <c r="C366" s="314" t="s">
        <v>2</v>
      </c>
      <c r="D366" s="311">
        <v>107.28</v>
      </c>
      <c r="E366" s="20">
        <v>78.95623299856527</v>
      </c>
      <c r="F366" s="20">
        <v>0.49648711943792723</v>
      </c>
      <c r="G366" s="314">
        <v>7.2799999999999976</v>
      </c>
      <c r="H366" s="20">
        <v>10.175145291165833</v>
      </c>
      <c r="I366" s="314">
        <v>7.5314956719473303</v>
      </c>
      <c r="J366" s="244"/>
      <c r="K366" s="244"/>
      <c r="L366" s="244"/>
      <c r="M366" s="244"/>
      <c r="N366" s="244"/>
    </row>
    <row r="367" spans="1:14" ht="12.75" customHeight="1">
      <c r="A367" s="32"/>
      <c r="B367" s="15" t="s">
        <v>11</v>
      </c>
      <c r="C367" s="314" t="s">
        <v>2</v>
      </c>
      <c r="D367" s="311">
        <v>107.51</v>
      </c>
      <c r="E367" s="20">
        <v>79.125509038737434</v>
      </c>
      <c r="F367" s="20">
        <v>0.21439224459358641</v>
      </c>
      <c r="G367" s="314">
        <v>7.5099999999999945</v>
      </c>
      <c r="H367" s="20">
        <v>9.5674438332368226</v>
      </c>
      <c r="I367" s="314">
        <v>7.8525251443824606</v>
      </c>
      <c r="J367" s="244"/>
      <c r="K367" s="244"/>
      <c r="L367" s="244"/>
      <c r="M367" s="244"/>
      <c r="N367" s="244"/>
    </row>
    <row r="368" spans="1:14" ht="12.75" customHeight="1">
      <c r="A368" s="32"/>
      <c r="B368" s="15" t="s">
        <v>12</v>
      </c>
      <c r="C368" s="314" t="s">
        <v>2</v>
      </c>
      <c r="D368" s="311">
        <v>107.542</v>
      </c>
      <c r="E368" s="20">
        <v>79.147588522238152</v>
      </c>
      <c r="F368" s="20">
        <v>2.7904380987808786E-2</v>
      </c>
      <c r="G368" s="314">
        <v>7.5399999999999912</v>
      </c>
      <c r="H368" s="20">
        <v>8.8636453570298599</v>
      </c>
      <c r="I368" s="314">
        <v>8.0740584672826401</v>
      </c>
      <c r="J368" s="244"/>
      <c r="K368" s="244"/>
      <c r="L368" s="244"/>
      <c r="M368" s="244"/>
      <c r="N368" s="244"/>
    </row>
    <row r="369" spans="1:14" ht="12.75" customHeight="1">
      <c r="A369" s="32"/>
      <c r="B369" s="15" t="s">
        <v>13</v>
      </c>
      <c r="C369" s="314" t="s">
        <v>2</v>
      </c>
      <c r="D369" s="311">
        <v>107.639</v>
      </c>
      <c r="E369" s="20">
        <v>79.221186800573875</v>
      </c>
      <c r="F369" s="20">
        <v>9.2988655384051988E-2</v>
      </c>
      <c r="G369" s="314">
        <v>7.6399999999999801</v>
      </c>
      <c r="H369" s="20">
        <v>8.6274946245807005</v>
      </c>
      <c r="I369" s="314">
        <v>8.339664447496876</v>
      </c>
      <c r="J369" s="244"/>
      <c r="K369" s="244"/>
      <c r="L369" s="244"/>
      <c r="M369" s="244"/>
      <c r="N369" s="244"/>
    </row>
    <row r="370" spans="1:14" ht="12.75" customHeight="1">
      <c r="A370" s="32"/>
      <c r="B370" s="15" t="s">
        <v>14</v>
      </c>
      <c r="C370" s="314" t="s">
        <v>2</v>
      </c>
      <c r="D370" s="311">
        <v>107.76</v>
      </c>
      <c r="E370" s="20">
        <v>79.309504734576748</v>
      </c>
      <c r="F370" s="20">
        <v>0.11148272017837968</v>
      </c>
      <c r="G370" s="314">
        <v>7.7599999999999891</v>
      </c>
      <c r="H370" s="20">
        <v>7.7599999999999891</v>
      </c>
      <c r="I370" s="314">
        <v>8.459362885748023</v>
      </c>
      <c r="J370" s="244"/>
      <c r="K370" s="244"/>
      <c r="L370" s="244"/>
      <c r="M370" s="244"/>
      <c r="N370" s="244"/>
    </row>
    <row r="371" spans="1:14" ht="12.75" customHeight="1">
      <c r="A371" s="32"/>
      <c r="C371" s="314"/>
      <c r="D371" s="311"/>
      <c r="E371" s="20"/>
      <c r="F371" s="20"/>
      <c r="G371" s="314"/>
      <c r="H371" s="20"/>
      <c r="I371" s="314"/>
    </row>
    <row r="372" spans="1:14" ht="12.75" customHeight="1">
      <c r="A372" s="18">
        <v>2012</v>
      </c>
      <c r="B372" s="15" t="s">
        <v>3</v>
      </c>
      <c r="C372" s="20" t="s">
        <v>2</v>
      </c>
      <c r="D372" s="311">
        <v>108.23</v>
      </c>
      <c r="E372" s="20">
        <v>79.655416642754645</v>
      </c>
      <c r="F372" s="20">
        <v>0.43615441722344439</v>
      </c>
      <c r="G372" s="20">
        <v>0.43615441722344439</v>
      </c>
      <c r="H372" s="20">
        <v>6.9004787458379679</v>
      </c>
      <c r="I372" s="20">
        <v>8.511230675490955</v>
      </c>
      <c r="J372" s="244"/>
      <c r="K372" s="244"/>
      <c r="L372" s="244"/>
      <c r="M372" s="244"/>
      <c r="N372" s="244"/>
    </row>
    <row r="373" spans="1:14" ht="12.75" customHeight="1">
      <c r="A373" s="18"/>
      <c r="B373" s="15" t="s">
        <v>4</v>
      </c>
      <c r="C373" s="20" t="s">
        <v>2</v>
      </c>
      <c r="D373" s="311">
        <v>108.61</v>
      </c>
      <c r="E373" s="20">
        <v>79.935090100430401</v>
      </c>
      <c r="F373" s="20">
        <v>0.35110413009331598</v>
      </c>
      <c r="G373" s="20">
        <v>0.78878990348922873</v>
      </c>
      <c r="H373" s="20">
        <v>6.0013078146806897</v>
      </c>
      <c r="I373" s="20">
        <v>8.3920628113365972</v>
      </c>
      <c r="J373" s="244"/>
      <c r="K373" s="244"/>
      <c r="L373" s="244"/>
      <c r="M373" s="244"/>
      <c r="N373" s="244"/>
    </row>
    <row r="374" spans="1:14" ht="12.75" customHeight="1">
      <c r="A374" s="18"/>
      <c r="B374" s="36" t="s">
        <v>5</v>
      </c>
      <c r="C374" s="20" t="s">
        <v>2</v>
      </c>
      <c r="D374" s="311">
        <v>108.77</v>
      </c>
      <c r="E374" s="20">
        <v>80.05284734576756</v>
      </c>
      <c r="F374" s="20">
        <v>0.14731608507503324</v>
      </c>
      <c r="G374" s="20">
        <v>0.93726800296956014</v>
      </c>
      <c r="H374" s="20">
        <v>4.9447633749818865</v>
      </c>
      <c r="I374" s="20">
        <v>8.1550488654258615</v>
      </c>
      <c r="J374" s="244"/>
      <c r="K374" s="244"/>
      <c r="L374" s="244"/>
      <c r="M374" s="244"/>
      <c r="N374" s="244"/>
    </row>
    <row r="375" spans="1:14" ht="12.75" customHeight="1">
      <c r="A375" s="18"/>
      <c r="B375" s="15" t="s">
        <v>6</v>
      </c>
      <c r="C375" s="20" t="s">
        <v>2</v>
      </c>
      <c r="D375" s="311">
        <v>108.78</v>
      </c>
      <c r="E375" s="20">
        <v>80.060207173601142</v>
      </c>
      <c r="F375" s="20">
        <v>9.1937115013429604E-3</v>
      </c>
      <c r="G375" s="20">
        <v>0.9465478841870878</v>
      </c>
      <c r="H375" s="20">
        <v>4.0459110473457516</v>
      </c>
      <c r="I375" s="20">
        <v>7.7954874717373057</v>
      </c>
      <c r="J375" s="244"/>
      <c r="K375" s="244"/>
      <c r="L375" s="244"/>
      <c r="M375" s="244"/>
      <c r="N375" s="244"/>
    </row>
    <row r="376" spans="1:14" ht="12.75" customHeight="1">
      <c r="A376" s="18"/>
      <c r="B376" s="15" t="s">
        <v>7</v>
      </c>
      <c r="C376" s="20" t="s">
        <v>2</v>
      </c>
      <c r="D376" s="311">
        <v>108.49</v>
      </c>
      <c r="E376" s="20">
        <v>79.846772166427542</v>
      </c>
      <c r="F376" s="20">
        <v>-0.26659312373598087</v>
      </c>
      <c r="G376" s="20">
        <v>0.67743132887898572</v>
      </c>
      <c r="H376" s="20">
        <v>3.5407520519183056</v>
      </c>
      <c r="I376" s="20">
        <v>7.4063307413685164</v>
      </c>
      <c r="J376" s="244"/>
      <c r="K376" s="244"/>
      <c r="L376" s="244"/>
      <c r="M376" s="244"/>
      <c r="N376" s="244"/>
    </row>
    <row r="377" spans="1:14" ht="12.75" customHeight="1">
      <c r="A377" s="18"/>
      <c r="B377" s="15" t="s">
        <v>8</v>
      </c>
      <c r="C377" s="20" t="s">
        <v>2</v>
      </c>
      <c r="D377" s="311">
        <v>108.72</v>
      </c>
      <c r="E377" s="20">
        <v>80.01604820659972</v>
      </c>
      <c r="F377" s="20">
        <v>0.2120011060927407</v>
      </c>
      <c r="G377" s="20">
        <v>0.89086859688198849</v>
      </c>
      <c r="H377" s="20">
        <v>2.7113840340104112</v>
      </c>
      <c r="I377" s="20">
        <v>6.8439922869336645</v>
      </c>
      <c r="J377" s="244"/>
      <c r="K377" s="244"/>
      <c r="L377" s="244"/>
      <c r="M377" s="244"/>
      <c r="N377" s="244"/>
    </row>
    <row r="378" spans="1:14" ht="12.75" customHeight="1">
      <c r="A378" s="18"/>
      <c r="B378" s="15" t="s">
        <v>9</v>
      </c>
      <c r="C378" s="20" t="s">
        <v>2</v>
      </c>
      <c r="D378" s="311">
        <v>108.5</v>
      </c>
      <c r="E378" s="20">
        <v>79.854131994261124</v>
      </c>
      <c r="F378" s="20">
        <v>-0.20235467255335093</v>
      </c>
      <c r="G378" s="20">
        <v>0.68671121009653557</v>
      </c>
      <c r="H378" s="20">
        <v>1.6393442622950838</v>
      </c>
      <c r="I378" s="20">
        <v>6.1490076670599469</v>
      </c>
      <c r="J378" s="244"/>
      <c r="K378" s="244"/>
      <c r="L378" s="244"/>
      <c r="M378" s="244"/>
      <c r="N378" s="244"/>
    </row>
    <row r="379" spans="1:14" ht="12.75" customHeight="1">
      <c r="A379" s="18"/>
      <c r="B379" s="15" t="s">
        <v>10</v>
      </c>
      <c r="C379" s="20" t="s">
        <v>2</v>
      </c>
      <c r="D379" s="311">
        <v>109.6</v>
      </c>
      <c r="E379" s="20">
        <v>80.663713055954076</v>
      </c>
      <c r="F379" s="20">
        <v>1.0138248847926024</v>
      </c>
      <c r="G379" s="20">
        <v>1.7074981440237558</v>
      </c>
      <c r="H379" s="20">
        <v>2.162565249813575</v>
      </c>
      <c r="I379" s="20">
        <v>5.4839677748476534</v>
      </c>
      <c r="J379" s="244"/>
      <c r="K379" s="244"/>
      <c r="L379" s="244"/>
      <c r="M379" s="244"/>
      <c r="N379" s="244"/>
    </row>
    <row r="380" spans="1:14" ht="12.75" customHeight="1">
      <c r="A380" s="18"/>
      <c r="B380" s="15" t="s">
        <v>11</v>
      </c>
      <c r="C380" s="20" t="s">
        <v>2</v>
      </c>
      <c r="D380" s="311">
        <v>110.31</v>
      </c>
      <c r="E380" s="20">
        <v>81.186260832137719</v>
      </c>
      <c r="F380" s="20">
        <v>0.64781021897810653</v>
      </c>
      <c r="G380" s="20">
        <v>2.3663697104677084</v>
      </c>
      <c r="H380" s="20">
        <v>2.604408892196064</v>
      </c>
      <c r="I380" s="20">
        <v>4.9120735139894567</v>
      </c>
      <c r="J380" s="244"/>
      <c r="K380" s="244"/>
      <c r="L380" s="244"/>
      <c r="M380" s="244"/>
      <c r="N380" s="244"/>
    </row>
    <row r="381" spans="1:14" ht="12.75" customHeight="1">
      <c r="A381" s="18"/>
      <c r="B381" s="15" t="s">
        <v>60</v>
      </c>
      <c r="C381" s="20" t="s">
        <v>2</v>
      </c>
      <c r="D381" s="311">
        <v>110.57</v>
      </c>
      <c r="E381" s="20">
        <v>81.377616355810588</v>
      </c>
      <c r="F381" s="20">
        <v>0.23569939262078066</v>
      </c>
      <c r="G381" s="20">
        <v>2.6076466221232053</v>
      </c>
      <c r="H381" s="20">
        <v>2.8175562581364888</v>
      </c>
      <c r="I381" s="20">
        <v>4.4198718334434561</v>
      </c>
      <c r="J381" s="244"/>
      <c r="K381" s="244"/>
      <c r="L381" s="244"/>
      <c r="M381" s="244"/>
      <c r="N381" s="244"/>
    </row>
    <row r="382" spans="1:14" ht="12.75" customHeight="1">
      <c r="A382" s="18"/>
      <c r="B382" s="15" t="s">
        <v>13</v>
      </c>
      <c r="C382" s="20" t="s">
        <v>2</v>
      </c>
      <c r="D382" s="311">
        <v>111.27</v>
      </c>
      <c r="E382" s="20">
        <v>81.892804304160663</v>
      </c>
      <c r="F382" s="20">
        <v>0.63308311476892865</v>
      </c>
      <c r="G382" s="20">
        <v>3.2572383073496525</v>
      </c>
      <c r="H382" s="20">
        <v>3.3723522853957411</v>
      </c>
      <c r="I382" s="20">
        <v>3.9992306529832655</v>
      </c>
      <c r="J382" s="244"/>
      <c r="K382" s="244"/>
      <c r="L382" s="244"/>
      <c r="M382" s="244"/>
      <c r="N382" s="244"/>
    </row>
    <row r="383" spans="1:14" ht="12.75" customHeight="1">
      <c r="A383" s="18"/>
      <c r="B383" s="15" t="s">
        <v>14</v>
      </c>
      <c r="C383" s="20" t="s">
        <v>2</v>
      </c>
      <c r="D383" s="311">
        <v>111.97</v>
      </c>
      <c r="E383" s="20">
        <v>82.407992252510738</v>
      </c>
      <c r="F383" s="20">
        <v>0.62910038644738986</v>
      </c>
      <c r="G383" s="20">
        <v>3.9068299925760774</v>
      </c>
      <c r="H383" s="20">
        <v>3.9068299925760774</v>
      </c>
      <c r="I383" s="20">
        <v>3.6945494576718696</v>
      </c>
      <c r="J383" s="244"/>
      <c r="K383" s="244"/>
      <c r="L383" s="244"/>
      <c r="M383" s="244"/>
      <c r="N383" s="244"/>
    </row>
    <row r="384" spans="1:14" ht="12.75" customHeight="1">
      <c r="A384" s="18"/>
      <c r="C384" s="20"/>
      <c r="D384" s="20"/>
      <c r="E384" s="20"/>
      <c r="F384" s="20"/>
      <c r="G384" s="20"/>
      <c r="H384" s="20"/>
      <c r="I384" s="20"/>
    </row>
    <row r="385" spans="1:14" ht="12.75" customHeight="1">
      <c r="A385" s="18">
        <v>2013</v>
      </c>
      <c r="B385" s="15" t="s">
        <v>3</v>
      </c>
      <c r="C385" s="20" t="s">
        <v>2</v>
      </c>
      <c r="D385" s="311">
        <v>113.38</v>
      </c>
      <c r="E385" s="20">
        <v>83.445727977044442</v>
      </c>
      <c r="F385" s="20">
        <v>1.2592658747878849</v>
      </c>
      <c r="G385" s="20">
        <v>1.2592658747878849</v>
      </c>
      <c r="H385" s="20">
        <v>4.7583849210015572</v>
      </c>
      <c r="I385" s="20">
        <v>3.5301523709650562</v>
      </c>
      <c r="J385" s="244"/>
      <c r="K385" s="244"/>
      <c r="L385" s="244"/>
      <c r="M385" s="244"/>
      <c r="N385" s="244"/>
    </row>
    <row r="386" spans="1:14" ht="12.75" customHeight="1">
      <c r="A386" s="18"/>
      <c r="B386" s="15" t="s">
        <v>4</v>
      </c>
      <c r="C386" s="20" t="s">
        <v>2</v>
      </c>
      <c r="D386" s="311">
        <v>113.75</v>
      </c>
      <c r="E386" s="20">
        <v>83.718041606886629</v>
      </c>
      <c r="F386" s="20">
        <v>0.32633621449991157</v>
      </c>
      <c r="G386" s="20">
        <v>1.5897115298740605</v>
      </c>
      <c r="H386" s="20">
        <v>4.7325292330356206</v>
      </c>
      <c r="I386" s="20">
        <v>3.4343765745286303</v>
      </c>
      <c r="J386" s="244"/>
      <c r="K386" s="244"/>
      <c r="L386" s="244"/>
      <c r="M386" s="244"/>
      <c r="N386" s="244"/>
    </row>
    <row r="387" spans="1:14" ht="12.75" customHeight="1">
      <c r="A387" s="18"/>
      <c r="B387" s="15" t="s">
        <v>5</v>
      </c>
      <c r="C387" s="20" t="s">
        <v>2</v>
      </c>
      <c r="D387" s="311">
        <v>114.18</v>
      </c>
      <c r="E387" s="20">
        <v>84.03451420373024</v>
      </c>
      <c r="F387" s="20">
        <v>0.37802197802196957</v>
      </c>
      <c r="G387" s="20">
        <v>1.9737429668661211</v>
      </c>
      <c r="H387" s="20">
        <v>4.9737979222211681</v>
      </c>
      <c r="I387" s="20">
        <v>3.4428563648104982</v>
      </c>
      <c r="J387" s="244"/>
      <c r="K387" s="244"/>
      <c r="L387" s="244"/>
      <c r="M387" s="244"/>
      <c r="N387" s="244"/>
    </row>
    <row r="388" spans="1:14" ht="12.75" customHeight="1">
      <c r="A388" s="18"/>
      <c r="B388" s="15" t="s">
        <v>6</v>
      </c>
      <c r="C388" s="20" t="s">
        <v>2</v>
      </c>
      <c r="D388" s="311">
        <v>114.11</v>
      </c>
      <c r="E388" s="20">
        <v>83.982995408895221</v>
      </c>
      <c r="F388" s="20">
        <v>-6.1306708705566315E-2</v>
      </c>
      <c r="G388" s="20">
        <v>1.911226221309259</v>
      </c>
      <c r="H388" s="20">
        <v>4.8997977569405604</v>
      </c>
      <c r="I388" s="20">
        <v>3.5168670027142079</v>
      </c>
      <c r="J388" s="244"/>
      <c r="K388" s="244"/>
      <c r="L388" s="244"/>
      <c r="M388" s="244"/>
      <c r="N388" s="244"/>
    </row>
    <row r="389" spans="1:14" ht="12.75" customHeight="1">
      <c r="A389" s="18"/>
      <c r="B389" s="15" t="s">
        <v>7</v>
      </c>
      <c r="C389" s="20" t="s">
        <v>2</v>
      </c>
      <c r="D389" s="311">
        <v>113.9</v>
      </c>
      <c r="E389" s="20">
        <v>83.828439024390192</v>
      </c>
      <c r="F389" s="20">
        <v>-0.18403295066165004</v>
      </c>
      <c r="G389" s="20">
        <v>1.7236759846387173</v>
      </c>
      <c r="H389" s="20">
        <v>4.986634712876703</v>
      </c>
      <c r="I389" s="20">
        <v>3.6382335428893908</v>
      </c>
      <c r="J389" s="244"/>
      <c r="K389" s="244"/>
      <c r="L389" s="244"/>
      <c r="M389" s="244"/>
      <c r="N389" s="244"/>
    </row>
    <row r="390" spans="1:14" ht="12.75" customHeight="1">
      <c r="A390" s="18"/>
      <c r="B390" s="15" t="s">
        <v>8</v>
      </c>
      <c r="C390" s="20" t="s">
        <v>2</v>
      </c>
      <c r="D390" s="311">
        <v>113.94</v>
      </c>
      <c r="E390" s="20">
        <v>83.857878335724479</v>
      </c>
      <c r="F390" s="20">
        <v>3.5118525021937685E-2</v>
      </c>
      <c r="G390" s="20">
        <v>1.7593998392426258</v>
      </c>
      <c r="H390" s="20">
        <v>4.8013245033111884</v>
      </c>
      <c r="I390" s="20">
        <v>3.8114931177087419</v>
      </c>
      <c r="J390" s="244"/>
      <c r="K390" s="244"/>
      <c r="L390" s="244"/>
      <c r="M390" s="244"/>
      <c r="N390" s="244"/>
    </row>
    <row r="391" spans="1:14" ht="12.75" customHeight="1">
      <c r="A391" s="18"/>
      <c r="B391" s="15" t="s">
        <v>9</v>
      </c>
      <c r="C391" s="20" t="s">
        <v>2</v>
      </c>
      <c r="D391" s="311">
        <v>114.65</v>
      </c>
      <c r="E391" s="20">
        <v>84.380426111908122</v>
      </c>
      <c r="F391" s="20">
        <v>0.62313498332455808</v>
      </c>
      <c r="G391" s="20">
        <v>2.3934982584620457</v>
      </c>
      <c r="H391" s="20">
        <v>5.6682027649768818</v>
      </c>
      <c r="I391" s="20">
        <v>4.1453811362042403</v>
      </c>
      <c r="J391" s="244"/>
      <c r="K391" s="244"/>
      <c r="L391" s="244"/>
      <c r="M391" s="244"/>
      <c r="N391" s="244"/>
    </row>
    <row r="392" spans="1:14" ht="12.75" customHeight="1">
      <c r="A392" s="18"/>
      <c r="B392" s="15" t="s">
        <v>10</v>
      </c>
      <c r="C392" s="20" t="s">
        <v>2</v>
      </c>
      <c r="D392" s="311">
        <v>115.41</v>
      </c>
      <c r="E392" s="20">
        <v>84.939773027259619</v>
      </c>
      <c r="F392" s="20">
        <v>0.66288704753596495</v>
      </c>
      <c r="G392" s="20">
        <v>3.0722514959363512</v>
      </c>
      <c r="H392" s="20">
        <v>5.3010948905108934</v>
      </c>
      <c r="I392" s="20">
        <v>4.4064146444640739</v>
      </c>
      <c r="J392" s="244"/>
      <c r="K392" s="244"/>
      <c r="L392" s="244"/>
      <c r="M392" s="244"/>
      <c r="N392" s="244"/>
    </row>
    <row r="393" spans="1:14" ht="12.75" customHeight="1">
      <c r="A393" s="18"/>
      <c r="B393" s="15" t="s">
        <v>11</v>
      </c>
      <c r="C393" s="20" t="s">
        <v>2</v>
      </c>
      <c r="D393" s="311">
        <v>115.97</v>
      </c>
      <c r="E393" s="20">
        <v>85.351923385939685</v>
      </c>
      <c r="F393" s="20">
        <v>0.48522658348497671</v>
      </c>
      <c r="G393" s="20">
        <v>3.5723854603911365</v>
      </c>
      <c r="H393" s="20">
        <v>5.1309944701295906</v>
      </c>
      <c r="I393" s="20">
        <v>4.6164472926819577</v>
      </c>
      <c r="J393" s="244"/>
      <c r="K393" s="244"/>
      <c r="L393" s="244"/>
      <c r="M393" s="244"/>
      <c r="N393" s="244"/>
    </row>
    <row r="394" spans="1:14" ht="12.75" customHeight="1">
      <c r="A394" s="18"/>
      <c r="B394" s="15" t="s">
        <v>60</v>
      </c>
      <c r="C394" s="20" t="s">
        <v>2</v>
      </c>
      <c r="D394" s="311">
        <v>115.81</v>
      </c>
      <c r="E394" s="20">
        <v>85.234166140602525</v>
      </c>
      <c r="F394" s="20">
        <v>-0.13796671552988027</v>
      </c>
      <c r="G394" s="20">
        <v>3.4294900419754804</v>
      </c>
      <c r="H394" s="20">
        <v>4.7390793162702005</v>
      </c>
      <c r="I394" s="20">
        <v>4.7749582688861647</v>
      </c>
      <c r="J394" s="244"/>
      <c r="K394" s="244"/>
      <c r="L394" s="244"/>
      <c r="M394" s="244"/>
      <c r="N394" s="244"/>
    </row>
    <row r="395" spans="1:14" ht="12.75" customHeight="1">
      <c r="A395" s="18"/>
      <c r="B395" s="15" t="s">
        <v>13</v>
      </c>
      <c r="C395" s="20" t="s">
        <v>2</v>
      </c>
      <c r="D395" s="311">
        <v>115.88</v>
      </c>
      <c r="E395" s="20">
        <v>85.28568493543753</v>
      </c>
      <c r="F395" s="20">
        <v>6.0443830411882615E-2</v>
      </c>
      <c r="G395" s="20">
        <v>3.4920067875323202</v>
      </c>
      <c r="H395" s="20">
        <v>4.143075402174845</v>
      </c>
      <c r="I395" s="20">
        <v>4.8365543940562139</v>
      </c>
      <c r="J395" s="244"/>
      <c r="K395" s="244"/>
      <c r="L395" s="244"/>
      <c r="M395" s="244"/>
      <c r="N395" s="244"/>
    </row>
    <row r="396" spans="1:14" ht="12.75" customHeight="1">
      <c r="A396" s="24"/>
      <c r="B396" s="23" t="s">
        <v>14</v>
      </c>
      <c r="C396" s="25" t="s">
        <v>2</v>
      </c>
      <c r="D396" s="312">
        <v>116.31</v>
      </c>
      <c r="E396" s="25">
        <v>85.602157532281154</v>
      </c>
      <c r="F396" s="25">
        <v>0.37107352433554119</v>
      </c>
      <c r="G396" s="25">
        <v>3.8760382245244029</v>
      </c>
      <c r="H396" s="25">
        <v>3.8760382245244029</v>
      </c>
      <c r="I396" s="25">
        <v>4.8309509674079543</v>
      </c>
      <c r="J396" s="244"/>
      <c r="K396" s="244"/>
      <c r="L396" s="244"/>
      <c r="M396" s="244"/>
      <c r="N396" s="244"/>
    </row>
    <row r="397" spans="1:14" ht="12.75" customHeight="1">
      <c r="A397" s="18"/>
      <c r="C397" s="20"/>
      <c r="D397" s="20"/>
      <c r="E397" s="20"/>
      <c r="F397" s="20"/>
      <c r="G397" s="20"/>
      <c r="H397" s="20"/>
      <c r="I397" s="20"/>
    </row>
    <row r="398" spans="1:14" ht="12.75" customHeight="1">
      <c r="A398" s="32">
        <v>2014</v>
      </c>
      <c r="B398" s="37" t="s">
        <v>3</v>
      </c>
      <c r="C398" s="314" t="s">
        <v>2</v>
      </c>
      <c r="D398" s="311">
        <v>116.58</v>
      </c>
      <c r="E398" s="20">
        <v>85.800872883787605</v>
      </c>
      <c r="F398" s="20">
        <v>0.23213825122516685</v>
      </c>
      <c r="G398" s="314">
        <v>0.23213825122516685</v>
      </c>
      <c r="H398" s="20">
        <v>2.8223672605397487</v>
      </c>
      <c r="I398" s="314">
        <v>4.6642455855705256</v>
      </c>
      <c r="J398" s="244"/>
      <c r="K398" s="244"/>
      <c r="L398" s="244"/>
      <c r="M398" s="244"/>
      <c r="N398" s="244"/>
    </row>
    <row r="399" spans="1:14" ht="12.75" customHeight="1">
      <c r="A399" s="32"/>
      <c r="B399" s="37" t="s">
        <v>4</v>
      </c>
      <c r="C399" s="314" t="s">
        <v>2</v>
      </c>
      <c r="D399" s="311">
        <v>116.98</v>
      </c>
      <c r="E399" s="20">
        <v>86.095265997130497</v>
      </c>
      <c r="F399" s="20">
        <v>0.34311202607650859</v>
      </c>
      <c r="G399" s="314">
        <v>0.57604677155875805</v>
      </c>
      <c r="H399" s="20">
        <v>2.8395604395603957</v>
      </c>
      <c r="I399" s="314">
        <v>4.5018918367808913</v>
      </c>
      <c r="J399" s="244"/>
      <c r="K399" s="244"/>
      <c r="L399" s="244"/>
      <c r="M399" s="244"/>
      <c r="N399" s="244"/>
    </row>
    <row r="400" spans="1:14" ht="12.75" customHeight="1">
      <c r="A400" s="32"/>
      <c r="B400" s="15" t="s">
        <v>5</v>
      </c>
      <c r="C400" s="314" t="s">
        <v>2</v>
      </c>
      <c r="D400" s="311">
        <v>117.59</v>
      </c>
      <c r="E400" s="20">
        <v>86.544215494978417</v>
      </c>
      <c r="F400" s="20">
        <v>0.52145665925800166</v>
      </c>
      <c r="G400" s="314">
        <v>1.1005072650674741</v>
      </c>
      <c r="H400" s="20">
        <v>2.9865125240847501</v>
      </c>
      <c r="I400" s="314">
        <v>4.3331427883747109</v>
      </c>
      <c r="J400" s="244"/>
      <c r="K400" s="244"/>
      <c r="L400" s="244"/>
      <c r="M400" s="244"/>
      <c r="N400" s="244"/>
    </row>
    <row r="401" spans="1:14" ht="12.75" customHeight="1">
      <c r="A401" s="32"/>
      <c r="B401" s="15" t="s">
        <v>6</v>
      </c>
      <c r="C401" s="314" t="s">
        <v>2</v>
      </c>
      <c r="D401" s="311">
        <v>118.09</v>
      </c>
      <c r="E401" s="20">
        <v>86.912206886657046</v>
      </c>
      <c r="F401" s="20">
        <v>0.42520622501913685</v>
      </c>
      <c r="G401" s="314">
        <v>1.5303929154844687</v>
      </c>
      <c r="H401" s="20">
        <v>3.4878625887301506</v>
      </c>
      <c r="I401" s="314">
        <v>4.2147057721841019</v>
      </c>
      <c r="J401" s="244"/>
      <c r="K401" s="244"/>
      <c r="L401" s="244"/>
      <c r="M401" s="244"/>
      <c r="N401" s="244"/>
    </row>
    <row r="402" spans="1:14" ht="12.75" customHeight="1">
      <c r="A402" s="32"/>
      <c r="B402" s="15" t="s">
        <v>7</v>
      </c>
      <c r="C402" s="314" t="s">
        <v>2</v>
      </c>
      <c r="D402" s="311">
        <v>118.11</v>
      </c>
      <c r="E402" s="20">
        <v>86.926926542324196</v>
      </c>
      <c r="F402" s="20">
        <v>1.6936235074949124E-2</v>
      </c>
      <c r="G402" s="314">
        <v>1.5475883415011715</v>
      </c>
      <c r="H402" s="20">
        <v>3.6962247585601515</v>
      </c>
      <c r="I402" s="314">
        <v>4.1081581185739457</v>
      </c>
      <c r="J402" s="244"/>
      <c r="K402" s="244"/>
      <c r="L402" s="244"/>
      <c r="M402" s="244"/>
      <c r="N402" s="244"/>
    </row>
    <row r="403" spans="1:14" ht="12.75" customHeight="1">
      <c r="A403" s="32"/>
      <c r="B403" s="15" t="s">
        <v>8</v>
      </c>
      <c r="C403" s="314" t="s">
        <v>2</v>
      </c>
      <c r="D403" s="311">
        <v>118.13</v>
      </c>
      <c r="E403" s="20">
        <v>86.941646197991332</v>
      </c>
      <c r="F403" s="20">
        <v>1.6933367200056004E-2</v>
      </c>
      <c r="G403" s="314">
        <v>1.56478376751783</v>
      </c>
      <c r="H403" s="20">
        <v>3.6773740565209767</v>
      </c>
      <c r="I403" s="314">
        <v>4.0156672711596952</v>
      </c>
      <c r="J403" s="244"/>
      <c r="K403" s="244"/>
      <c r="L403" s="244"/>
      <c r="M403" s="244"/>
      <c r="N403" s="244"/>
    </row>
    <row r="404" spans="1:14" ht="12.75" customHeight="1">
      <c r="A404" s="32"/>
      <c r="B404" s="15" t="s">
        <v>9</v>
      </c>
      <c r="C404" s="314" t="s">
        <v>2</v>
      </c>
      <c r="D404" s="311">
        <v>118.56</v>
      </c>
      <c r="E404" s="20">
        <v>87.258118794834942</v>
      </c>
      <c r="F404" s="20">
        <v>0.36400575637010046</v>
      </c>
      <c r="G404" s="314">
        <v>1.9344854268764422</v>
      </c>
      <c r="H404" s="20">
        <v>3.4103794156127298</v>
      </c>
      <c r="I404" s="314">
        <v>3.8316699096645701</v>
      </c>
      <c r="J404" s="244"/>
      <c r="K404" s="244"/>
      <c r="L404" s="244"/>
      <c r="M404" s="244"/>
      <c r="N404" s="244"/>
    </row>
    <row r="405" spans="1:14" ht="12.75" customHeight="1">
      <c r="A405" s="32"/>
      <c r="B405" s="15" t="s">
        <v>10</v>
      </c>
      <c r="C405" s="314" t="s">
        <v>2</v>
      </c>
      <c r="D405" s="311">
        <v>119.02</v>
      </c>
      <c r="E405" s="20">
        <v>87.596670875179271</v>
      </c>
      <c r="F405" s="20">
        <v>0.38798920377867141</v>
      </c>
      <c r="G405" s="314">
        <v>2.3299802252600532</v>
      </c>
      <c r="H405" s="20">
        <v>3.1279785113941472</v>
      </c>
      <c r="I405" s="314">
        <v>3.6532001414426585</v>
      </c>
      <c r="J405" s="244"/>
      <c r="K405" s="244"/>
      <c r="L405" s="244"/>
      <c r="M405" s="244"/>
      <c r="N405" s="244"/>
    </row>
    <row r="406" spans="1:14" ht="12.75" customHeight="1">
      <c r="A406" s="32"/>
      <c r="B406" s="15" t="s">
        <v>11</v>
      </c>
      <c r="C406" s="314" t="s">
        <v>2</v>
      </c>
      <c r="D406" s="311">
        <v>119.25</v>
      </c>
      <c r="E406" s="20">
        <v>87.765946915351449</v>
      </c>
      <c r="F406" s="20">
        <v>0.1932448328012315</v>
      </c>
      <c r="G406" s="314">
        <v>2.5277276244518809</v>
      </c>
      <c r="H406" s="20">
        <v>2.8283176683625122</v>
      </c>
      <c r="I406" s="314">
        <v>3.4634289487198044</v>
      </c>
      <c r="J406" s="244"/>
      <c r="K406" s="244"/>
      <c r="L406" s="244"/>
      <c r="M406" s="244"/>
      <c r="N406" s="244"/>
    </row>
    <row r="407" spans="1:14" ht="12.75" customHeight="1">
      <c r="A407" s="32"/>
      <c r="B407" s="15" t="s">
        <v>60</v>
      </c>
      <c r="C407" s="314" t="s">
        <v>2</v>
      </c>
      <c r="D407" s="311">
        <v>119.15</v>
      </c>
      <c r="E407" s="20">
        <v>87.692348637015726</v>
      </c>
      <c r="F407" s="20">
        <v>-8.3857442348012068E-2</v>
      </c>
      <c r="G407" s="314">
        <v>2.4417504943684998</v>
      </c>
      <c r="H407" s="20">
        <v>2.8840341939383451</v>
      </c>
      <c r="I407" s="314">
        <v>3.3113115161436113</v>
      </c>
      <c r="J407" s="244"/>
      <c r="K407" s="244"/>
      <c r="L407" s="244"/>
      <c r="M407" s="244"/>
      <c r="N407" s="244"/>
    </row>
    <row r="408" spans="1:14" ht="12.75" customHeight="1">
      <c r="A408" s="32"/>
      <c r="B408" s="15" t="s">
        <v>13</v>
      </c>
      <c r="C408" s="314" t="s">
        <v>2</v>
      </c>
      <c r="D408" s="311">
        <v>118.98</v>
      </c>
      <c r="E408" s="20">
        <v>87.567231563844999</v>
      </c>
      <c r="F408" s="20">
        <v>-0.14267729752412972</v>
      </c>
      <c r="G408" s="314">
        <v>2.2955893732267141</v>
      </c>
      <c r="H408" s="20">
        <v>2.6751812219537596</v>
      </c>
      <c r="I408" s="314">
        <v>3.1902108598273582</v>
      </c>
      <c r="J408" s="244"/>
      <c r="K408" s="244"/>
      <c r="L408" s="244"/>
      <c r="M408" s="244"/>
      <c r="N408" s="244"/>
    </row>
    <row r="409" spans="1:14" ht="12.75" customHeight="1">
      <c r="A409" s="32"/>
      <c r="B409" s="15" t="s">
        <v>14</v>
      </c>
      <c r="C409" s="314" t="s">
        <v>2</v>
      </c>
      <c r="D409" s="311">
        <v>118.15</v>
      </c>
      <c r="E409" s="20">
        <v>86.956365853658497</v>
      </c>
      <c r="F409" s="20">
        <v>-0.69759623466127962</v>
      </c>
      <c r="G409" s="314">
        <v>1.5819791935345329</v>
      </c>
      <c r="H409" s="20">
        <v>1.5819791935345329</v>
      </c>
      <c r="I409" s="314">
        <v>2.9986422612521491</v>
      </c>
      <c r="J409" s="244"/>
      <c r="K409" s="244"/>
      <c r="L409" s="244"/>
      <c r="M409" s="244"/>
      <c r="N409" s="244"/>
    </row>
    <row r="410" spans="1:14" ht="12.75" customHeight="1">
      <c r="A410" s="18"/>
      <c r="C410" s="20"/>
      <c r="D410" s="20"/>
      <c r="E410" s="20"/>
      <c r="F410" s="20"/>
      <c r="G410" s="20"/>
      <c r="H410" s="20"/>
      <c r="I410" s="20"/>
    </row>
    <row r="411" spans="1:14" ht="12.75" customHeight="1">
      <c r="A411" s="32">
        <v>2015</v>
      </c>
      <c r="B411" s="37" t="s">
        <v>3</v>
      </c>
      <c r="C411" s="314" t="s">
        <v>2</v>
      </c>
      <c r="D411" s="311">
        <v>117.93</v>
      </c>
      <c r="E411" s="20">
        <v>86.794449641319915</v>
      </c>
      <c r="F411" s="20">
        <v>-0.18620397799405941</v>
      </c>
      <c r="G411" s="314">
        <v>-0.18620397799405941</v>
      </c>
      <c r="H411" s="20">
        <v>1.1580030880082637</v>
      </c>
      <c r="I411" s="314">
        <v>2.8576809683518167</v>
      </c>
      <c r="J411" s="244"/>
      <c r="K411" s="244"/>
      <c r="L411" s="244"/>
      <c r="M411" s="244"/>
      <c r="N411" s="244"/>
    </row>
    <row r="412" spans="1:14" ht="12.75" customHeight="1">
      <c r="A412" s="32"/>
      <c r="B412" s="37" t="s">
        <v>4</v>
      </c>
      <c r="C412" s="314" t="s">
        <v>2</v>
      </c>
      <c r="D412" s="311">
        <v>118.17</v>
      </c>
      <c r="E412" s="20">
        <v>86.971085509325647</v>
      </c>
      <c r="F412" s="20">
        <v>0.20351055711014254</v>
      </c>
      <c r="G412" s="314">
        <v>1.6927634363095301E-2</v>
      </c>
      <c r="H412" s="20">
        <v>1.017267909044306</v>
      </c>
      <c r="I412" s="314">
        <v>2.7035816494666687</v>
      </c>
      <c r="J412" s="244"/>
      <c r="K412" s="244"/>
      <c r="L412" s="244"/>
      <c r="M412" s="244"/>
      <c r="N412" s="244"/>
    </row>
    <row r="413" spans="1:14" ht="12.75" customHeight="1">
      <c r="A413" s="32"/>
      <c r="B413" s="15" t="s">
        <v>5</v>
      </c>
      <c r="C413" s="314" t="s">
        <v>2</v>
      </c>
      <c r="D413" s="311">
        <v>118.34</v>
      </c>
      <c r="E413" s="20">
        <v>87.096202582496375</v>
      </c>
      <c r="F413" s="20">
        <v>0.14386053990014247</v>
      </c>
      <c r="G413" s="314">
        <v>0.16081252644943866</v>
      </c>
      <c r="H413" s="20">
        <v>0.63780933752872748</v>
      </c>
      <c r="I413" s="314">
        <v>2.5051725505180089</v>
      </c>
      <c r="J413" s="244"/>
      <c r="K413" s="244"/>
      <c r="L413" s="244"/>
      <c r="M413" s="244"/>
      <c r="N413" s="244"/>
    </row>
    <row r="414" spans="1:14" ht="12.75" customHeight="1">
      <c r="A414" s="32"/>
      <c r="B414" s="15" t="s">
        <v>6</v>
      </c>
      <c r="C414" s="314" t="s">
        <v>2</v>
      </c>
      <c r="D414" s="311">
        <v>118.04</v>
      </c>
      <c r="E414" s="20">
        <v>86.875407747489206</v>
      </c>
      <c r="F414" s="20">
        <v>-0.25350684468480322</v>
      </c>
      <c r="G414" s="314">
        <v>-9.3101988997035257E-2</v>
      </c>
      <c r="H414" s="20">
        <v>-4.2340587687328402E-2</v>
      </c>
      <c r="I414" s="314">
        <v>2.2083084730898594</v>
      </c>
      <c r="J414" s="244"/>
      <c r="K414" s="244"/>
      <c r="L414" s="244"/>
      <c r="M414" s="244"/>
      <c r="N414" s="244"/>
    </row>
    <row r="415" spans="1:14" ht="12.75" customHeight="1">
      <c r="A415" s="32"/>
      <c r="B415" s="15" t="s">
        <v>7</v>
      </c>
      <c r="C415" s="314" t="s">
        <v>2</v>
      </c>
      <c r="D415" s="311">
        <v>118.38</v>
      </c>
      <c r="E415" s="20">
        <v>87.125641893830675</v>
      </c>
      <c r="F415" s="20">
        <v>0.28803795323619763</v>
      </c>
      <c r="G415" s="314">
        <v>0.19466779517562927</v>
      </c>
      <c r="H415" s="20">
        <v>0.2286004572009448</v>
      </c>
      <c r="I415" s="314">
        <v>1.9192729983086743</v>
      </c>
      <c r="J415" s="244"/>
      <c r="K415" s="244"/>
      <c r="L415" s="244"/>
      <c r="M415" s="244"/>
      <c r="N415" s="244"/>
    </row>
    <row r="416" spans="1:14" ht="12.75" customHeight="1">
      <c r="A416" s="32"/>
      <c r="B416" s="15" t="s">
        <v>8</v>
      </c>
      <c r="C416" s="314" t="s">
        <v>2</v>
      </c>
      <c r="D416" s="311">
        <v>118.86</v>
      </c>
      <c r="E416" s="20">
        <v>87.478913629842154</v>
      </c>
      <c r="F416" s="20">
        <v>0.40547389761784736</v>
      </c>
      <c r="G416" s="314">
        <v>0.6009310198899831</v>
      </c>
      <c r="H416" s="20">
        <v>0.61796326081440256</v>
      </c>
      <c r="I416" s="314">
        <v>1.6662974898357552</v>
      </c>
      <c r="J416" s="244"/>
      <c r="K416" s="244"/>
      <c r="L416" s="244"/>
      <c r="M416" s="244"/>
      <c r="N416" s="244"/>
    </row>
    <row r="417" spans="1:15" ht="12.75" customHeight="1">
      <c r="A417" s="32"/>
      <c r="B417" s="15" t="s">
        <v>9</v>
      </c>
      <c r="C417" s="314" t="s">
        <v>2</v>
      </c>
      <c r="D417" s="311">
        <v>119.15</v>
      </c>
      <c r="E417" s="20">
        <v>87.692348637015769</v>
      </c>
      <c r="F417" s="20">
        <v>0.24398451960290224</v>
      </c>
      <c r="G417" s="314">
        <v>0.84638171815492047</v>
      </c>
      <c r="H417" s="20">
        <v>0.49763832658575868</v>
      </c>
      <c r="I417" s="314">
        <v>1.4250901369512237</v>
      </c>
      <c r="J417" s="244"/>
      <c r="K417" s="244"/>
      <c r="L417" s="244"/>
      <c r="M417" s="244"/>
      <c r="N417" s="244"/>
    </row>
    <row r="418" spans="1:15" ht="12.75" customHeight="1">
      <c r="A418" s="32"/>
      <c r="B418" s="15" t="s">
        <v>10</v>
      </c>
      <c r="C418" s="314" t="s">
        <v>2</v>
      </c>
      <c r="D418" s="311">
        <v>119.53</v>
      </c>
      <c r="E418" s="20">
        <v>87.972022094691525</v>
      </c>
      <c r="F418" s="20">
        <v>0.31892572387746121</v>
      </c>
      <c r="G418" s="314">
        <v>1.1680067710537756</v>
      </c>
      <c r="H418" s="20">
        <v>0.42849941186362539</v>
      </c>
      <c r="I418" s="314">
        <v>1.2011115612318823</v>
      </c>
      <c r="J418" s="244"/>
      <c r="K418" s="244"/>
      <c r="L418" s="244"/>
      <c r="M418" s="244"/>
      <c r="N418" s="244"/>
    </row>
    <row r="419" spans="1:15" ht="12.75" customHeight="1">
      <c r="A419" s="32"/>
      <c r="B419" s="15" t="s">
        <v>11</v>
      </c>
      <c r="C419" s="314" t="s">
        <v>2</v>
      </c>
      <c r="D419" s="311">
        <v>119.72</v>
      </c>
      <c r="E419" s="20">
        <v>88.111858823529403</v>
      </c>
      <c r="F419" s="20">
        <v>0.15895591065004933</v>
      </c>
      <c r="G419" s="314">
        <v>1.3288192975032143</v>
      </c>
      <c r="H419" s="20">
        <v>0.39412997903569558</v>
      </c>
      <c r="I419" s="314">
        <v>0.9990711262063634</v>
      </c>
      <c r="J419" s="244"/>
      <c r="K419" s="244"/>
      <c r="L419" s="244"/>
      <c r="M419" s="244"/>
      <c r="N419" s="244"/>
    </row>
    <row r="420" spans="1:15" ht="12.75" customHeight="1">
      <c r="A420" s="32"/>
      <c r="B420" s="15" t="s">
        <v>60</v>
      </c>
      <c r="C420" s="314" t="s">
        <v>2</v>
      </c>
      <c r="D420" s="311">
        <v>120.61</v>
      </c>
      <c r="E420" s="20">
        <v>88.766883500717356</v>
      </c>
      <c r="F420" s="20">
        <v>0.74340126962912922</v>
      </c>
      <c r="G420" s="314">
        <v>2.0820990266610551</v>
      </c>
      <c r="H420" s="20">
        <v>1.2253462022661088</v>
      </c>
      <c r="I420" s="314">
        <v>0.86372157181768827</v>
      </c>
      <c r="J420" s="244"/>
      <c r="K420" s="244"/>
      <c r="L420" s="244"/>
      <c r="M420" s="244"/>
      <c r="N420" s="244"/>
    </row>
    <row r="421" spans="1:15" ht="12.75" customHeight="1">
      <c r="A421" s="32"/>
      <c r="B421" s="15" t="s">
        <v>13</v>
      </c>
      <c r="C421" s="314" t="s">
        <v>2</v>
      </c>
      <c r="D421" s="311">
        <v>120.81</v>
      </c>
      <c r="E421" s="20">
        <v>88.914080057388816</v>
      </c>
      <c r="F421" s="20">
        <v>0.16582372937568035</v>
      </c>
      <c r="G421" s="314">
        <v>2.2513753702920525</v>
      </c>
      <c r="H421" s="20">
        <v>1.5380736258195249</v>
      </c>
      <c r="I421" s="314">
        <v>0.77218987118410354</v>
      </c>
      <c r="J421" s="244"/>
      <c r="K421" s="244"/>
      <c r="L421" s="244"/>
      <c r="M421" s="244"/>
      <c r="N421" s="244"/>
    </row>
    <row r="422" spans="1:15" ht="12.75" customHeight="1">
      <c r="A422" s="32"/>
      <c r="B422" s="15" t="s">
        <v>14</v>
      </c>
      <c r="C422" s="314" t="s">
        <v>2</v>
      </c>
      <c r="D422" s="311">
        <v>120.92</v>
      </c>
      <c r="E422" s="20">
        <v>88.995038163558121</v>
      </c>
      <c r="F422" s="20">
        <v>9.105206522639353E-2</v>
      </c>
      <c r="G422" s="314">
        <v>2.3444773592891099</v>
      </c>
      <c r="H422" s="20">
        <v>2.3444773592891099</v>
      </c>
      <c r="I422" s="314">
        <v>0.83674634672461501</v>
      </c>
      <c r="J422" s="244"/>
      <c r="K422" s="244"/>
      <c r="L422" s="244"/>
      <c r="M422" s="244"/>
      <c r="N422" s="244"/>
    </row>
    <row r="423" spans="1:15" ht="12.75" customHeight="1">
      <c r="A423" s="32"/>
      <c r="C423" s="314"/>
      <c r="D423" s="311"/>
      <c r="E423" s="20"/>
      <c r="F423" s="20"/>
      <c r="G423" s="314"/>
      <c r="H423" s="20"/>
      <c r="I423" s="314"/>
    </row>
    <row r="424" spans="1:15" ht="12.75" customHeight="1">
      <c r="A424" s="32">
        <v>2016</v>
      </c>
      <c r="B424" s="37" t="s">
        <v>3</v>
      </c>
      <c r="C424" s="314" t="s">
        <v>2</v>
      </c>
      <c r="D424" s="311">
        <v>120.91</v>
      </c>
      <c r="E424" s="20">
        <v>88.987678335724539</v>
      </c>
      <c r="F424" s="20">
        <v>-8.2699305325895089E-3</v>
      </c>
      <c r="G424" s="314">
        <v>-8.2699305325895089E-3</v>
      </c>
      <c r="H424" s="20">
        <v>2.5269227507844105</v>
      </c>
      <c r="I424" s="314">
        <v>0.95074439765063801</v>
      </c>
      <c r="J424" s="244"/>
      <c r="K424" s="244"/>
      <c r="L424" s="244"/>
      <c r="M424" s="244"/>
      <c r="N424" s="244"/>
      <c r="O424" s="41"/>
    </row>
    <row r="425" spans="1:15" ht="12.75" customHeight="1">
      <c r="A425" s="32"/>
      <c r="B425" s="37" t="s">
        <v>4</v>
      </c>
      <c r="C425" s="314" t="s">
        <v>2</v>
      </c>
      <c r="D425" s="311">
        <v>120.23</v>
      </c>
      <c r="E425" s="20">
        <v>88.487210043041628</v>
      </c>
      <c r="F425" s="20">
        <v>-0.56240178645271532</v>
      </c>
      <c r="G425" s="314">
        <v>-0.57062520674825423</v>
      </c>
      <c r="H425" s="20">
        <v>1.7432512482018048</v>
      </c>
      <c r="I425" s="314">
        <v>1.0111671697874414</v>
      </c>
      <c r="J425" s="244"/>
      <c r="K425" s="244"/>
      <c r="L425" s="244"/>
      <c r="M425" s="244"/>
      <c r="N425" s="244"/>
      <c r="O425" s="41"/>
    </row>
    <row r="426" spans="1:15" ht="12.75" customHeight="1">
      <c r="A426" s="32"/>
      <c r="B426" s="15" t="s">
        <v>5</v>
      </c>
      <c r="C426" s="314" t="s">
        <v>2</v>
      </c>
      <c r="D426" s="311">
        <v>120.22</v>
      </c>
      <c r="E426" s="20">
        <v>88.47985021520806</v>
      </c>
      <c r="F426" s="20">
        <v>-8.3173916659684544E-3</v>
      </c>
      <c r="G426" s="314">
        <v>-0.57889513728083264</v>
      </c>
      <c r="H426" s="20">
        <v>1.5886428933582053</v>
      </c>
      <c r="I426" s="314">
        <v>1.090106056769935</v>
      </c>
      <c r="J426" s="244"/>
      <c r="K426" s="244"/>
      <c r="L426" s="244"/>
      <c r="M426" s="244"/>
      <c r="N426" s="244"/>
      <c r="O426" s="41"/>
    </row>
    <row r="427" spans="1:15" ht="12.75" customHeight="1">
      <c r="A427" s="32"/>
      <c r="B427" s="15" t="s">
        <v>6</v>
      </c>
      <c r="C427" s="314" t="s">
        <v>2</v>
      </c>
      <c r="D427" s="311">
        <v>120.11</v>
      </c>
      <c r="E427" s="20">
        <v>88.398892109038755</v>
      </c>
      <c r="F427" s="20">
        <v>-9.1498918649157712E-2</v>
      </c>
      <c r="G427" s="314">
        <v>-0.66986437313926173</v>
      </c>
      <c r="H427" s="20">
        <v>1.7536428329380405</v>
      </c>
      <c r="I427" s="314">
        <v>1.239248011365679</v>
      </c>
      <c r="J427" s="244"/>
      <c r="K427" s="244"/>
      <c r="L427" s="244"/>
      <c r="M427" s="244"/>
      <c r="N427" s="244"/>
      <c r="O427" s="41"/>
    </row>
    <row r="428" spans="1:15" ht="12.75" customHeight="1">
      <c r="A428" s="32"/>
      <c r="B428" s="15" t="s">
        <v>7</v>
      </c>
      <c r="C428" s="314" t="s">
        <v>2</v>
      </c>
      <c r="D428" s="311">
        <v>120.41</v>
      </c>
      <c r="E428" s="20">
        <v>88.619686944045924</v>
      </c>
      <c r="F428" s="20">
        <v>0.24977104321037835</v>
      </c>
      <c r="G428" s="314">
        <v>-0.4217664571617652</v>
      </c>
      <c r="H428" s="20">
        <v>1.7148166920088359</v>
      </c>
      <c r="I428" s="314">
        <v>1.3627733633359673</v>
      </c>
      <c r="J428" s="244"/>
      <c r="K428" s="244"/>
      <c r="L428" s="244"/>
      <c r="M428" s="244"/>
      <c r="N428" s="244"/>
      <c r="O428" s="41"/>
    </row>
    <row r="429" spans="1:15" ht="12.75" customHeight="1">
      <c r="A429" s="32"/>
      <c r="B429" s="15" t="s">
        <v>8</v>
      </c>
      <c r="C429" s="314" t="s">
        <v>2</v>
      </c>
      <c r="D429" s="311">
        <v>121.13</v>
      </c>
      <c r="E429" s="20">
        <v>89.149594548063149</v>
      </c>
      <c r="F429" s="20">
        <v>0.59795698031726019</v>
      </c>
      <c r="G429" s="314">
        <v>0.17366854118425756</v>
      </c>
      <c r="H429" s="20">
        <v>1.9098098603399505</v>
      </c>
      <c r="I429" s="314">
        <v>1.47030917256461</v>
      </c>
      <c r="J429" s="244"/>
      <c r="K429" s="244"/>
      <c r="L429" s="244"/>
      <c r="M429" s="244"/>
      <c r="N429" s="244"/>
      <c r="O429" s="41"/>
    </row>
    <row r="430" spans="1:15" ht="12.75" customHeight="1">
      <c r="A430" s="32"/>
      <c r="B430" s="15" t="s">
        <v>9</v>
      </c>
      <c r="C430" s="314" t="s">
        <v>2</v>
      </c>
      <c r="D430" s="311">
        <v>121.36</v>
      </c>
      <c r="E430" s="20">
        <v>89.318870588235313</v>
      </c>
      <c r="F430" s="20">
        <v>0.18987864278048328</v>
      </c>
      <c r="G430" s="314">
        <v>0.36387694343367194</v>
      </c>
      <c r="H430" s="20">
        <v>1.8548048678137086</v>
      </c>
      <c r="I430" s="314">
        <v>1.5835101375560878</v>
      </c>
      <c r="J430" s="244"/>
      <c r="K430" s="244"/>
      <c r="L430" s="244"/>
      <c r="M430" s="244"/>
      <c r="N430" s="244"/>
      <c r="O430" s="41"/>
    </row>
    <row r="431" spans="1:15" ht="12.75" customHeight="1">
      <c r="A431" s="32"/>
      <c r="B431" s="38" t="s">
        <v>10</v>
      </c>
      <c r="C431" s="314" t="s">
        <v>2</v>
      </c>
      <c r="D431" s="311">
        <v>121.29</v>
      </c>
      <c r="E431" s="20">
        <v>89.267351793400309</v>
      </c>
      <c r="F431" s="20">
        <v>-5.7679630850360208E-2</v>
      </c>
      <c r="G431" s="314">
        <v>0.30598742970560089</v>
      </c>
      <c r="H431" s="20">
        <v>1.4724336986530862</v>
      </c>
      <c r="I431" s="314">
        <v>1.6707281959085662</v>
      </c>
      <c r="J431" s="244"/>
      <c r="K431" s="244"/>
      <c r="L431" s="244"/>
      <c r="M431" s="244"/>
      <c r="N431" s="244"/>
      <c r="O431" s="41"/>
    </row>
    <row r="432" spans="1:15" ht="12.75" customHeight="1">
      <c r="A432" s="32"/>
      <c r="B432" s="15" t="s">
        <v>11</v>
      </c>
      <c r="C432" s="314" t="s">
        <v>2</v>
      </c>
      <c r="D432" s="311">
        <v>121.34</v>
      </c>
      <c r="E432" s="20">
        <v>89.304150932568163</v>
      </c>
      <c r="F432" s="20">
        <v>4.1223513892307828E-2</v>
      </c>
      <c r="G432" s="314">
        <v>0.34733708236851513</v>
      </c>
      <c r="H432" s="20">
        <v>1.3531573671901276</v>
      </c>
      <c r="I432" s="314">
        <v>1.7509126649817741</v>
      </c>
      <c r="J432" s="244"/>
      <c r="K432" s="244"/>
      <c r="L432" s="244"/>
      <c r="M432" s="244"/>
      <c r="N432" s="244"/>
      <c r="O432" s="41"/>
    </row>
    <row r="433" spans="1:15" ht="12.75" customHeight="1">
      <c r="A433" s="32"/>
      <c r="B433" s="15" t="s">
        <v>12</v>
      </c>
      <c r="C433" s="314" t="s">
        <v>2</v>
      </c>
      <c r="D433" s="311">
        <v>121.71</v>
      </c>
      <c r="E433" s="20">
        <v>89.576464562410337</v>
      </c>
      <c r="F433" s="20">
        <v>0.30492830064281495</v>
      </c>
      <c r="G433" s="314">
        <v>0.65332451207409381</v>
      </c>
      <c r="H433" s="20">
        <v>0.91203051156620862</v>
      </c>
      <c r="I433" s="314">
        <v>1.7238719088831012</v>
      </c>
      <c r="J433" s="244"/>
      <c r="K433" s="244"/>
      <c r="L433" s="244"/>
      <c r="M433" s="244"/>
      <c r="N433" s="244"/>
      <c r="O433" s="41"/>
    </row>
    <row r="434" spans="1:15" ht="12.75" customHeight="1">
      <c r="A434" s="32"/>
      <c r="B434" s="15" t="s">
        <v>13</v>
      </c>
      <c r="C434" s="314" t="s">
        <v>2</v>
      </c>
      <c r="D434" s="311">
        <v>121.87</v>
      </c>
      <c r="E434" s="20">
        <v>89.694221807747496</v>
      </c>
      <c r="F434" s="20">
        <v>0.13146002793524847</v>
      </c>
      <c r="G434" s="314">
        <v>0.78564340059543714</v>
      </c>
      <c r="H434" s="20">
        <v>0.87741081036338819</v>
      </c>
      <c r="I434" s="314">
        <v>1.6677289887861324</v>
      </c>
      <c r="J434" s="244"/>
      <c r="K434" s="244"/>
      <c r="L434" s="244"/>
      <c r="M434" s="244"/>
      <c r="N434" s="244"/>
      <c r="O434" s="41"/>
    </row>
    <row r="435" spans="1:15" ht="12.75" customHeight="1">
      <c r="A435" s="32"/>
      <c r="B435" s="15" t="s">
        <v>14</v>
      </c>
      <c r="C435" s="314" t="s">
        <v>2</v>
      </c>
      <c r="D435" s="311">
        <v>122.97</v>
      </c>
      <c r="E435" s="20">
        <v>90.503802869440463</v>
      </c>
      <c r="F435" s="20">
        <v>0.90260113235414163</v>
      </c>
      <c r="G435" s="314">
        <v>1.695335759179617</v>
      </c>
      <c r="H435" s="20">
        <v>1.695335759179617</v>
      </c>
      <c r="I435" s="314">
        <v>1.6141660724522833</v>
      </c>
      <c r="J435" s="244"/>
      <c r="K435" s="244"/>
      <c r="L435" s="244"/>
      <c r="M435" s="244"/>
      <c r="N435" s="244"/>
      <c r="O435" s="41"/>
    </row>
    <row r="436" spans="1:15" ht="12.75" customHeight="1">
      <c r="A436" s="32"/>
      <c r="C436" s="314"/>
      <c r="D436" s="311"/>
      <c r="E436" s="20"/>
      <c r="F436" s="20"/>
      <c r="G436" s="314"/>
      <c r="H436" s="20"/>
      <c r="I436" s="314"/>
      <c r="K436" s="39"/>
      <c r="L436" s="40"/>
      <c r="M436" s="41"/>
      <c r="N436" s="41"/>
      <c r="O436" s="41"/>
    </row>
    <row r="437" spans="1:15" ht="12.75" customHeight="1">
      <c r="A437" s="18">
        <v>2017</v>
      </c>
      <c r="B437" s="15" t="s">
        <v>3</v>
      </c>
      <c r="C437" s="20" t="s">
        <v>2</v>
      </c>
      <c r="D437" s="311">
        <v>123.73</v>
      </c>
      <c r="E437" s="20">
        <v>91.063149784791975</v>
      </c>
      <c r="F437" s="20">
        <v>0.61803691957389439</v>
      </c>
      <c r="G437" s="20">
        <v>0.61803691957389439</v>
      </c>
      <c r="H437" s="20">
        <v>2.3323132908775079</v>
      </c>
      <c r="I437" s="20">
        <v>1.5996483982587684</v>
      </c>
      <c r="J437" s="244"/>
      <c r="K437" s="244"/>
      <c r="L437" s="244"/>
      <c r="M437" s="244"/>
      <c r="N437" s="244"/>
      <c r="O437" s="41"/>
    </row>
    <row r="438" spans="1:15" ht="12.75" customHeight="1">
      <c r="A438" s="18"/>
      <c r="B438" s="15" t="s">
        <v>4</v>
      </c>
      <c r="C438" s="20" t="s">
        <v>2</v>
      </c>
      <c r="D438" s="311">
        <v>124.25</v>
      </c>
      <c r="E438" s="20">
        <v>91.44586083213774</v>
      </c>
      <c r="F438" s="20">
        <v>0.42026994261699091</v>
      </c>
      <c r="G438" s="20">
        <v>1.0409042855981099</v>
      </c>
      <c r="H438" s="20">
        <v>3.3435914497213393</v>
      </c>
      <c r="I438" s="20">
        <v>1.7338906304424029</v>
      </c>
      <c r="J438" s="244"/>
      <c r="K438" s="244"/>
      <c r="L438" s="244"/>
      <c r="M438" s="244"/>
      <c r="N438" s="244"/>
      <c r="O438" s="41"/>
    </row>
    <row r="439" spans="1:15" ht="12.75" customHeight="1">
      <c r="A439" s="18"/>
      <c r="B439" s="36" t="s">
        <v>5</v>
      </c>
      <c r="C439" s="20" t="s">
        <v>2</v>
      </c>
      <c r="D439" s="311">
        <v>124</v>
      </c>
      <c r="E439" s="20">
        <v>91.261865136298425</v>
      </c>
      <c r="F439" s="20">
        <v>-0.20120724346076591</v>
      </c>
      <c r="G439" s="20">
        <v>0.83760266731722766</v>
      </c>
      <c r="H439" s="20">
        <v>3.1442355681250866</v>
      </c>
      <c r="I439" s="20">
        <v>1.8638077613436055</v>
      </c>
      <c r="J439" s="244"/>
      <c r="K439" s="244"/>
      <c r="L439" s="244"/>
      <c r="M439" s="244"/>
      <c r="N439" s="244"/>
      <c r="O439" s="41"/>
    </row>
    <row r="440" spans="1:15" ht="12.75" customHeight="1">
      <c r="A440" s="18"/>
      <c r="B440" s="15" t="s">
        <v>6</v>
      </c>
      <c r="C440" s="20" t="s">
        <v>2</v>
      </c>
      <c r="D440" s="311">
        <v>124.33</v>
      </c>
      <c r="E440" s="20">
        <v>91.504739454806312</v>
      </c>
      <c r="F440" s="20">
        <v>0.26612903225806672</v>
      </c>
      <c r="G440" s="20">
        <v>1.1059608034479806</v>
      </c>
      <c r="H440" s="20">
        <v>3.5134460078261487</v>
      </c>
      <c r="I440" s="20">
        <v>2.0104901177533385</v>
      </c>
      <c r="J440" s="244"/>
      <c r="K440" s="244"/>
      <c r="L440" s="244"/>
      <c r="M440" s="244"/>
      <c r="N440" s="244"/>
      <c r="O440" s="41"/>
    </row>
    <row r="441" spans="1:15" ht="12.75" customHeight="1">
      <c r="A441" s="18"/>
      <c r="B441" s="15" t="s">
        <v>7</v>
      </c>
      <c r="C441" s="20" t="s">
        <v>2</v>
      </c>
      <c r="D441" s="311">
        <v>124.15</v>
      </c>
      <c r="E441" s="20">
        <v>91.372262553802017</v>
      </c>
      <c r="F441" s="20">
        <v>-0.14477599935653895</v>
      </c>
      <c r="G441" s="20">
        <v>0.95958363828576587</v>
      </c>
      <c r="H441" s="20">
        <v>3.1060543144256991</v>
      </c>
      <c r="I441" s="20">
        <v>2.1262868718261885</v>
      </c>
      <c r="J441" s="244"/>
      <c r="K441" s="244"/>
      <c r="L441" s="244"/>
      <c r="M441" s="244"/>
      <c r="N441" s="244"/>
      <c r="O441" s="41"/>
    </row>
    <row r="442" spans="1:15" ht="12.75" customHeight="1">
      <c r="A442" s="18"/>
      <c r="B442" s="15" t="s">
        <v>8</v>
      </c>
      <c r="C442" s="20" t="s">
        <v>2</v>
      </c>
      <c r="D442" s="311">
        <v>124.22</v>
      </c>
      <c r="E442" s="20">
        <v>91.423781348637021</v>
      </c>
      <c r="F442" s="20">
        <v>5.6383407168736355E-2</v>
      </c>
      <c r="G442" s="20">
        <v>1.0165080914044111</v>
      </c>
      <c r="H442" s="20">
        <v>2.5509782877899623</v>
      </c>
      <c r="I442" s="20">
        <v>2.1797402597402593</v>
      </c>
      <c r="J442" s="244"/>
      <c r="K442" s="244"/>
      <c r="L442" s="244"/>
      <c r="M442" s="244"/>
      <c r="N442" s="244"/>
      <c r="O442" s="41"/>
    </row>
    <row r="443" spans="1:15" ht="12.75" customHeight="1">
      <c r="A443" s="18"/>
      <c r="B443" s="15" t="s">
        <v>9</v>
      </c>
      <c r="C443" s="20" t="s">
        <v>2</v>
      </c>
      <c r="D443" s="311">
        <v>124.44</v>
      </c>
      <c r="E443" s="20">
        <v>91.585697560975618</v>
      </c>
      <c r="F443" s="20">
        <v>0.17710513604893841</v>
      </c>
      <c r="G443" s="20">
        <v>1.1954135154915946</v>
      </c>
      <c r="H443" s="20">
        <v>2.537903757415938</v>
      </c>
      <c r="I443" s="20">
        <v>2.2365763921546877</v>
      </c>
      <c r="J443" s="244"/>
      <c r="K443" s="244"/>
      <c r="L443" s="244"/>
      <c r="M443" s="244"/>
      <c r="N443" s="244"/>
      <c r="O443" s="41"/>
    </row>
    <row r="444" spans="1:15" ht="12.75" customHeight="1">
      <c r="A444" s="18"/>
      <c r="B444" s="15" t="s">
        <v>10</v>
      </c>
      <c r="C444" s="20" t="s">
        <v>2</v>
      </c>
      <c r="D444" s="311">
        <v>125.15</v>
      </c>
      <c r="E444" s="20">
        <v>92.108245337159261</v>
      </c>
      <c r="F444" s="20">
        <v>0.57055609128897622</v>
      </c>
      <c r="G444" s="20">
        <v>1.7727901114092948</v>
      </c>
      <c r="H444" s="20">
        <v>3.1824552724874167</v>
      </c>
      <c r="I444" s="20">
        <v>2.3789130494846766</v>
      </c>
      <c r="J444" s="244"/>
      <c r="K444" s="244"/>
      <c r="L444" s="244"/>
      <c r="M444" s="244"/>
      <c r="N444" s="244"/>
      <c r="O444" s="41"/>
    </row>
    <row r="445" spans="1:15" ht="12.75" customHeight="1">
      <c r="A445" s="18"/>
      <c r="B445" s="15" t="s">
        <v>11</v>
      </c>
      <c r="C445" s="20" t="s">
        <v>2</v>
      </c>
      <c r="D445" s="311">
        <v>125.95</v>
      </c>
      <c r="E445" s="20">
        <v>92.697031563845059</v>
      </c>
      <c r="F445" s="20">
        <v>0.63923292049541391</v>
      </c>
      <c r="G445" s="20">
        <v>2.4233552899081134</v>
      </c>
      <c r="H445" s="20">
        <v>3.7992417999010986</v>
      </c>
      <c r="I445" s="20">
        <v>2.5825548180550939</v>
      </c>
      <c r="J445" s="244"/>
      <c r="K445" s="244"/>
      <c r="L445" s="244"/>
      <c r="M445" s="244"/>
      <c r="N445" s="244"/>
      <c r="O445" s="41"/>
    </row>
    <row r="446" spans="1:15" ht="12.75" customHeight="1">
      <c r="A446" s="18"/>
      <c r="B446" s="15" t="s">
        <v>12</v>
      </c>
      <c r="C446" s="20" t="s">
        <v>2</v>
      </c>
      <c r="D446" s="311">
        <v>125.95</v>
      </c>
      <c r="E446" s="20">
        <v>92.697031563845059</v>
      </c>
      <c r="F446" s="20">
        <v>0</v>
      </c>
      <c r="G446" s="20">
        <v>2.4233552899081134</v>
      </c>
      <c r="H446" s="20">
        <v>3.4836907402842732</v>
      </c>
      <c r="I446" s="20">
        <v>2.7970822646920857</v>
      </c>
      <c r="J446" s="244"/>
      <c r="K446" s="244"/>
      <c r="L446" s="244"/>
      <c r="M446" s="244"/>
      <c r="N446" s="244"/>
      <c r="O446" s="41"/>
    </row>
    <row r="447" spans="1:15" ht="12.75" customHeight="1">
      <c r="A447" s="18"/>
      <c r="B447" s="15" t="s">
        <v>13</v>
      </c>
      <c r="C447" s="20" t="s">
        <v>2</v>
      </c>
      <c r="D447" s="311">
        <v>126.91</v>
      </c>
      <c r="E447" s="20">
        <v>93.403575035868002</v>
      </c>
      <c r="F447" s="20">
        <v>0.76220722508930638</v>
      </c>
      <c r="G447" s="20">
        <v>3.2040335041066736</v>
      </c>
      <c r="H447" s="20">
        <v>4.1355542791499111</v>
      </c>
      <c r="I447" s="20">
        <v>3.0692387185669689</v>
      </c>
      <c r="J447" s="244"/>
      <c r="K447" s="244"/>
      <c r="L447" s="244"/>
      <c r="M447" s="244"/>
      <c r="N447" s="244"/>
      <c r="O447" s="41"/>
    </row>
    <row r="448" spans="1:15" ht="12.75" customHeight="1">
      <c r="A448" s="18"/>
      <c r="B448" s="15" t="s">
        <v>14</v>
      </c>
      <c r="C448" s="20" t="s">
        <v>2</v>
      </c>
      <c r="D448" s="311">
        <v>128.13999999999999</v>
      </c>
      <c r="E448" s="20">
        <v>94.308833859397396</v>
      </c>
      <c r="F448" s="20">
        <v>0.96919076510910696</v>
      </c>
      <c r="G448" s="20">
        <v>4.2042774660486115</v>
      </c>
      <c r="H448" s="20">
        <v>4.2042774660486115</v>
      </c>
      <c r="I448" s="20">
        <v>3.2795569467854335</v>
      </c>
      <c r="J448" s="244"/>
      <c r="K448" s="244"/>
      <c r="L448" s="244"/>
      <c r="M448" s="244"/>
      <c r="N448" s="244"/>
      <c r="O448" s="41"/>
    </row>
    <row r="449" spans="1:15" ht="12.75" customHeight="1">
      <c r="A449" s="18"/>
      <c r="C449" s="20"/>
      <c r="D449" s="20"/>
      <c r="E449" s="20"/>
      <c r="F449" s="20"/>
      <c r="G449" s="20"/>
      <c r="H449" s="20"/>
      <c r="I449" s="20"/>
      <c r="K449" s="39"/>
      <c r="L449" s="40"/>
      <c r="M449" s="41"/>
      <c r="N449" s="41"/>
      <c r="O449" s="41"/>
    </row>
    <row r="450" spans="1:15" ht="12.75" customHeight="1">
      <c r="A450" s="18">
        <v>2018</v>
      </c>
      <c r="B450" s="15" t="s">
        <v>3</v>
      </c>
      <c r="C450" s="20" t="s">
        <v>2</v>
      </c>
      <c r="D450" s="311">
        <v>128.51</v>
      </c>
      <c r="E450" s="20">
        <v>94.581147489239584</v>
      </c>
      <c r="F450" s="20">
        <v>0.28874668331513309</v>
      </c>
      <c r="G450" s="20">
        <v>0.28874668331513309</v>
      </c>
      <c r="H450" s="20">
        <v>3.8632506263638344</v>
      </c>
      <c r="I450" s="20">
        <v>3.4077878561080022</v>
      </c>
      <c r="J450" s="244"/>
      <c r="K450" s="244"/>
      <c r="L450" s="244"/>
      <c r="M450" s="244"/>
      <c r="N450" s="244"/>
      <c r="O450" s="41"/>
    </row>
    <row r="451" spans="1:15" ht="12.75" customHeight="1">
      <c r="A451" s="18"/>
      <c r="B451" s="15" t="s">
        <v>4</v>
      </c>
      <c r="C451" s="20" t="s">
        <v>2</v>
      </c>
      <c r="D451" s="311">
        <v>128.37</v>
      </c>
      <c r="E451" s="20">
        <v>94.478109899569574</v>
      </c>
      <c r="F451" s="20">
        <v>-0.10894093844836528</v>
      </c>
      <c r="G451" s="20">
        <v>0.17949118152023047</v>
      </c>
      <c r="H451" s="20">
        <v>3.3158953722333795</v>
      </c>
      <c r="I451" s="20">
        <v>3.4052547607145822</v>
      </c>
      <c r="J451" s="244"/>
      <c r="K451" s="244"/>
      <c r="L451" s="244"/>
      <c r="M451" s="244"/>
      <c r="N451" s="244"/>
      <c r="O451" s="41"/>
    </row>
    <row r="452" spans="1:15" ht="12.75" customHeight="1">
      <c r="A452" s="18"/>
      <c r="B452" s="15" t="s">
        <v>5</v>
      </c>
      <c r="C452" s="20" t="s">
        <v>2</v>
      </c>
      <c r="D452" s="311">
        <v>128.85</v>
      </c>
      <c r="E452" s="20">
        <v>94.831381635581053</v>
      </c>
      <c r="F452" s="20">
        <v>0.3739191399859898</v>
      </c>
      <c r="G452" s="20">
        <v>0.55408147338849023</v>
      </c>
      <c r="H452" s="20">
        <v>3.9112903225806406</v>
      </c>
      <c r="I452" s="20">
        <v>3.4695424711611134</v>
      </c>
      <c r="J452" s="244"/>
      <c r="K452" s="244"/>
      <c r="L452" s="244"/>
      <c r="M452" s="244"/>
      <c r="N452" s="244"/>
      <c r="O452" s="41"/>
    </row>
    <row r="453" spans="1:15" ht="12.75" customHeight="1">
      <c r="A453" s="18"/>
      <c r="B453" s="15" t="s">
        <v>6</v>
      </c>
      <c r="C453" s="20" t="s">
        <v>2</v>
      </c>
      <c r="D453" s="311">
        <v>129.36000000000001</v>
      </c>
      <c r="E453" s="20">
        <v>95.20673285509325</v>
      </c>
      <c r="F453" s="20">
        <v>0.39580908032597062</v>
      </c>
      <c r="G453" s="20">
        <v>0.95208365849852594</v>
      </c>
      <c r="H453" s="20">
        <v>4.0456848709080617</v>
      </c>
      <c r="I453" s="20">
        <v>3.5147338241202419</v>
      </c>
      <c r="J453" s="244"/>
      <c r="K453" s="244"/>
      <c r="L453" s="244"/>
      <c r="M453" s="244"/>
      <c r="N453" s="244"/>
      <c r="O453" s="41"/>
    </row>
    <row r="454" spans="1:15" ht="12.75" customHeight="1">
      <c r="A454" s="18"/>
      <c r="B454" s="15" t="s">
        <v>7</v>
      </c>
      <c r="C454" s="20" t="s">
        <v>2</v>
      </c>
      <c r="D454" s="311">
        <v>129.69999999999999</v>
      </c>
      <c r="E454" s="20">
        <v>95.456967001434691</v>
      </c>
      <c r="F454" s="20">
        <v>0.26283240568951705</v>
      </c>
      <c r="G454" s="20">
        <v>1.2174184485718609</v>
      </c>
      <c r="H454" s="20">
        <v>4.4703987112363563</v>
      </c>
      <c r="I454" s="20">
        <v>3.6287556126156861</v>
      </c>
      <c r="J454" s="244"/>
      <c r="K454" s="244"/>
      <c r="L454" s="244"/>
      <c r="M454" s="244"/>
      <c r="N454" s="244"/>
      <c r="O454" s="41"/>
    </row>
    <row r="455" spans="1:15" ht="12.75" customHeight="1">
      <c r="A455" s="18"/>
      <c r="B455" s="15" t="s">
        <v>8</v>
      </c>
      <c r="C455" s="20" t="s">
        <v>2</v>
      </c>
      <c r="D455" s="311">
        <v>129.97</v>
      </c>
      <c r="E455" s="20">
        <v>95.655682352941156</v>
      </c>
      <c r="F455" s="20">
        <v>0.20817270624517992</v>
      </c>
      <c r="G455" s="20">
        <v>1.4281254877477778</v>
      </c>
      <c r="H455" s="20">
        <v>4.6288842376428718</v>
      </c>
      <c r="I455" s="20">
        <v>3.8014668998521906</v>
      </c>
      <c r="J455" s="244"/>
      <c r="K455" s="244"/>
      <c r="L455" s="244"/>
      <c r="M455" s="244"/>
      <c r="N455" s="244"/>
      <c r="O455" s="41"/>
    </row>
    <row r="456" spans="1:15" ht="12.75" customHeight="1">
      <c r="A456" s="18"/>
      <c r="B456" s="15" t="s">
        <v>9</v>
      </c>
      <c r="C456" s="20" t="s">
        <v>2</v>
      </c>
      <c r="D456" s="311">
        <v>129.94999999999999</v>
      </c>
      <c r="E456" s="20">
        <v>95.640962697274006</v>
      </c>
      <c r="F456" s="20">
        <v>-1.5388166499963329E-2</v>
      </c>
      <c r="G456" s="20">
        <v>1.4125175589199346</v>
      </c>
      <c r="H456" s="20">
        <v>4.4278367084538361</v>
      </c>
      <c r="I456" s="20">
        <v>3.9579246431711956</v>
      </c>
      <c r="J456" s="244"/>
      <c r="K456" s="244"/>
      <c r="L456" s="244"/>
      <c r="M456" s="244"/>
      <c r="N456" s="244"/>
      <c r="O456" s="41"/>
    </row>
    <row r="457" spans="1:15" ht="12.75" customHeight="1">
      <c r="A457" s="18"/>
      <c r="B457" s="15" t="s">
        <v>10</v>
      </c>
      <c r="C457" s="20" t="s">
        <v>2</v>
      </c>
      <c r="D457" s="311">
        <v>129.99</v>
      </c>
      <c r="E457" s="20">
        <v>95.670402008608306</v>
      </c>
      <c r="F457" s="20">
        <v>3.0781069642182857E-2</v>
      </c>
      <c r="G457" s="20">
        <v>1.443733416575621</v>
      </c>
      <c r="H457" s="20">
        <v>3.8673591689971865</v>
      </c>
      <c r="I457" s="20">
        <v>4.0137367085874232</v>
      </c>
      <c r="J457" s="244"/>
      <c r="K457" s="244"/>
      <c r="L457" s="244"/>
      <c r="M457" s="244"/>
      <c r="N457" s="244"/>
      <c r="O457" s="41"/>
    </row>
    <row r="458" spans="1:15" ht="12.75" customHeight="1">
      <c r="A458" s="18"/>
      <c r="B458" s="15" t="s">
        <v>11</v>
      </c>
      <c r="C458" s="20" t="s">
        <v>2</v>
      </c>
      <c r="D458" s="311">
        <v>130.09</v>
      </c>
      <c r="E458" s="20">
        <v>95.744000286944029</v>
      </c>
      <c r="F458" s="20">
        <v>7.6928994538039142E-2</v>
      </c>
      <c r="G458" s="20">
        <v>1.5217730607148594</v>
      </c>
      <c r="H458" s="20">
        <v>3.2870186581976713</v>
      </c>
      <c r="I458" s="20">
        <v>3.96967923754179</v>
      </c>
      <c r="J458" s="244"/>
      <c r="K458" s="244"/>
      <c r="L458" s="244"/>
      <c r="M458" s="244"/>
      <c r="N458" s="244"/>
      <c r="O458" s="41"/>
    </row>
    <row r="459" spans="1:15" ht="12.75" customHeight="1">
      <c r="A459" s="18"/>
      <c r="B459" s="15" t="s">
        <v>12</v>
      </c>
      <c r="C459" s="20" t="s">
        <v>2</v>
      </c>
      <c r="D459" s="311">
        <v>130.38</v>
      </c>
      <c r="E459" s="20">
        <v>95.957435294117616</v>
      </c>
      <c r="F459" s="20">
        <v>0.22292259205163312</v>
      </c>
      <c r="G459" s="20">
        <v>1.7480880287185752</v>
      </c>
      <c r="H459" s="20">
        <v>3.5172687574433814</v>
      </c>
      <c r="I459" s="20">
        <v>3.9711336610753767</v>
      </c>
      <c r="J459" s="244"/>
      <c r="K459" s="244"/>
      <c r="L459" s="244"/>
      <c r="M459" s="244"/>
      <c r="N459" s="244"/>
      <c r="O459" s="41"/>
    </row>
    <row r="460" spans="1:15" ht="12.75" customHeight="1">
      <c r="A460" s="18"/>
      <c r="B460" s="15" t="s">
        <v>13</v>
      </c>
      <c r="C460" s="20" t="s">
        <v>2</v>
      </c>
      <c r="D460" s="311">
        <v>129.91999999999999</v>
      </c>
      <c r="E460" s="20">
        <v>95.618883213773273</v>
      </c>
      <c r="F460" s="20">
        <v>-0.35281484890321568</v>
      </c>
      <c r="G460" s="20">
        <v>1.3891056656781364</v>
      </c>
      <c r="H460" s="20">
        <v>2.3717595146166115</v>
      </c>
      <c r="I460" s="20">
        <v>3.8220647705624389</v>
      </c>
      <c r="J460" s="244"/>
      <c r="K460" s="244"/>
      <c r="L460" s="244"/>
      <c r="M460" s="244"/>
      <c r="N460" s="244"/>
      <c r="O460" s="41"/>
    </row>
    <row r="461" spans="1:15" ht="12.75" customHeight="1">
      <c r="A461" s="24"/>
      <c r="B461" s="23" t="s">
        <v>14</v>
      </c>
      <c r="C461" s="25" t="s">
        <v>2</v>
      </c>
      <c r="D461" s="312">
        <v>129.63999999999999</v>
      </c>
      <c r="E461" s="25">
        <v>95.412808034433255</v>
      </c>
      <c r="F461" s="25">
        <v>-0.21551724137930384</v>
      </c>
      <c r="G461" s="25">
        <v>1.1705946620883312</v>
      </c>
      <c r="H461" s="25">
        <v>1.1705946620883312</v>
      </c>
      <c r="I461" s="25">
        <v>3.5644342601350854</v>
      </c>
      <c r="J461" s="244"/>
      <c r="K461" s="244"/>
      <c r="L461" s="244"/>
      <c r="M461" s="244"/>
      <c r="N461" s="244"/>
      <c r="O461" s="41"/>
    </row>
    <row r="462" spans="1:15" ht="12.75" customHeight="1">
      <c r="A462" s="18"/>
      <c r="C462" s="20"/>
      <c r="D462" s="20"/>
      <c r="E462" s="20"/>
      <c r="F462" s="20"/>
      <c r="G462" s="20"/>
      <c r="H462" s="20"/>
      <c r="I462" s="20"/>
      <c r="K462" s="39"/>
      <c r="L462" s="40"/>
      <c r="M462" s="41"/>
      <c r="N462" s="41"/>
      <c r="O462" s="41"/>
    </row>
    <row r="463" spans="1:15" ht="12.75" customHeight="1">
      <c r="A463" s="32">
        <v>2019</v>
      </c>
      <c r="B463" s="37" t="s">
        <v>3</v>
      </c>
      <c r="C463" s="314" t="s">
        <v>2</v>
      </c>
      <c r="D463" s="311">
        <v>129.41999999999999</v>
      </c>
      <c r="E463" s="20">
        <v>95.250891822094673</v>
      </c>
      <c r="F463" s="20">
        <v>-0.16970070965750539</v>
      </c>
      <c r="G463" s="314">
        <v>-0.16970070965750539</v>
      </c>
      <c r="H463" s="20">
        <v>0.70811609991439095</v>
      </c>
      <c r="I463" s="314">
        <v>3.2961487383797783</v>
      </c>
      <c r="J463" s="244"/>
      <c r="K463" s="244"/>
      <c r="L463" s="244"/>
      <c r="M463" s="244"/>
      <c r="N463" s="244"/>
      <c r="O463" s="41"/>
    </row>
    <row r="464" spans="1:15" ht="12.75" customHeight="1">
      <c r="A464" s="32"/>
      <c r="B464" s="37" t="s">
        <v>4</v>
      </c>
      <c r="C464" s="314" t="s">
        <v>2</v>
      </c>
      <c r="D464" s="311">
        <v>129.9</v>
      </c>
      <c r="E464" s="20">
        <v>95.604163558106166</v>
      </c>
      <c r="F464" s="20">
        <v>0.37088548910524377</v>
      </c>
      <c r="G464" s="314">
        <v>0.20055538414072149</v>
      </c>
      <c r="H464" s="20">
        <v>1.1918672587053036</v>
      </c>
      <c r="I464" s="314">
        <v>3.11564643869362</v>
      </c>
      <c r="J464" s="244"/>
      <c r="K464" s="244"/>
      <c r="L464" s="244"/>
      <c r="M464" s="244"/>
      <c r="N464" s="244"/>
      <c r="O464" s="41"/>
    </row>
    <row r="465" spans="1:15" ht="12.75" customHeight="1">
      <c r="A465" s="32"/>
      <c r="B465" s="15" t="s">
        <v>5</v>
      </c>
      <c r="C465" s="314" t="s">
        <v>2</v>
      </c>
      <c r="D465" s="311">
        <v>130.75</v>
      </c>
      <c r="E465" s="20">
        <v>96.229748923959818</v>
      </c>
      <c r="F465" s="20">
        <v>0.65434949961509226</v>
      </c>
      <c r="G465" s="314">
        <v>0.8562172169083837</v>
      </c>
      <c r="H465" s="20">
        <v>1.474582848273176</v>
      </c>
      <c r="I465" s="314">
        <v>2.9109487316580474</v>
      </c>
      <c r="J465" s="244"/>
      <c r="K465" s="244"/>
      <c r="L465" s="244"/>
      <c r="M465" s="244"/>
      <c r="N465" s="244"/>
      <c r="O465" s="41"/>
    </row>
    <row r="466" spans="1:15" ht="12.75" customHeight="1">
      <c r="A466" s="32"/>
      <c r="B466" s="15" t="s">
        <v>6</v>
      </c>
      <c r="C466" s="314" t="s">
        <v>2</v>
      </c>
      <c r="D466" s="311">
        <v>131.44</v>
      </c>
      <c r="E466" s="20">
        <v>96.737577044476311</v>
      </c>
      <c r="F466" s="20">
        <v>0.52772466539197094</v>
      </c>
      <c r="G466" s="314">
        <v>1.3884603517433147</v>
      </c>
      <c r="H466" s="20">
        <v>1.607915893630163</v>
      </c>
      <c r="I466" s="314">
        <v>2.7072368421052539</v>
      </c>
      <c r="J466" s="244"/>
      <c r="K466" s="244"/>
      <c r="L466" s="244"/>
      <c r="M466" s="244"/>
      <c r="N466" s="244"/>
      <c r="O466" s="41"/>
    </row>
    <row r="467" spans="1:15" ht="12.75" customHeight="1">
      <c r="A467" s="32"/>
      <c r="B467" s="15" t="s">
        <v>7</v>
      </c>
      <c r="C467" s="314" t="s">
        <v>2</v>
      </c>
      <c r="D467" s="311">
        <v>131.4</v>
      </c>
      <c r="E467" s="20">
        <v>96.708137733142038</v>
      </c>
      <c r="F467" s="20">
        <v>-3.0432136335956095E-2</v>
      </c>
      <c r="G467" s="314">
        <v>1.3576056772601319</v>
      </c>
      <c r="H467" s="20">
        <v>1.3107170393215517</v>
      </c>
      <c r="I467" s="314">
        <v>2.4450198289141412</v>
      </c>
      <c r="J467" s="244"/>
      <c r="K467" s="244"/>
      <c r="L467" s="244"/>
      <c r="M467" s="244"/>
      <c r="N467" s="244"/>
      <c r="O467" s="41"/>
    </row>
    <row r="468" spans="1:15" ht="12.75" customHeight="1">
      <c r="A468" s="32"/>
      <c r="B468" s="15" t="s">
        <v>8</v>
      </c>
      <c r="C468" s="314" t="s">
        <v>2</v>
      </c>
      <c r="D468" s="311">
        <v>131.16</v>
      </c>
      <c r="E468" s="20">
        <v>96.531501865136292</v>
      </c>
      <c r="F468" s="20">
        <v>-0.18264840182649067</v>
      </c>
      <c r="G468" s="314">
        <v>1.1724776303610351</v>
      </c>
      <c r="H468" s="20">
        <v>0.91559590674772373</v>
      </c>
      <c r="I468" s="314">
        <v>2.1380526350160078</v>
      </c>
      <c r="J468" s="244"/>
      <c r="K468" s="244"/>
      <c r="L468" s="244"/>
      <c r="M468" s="244"/>
      <c r="N468" s="244"/>
      <c r="O468" s="41"/>
    </row>
    <row r="469" spans="1:15" ht="12.75" customHeight="1">
      <c r="A469" s="32"/>
      <c r="B469" s="15" t="s">
        <v>9</v>
      </c>
      <c r="C469" s="314" t="s">
        <v>2</v>
      </c>
      <c r="D469" s="311">
        <v>131.77000000000001</v>
      </c>
      <c r="E469" s="20">
        <v>96.980451362984226</v>
      </c>
      <c r="F469" s="20">
        <v>0.46508081732237194</v>
      </c>
      <c r="G469" s="314">
        <v>1.6430114162296006</v>
      </c>
      <c r="H469" s="20">
        <v>1.4005386687187649</v>
      </c>
      <c r="I469" s="314">
        <v>1.8902792147370118</v>
      </c>
      <c r="J469" s="244"/>
      <c r="K469" s="244"/>
      <c r="L469" s="244"/>
      <c r="M469" s="244"/>
      <c r="N469" s="244"/>
      <c r="O469" s="41"/>
    </row>
    <row r="470" spans="1:15" ht="12.75" customHeight="1">
      <c r="A470" s="32"/>
      <c r="B470" s="15" t="s">
        <v>10</v>
      </c>
      <c r="C470" s="314" t="s">
        <v>2</v>
      </c>
      <c r="D470" s="311">
        <v>132.22</v>
      </c>
      <c r="E470" s="20">
        <v>97.311643615494972</v>
      </c>
      <c r="F470" s="20">
        <v>0.34150413599451923</v>
      </c>
      <c r="G470" s="314">
        <v>1.9901265041654126</v>
      </c>
      <c r="H470" s="20">
        <v>1.7155165781983284</v>
      </c>
      <c r="I470" s="314">
        <v>1.7150455680602139</v>
      </c>
      <c r="J470" s="244"/>
      <c r="K470" s="244"/>
      <c r="L470" s="244"/>
      <c r="M470" s="244"/>
      <c r="N470" s="244"/>
      <c r="O470" s="41"/>
    </row>
    <row r="471" spans="1:15" ht="12.75" customHeight="1">
      <c r="A471" s="32"/>
      <c r="B471" s="15" t="s">
        <v>11</v>
      </c>
      <c r="C471" s="314" t="s">
        <v>2</v>
      </c>
      <c r="D471" s="311">
        <v>132.72</v>
      </c>
      <c r="E471" s="20">
        <v>97.679635007173601</v>
      </c>
      <c r="F471" s="20">
        <v>0.37815761609438781</v>
      </c>
      <c r="G471" s="314">
        <v>2.3758099352052087</v>
      </c>
      <c r="H471" s="20">
        <v>2.0216773003305599</v>
      </c>
      <c r="I471" s="314">
        <v>1.6127675816249187</v>
      </c>
      <c r="J471" s="244"/>
      <c r="K471" s="244"/>
      <c r="L471" s="244"/>
      <c r="M471" s="244"/>
      <c r="N471" s="244"/>
      <c r="O471" s="41"/>
    </row>
    <row r="472" spans="1:15" ht="12.75" customHeight="1">
      <c r="A472" s="32"/>
      <c r="B472" s="15" t="s">
        <v>12</v>
      </c>
      <c r="C472" s="314" t="s">
        <v>2</v>
      </c>
      <c r="D472" s="311">
        <v>133.61000000000001</v>
      </c>
      <c r="E472" s="20">
        <v>98.334659684361569</v>
      </c>
      <c r="F472" s="20">
        <v>0.6705846895720402</v>
      </c>
      <c r="G472" s="314">
        <v>3.0623264424560759</v>
      </c>
      <c r="H472" s="20">
        <v>2.4773738303421222</v>
      </c>
      <c r="I472" s="314">
        <v>1.5307504741262523</v>
      </c>
      <c r="J472" s="244"/>
      <c r="K472" s="244"/>
      <c r="L472" s="244"/>
      <c r="M472" s="244"/>
      <c r="N472" s="244"/>
      <c r="O472" s="41"/>
    </row>
    <row r="473" spans="1:15" ht="12.75" customHeight="1">
      <c r="A473" s="32"/>
      <c r="B473" s="15" t="s">
        <v>13</v>
      </c>
      <c r="C473" s="314" t="s">
        <v>2</v>
      </c>
      <c r="D473" s="311">
        <v>134.11000000000001</v>
      </c>
      <c r="E473" s="20">
        <v>98.702651076040183</v>
      </c>
      <c r="F473" s="20">
        <v>0.37422348626598989</v>
      </c>
      <c r="G473" s="314">
        <v>3.448009873495872</v>
      </c>
      <c r="H473" s="20">
        <v>3.2250615763547374</v>
      </c>
      <c r="I473" s="314">
        <v>1.6037547562177457</v>
      </c>
      <c r="J473" s="244"/>
      <c r="K473" s="244"/>
      <c r="L473" s="244"/>
      <c r="M473" s="244"/>
      <c r="N473" s="244"/>
      <c r="O473" s="41"/>
    </row>
    <row r="474" spans="1:15" ht="12.75" customHeight="1">
      <c r="A474" s="32"/>
      <c r="B474" s="15" t="s">
        <v>14</v>
      </c>
      <c r="C474" s="314" t="s">
        <v>2</v>
      </c>
      <c r="D474" s="311">
        <v>134.38</v>
      </c>
      <c r="E474" s="20">
        <v>98.901366427546634</v>
      </c>
      <c r="F474" s="20">
        <v>0.20132726866004536</v>
      </c>
      <c r="G474" s="314">
        <v>3.6562789262573725</v>
      </c>
      <c r="H474" s="20">
        <v>3.6562789262573725</v>
      </c>
      <c r="I474" s="314">
        <v>1.8106037704296085</v>
      </c>
      <c r="J474" s="244"/>
    </row>
    <row r="475" spans="1:15" ht="14.25" customHeight="1">
      <c r="A475" s="1"/>
      <c r="B475" s="1"/>
      <c r="C475" s="197"/>
      <c r="D475" s="197"/>
      <c r="E475" s="197"/>
      <c r="F475" s="197"/>
      <c r="G475" s="197"/>
      <c r="H475" s="197"/>
      <c r="I475" s="197"/>
      <c r="K475" s="244"/>
      <c r="L475" s="244"/>
      <c r="M475" s="244"/>
      <c r="N475" s="244"/>
    </row>
    <row r="476" spans="1:15" ht="12.75" customHeight="1">
      <c r="A476" s="32">
        <v>2020</v>
      </c>
      <c r="B476" s="37" t="s">
        <v>3</v>
      </c>
      <c r="C476" s="314" t="s">
        <v>2</v>
      </c>
      <c r="D476" s="311">
        <v>134.82</v>
      </c>
      <c r="E476" s="20">
        <v>99.225198852223812</v>
      </c>
      <c r="F476" s="20">
        <v>0.32742967703527359</v>
      </c>
      <c r="G476" s="314">
        <v>0.32742967703527359</v>
      </c>
      <c r="H476" s="20">
        <v>4.1724617524339536</v>
      </c>
      <c r="I476" s="314">
        <v>2.0981718135301586</v>
      </c>
      <c r="J476" s="244"/>
      <c r="K476" s="244"/>
      <c r="L476" s="244"/>
      <c r="M476" s="244"/>
      <c r="N476" s="244"/>
    </row>
    <row r="477" spans="1:15" ht="12.75" customHeight="1">
      <c r="A477" s="32"/>
      <c r="B477" s="37" t="s">
        <v>4</v>
      </c>
      <c r="C477" s="314" t="s">
        <v>2</v>
      </c>
      <c r="D477" s="311">
        <v>134.65</v>
      </c>
      <c r="E477" s="20">
        <v>99.100081779053085</v>
      </c>
      <c r="F477" s="20">
        <v>-0.12609405132769647</v>
      </c>
      <c r="G477" s="314">
        <v>0.20092275636254264</v>
      </c>
      <c r="H477" s="20">
        <v>3.6566589684372541</v>
      </c>
      <c r="I477" s="314">
        <v>2.3028956375990006</v>
      </c>
      <c r="J477" s="244"/>
      <c r="K477" s="244"/>
      <c r="L477" s="244"/>
      <c r="M477" s="244"/>
      <c r="N477" s="244"/>
    </row>
    <row r="478" spans="1:15" ht="12.75" customHeight="1">
      <c r="A478" s="32"/>
      <c r="B478" s="15" t="s">
        <v>5</v>
      </c>
      <c r="C478" s="314" t="s">
        <v>2</v>
      </c>
      <c r="D478" s="311">
        <v>133.94999999999999</v>
      </c>
      <c r="E478" s="20">
        <v>98.584893830702995</v>
      </c>
      <c r="F478" s="20">
        <v>-0.51986632008913514</v>
      </c>
      <c r="G478" s="314">
        <v>-0.31998809346631685</v>
      </c>
      <c r="H478" s="20">
        <v>2.4474187380497003</v>
      </c>
      <c r="I478" s="314">
        <v>2.383472198169434</v>
      </c>
      <c r="J478" s="244"/>
      <c r="K478" s="244"/>
      <c r="L478" s="244"/>
      <c r="M478" s="244"/>
      <c r="N478" s="244"/>
    </row>
    <row r="479" spans="1:15" ht="12.75" customHeight="1">
      <c r="A479" s="32"/>
      <c r="B479" s="15" t="s">
        <v>6</v>
      </c>
      <c r="C479" s="314" t="s">
        <v>2</v>
      </c>
      <c r="D479" s="311">
        <v>132.85</v>
      </c>
      <c r="E479" s="20">
        <v>97.775312769010029</v>
      </c>
      <c r="F479" s="20">
        <v>-0.82120194102276445</v>
      </c>
      <c r="G479" s="314">
        <v>-1.1385622860544897</v>
      </c>
      <c r="H479" s="20">
        <v>1.0727328058429686</v>
      </c>
      <c r="I479" s="314">
        <v>2.337379495884484</v>
      </c>
      <c r="J479" s="244"/>
      <c r="K479" s="244"/>
      <c r="L479" s="244"/>
      <c r="M479" s="244"/>
      <c r="N479" s="244"/>
    </row>
    <row r="480" spans="1:15" ht="12.75" customHeight="1">
      <c r="A480" s="32"/>
      <c r="B480" s="15" t="s">
        <v>7</v>
      </c>
      <c r="C480" s="314" t="s">
        <v>2</v>
      </c>
      <c r="D480" s="311">
        <v>132.69999999999999</v>
      </c>
      <c r="E480" s="20">
        <v>97.664915351506437</v>
      </c>
      <c r="F480" s="20">
        <v>-0.11290929619872658</v>
      </c>
      <c r="G480" s="314">
        <v>-1.2501860395892517</v>
      </c>
      <c r="H480" s="20">
        <v>0.98934550989342451</v>
      </c>
      <c r="I480" s="314">
        <v>2.30924272962858</v>
      </c>
      <c r="J480" s="244"/>
      <c r="K480" s="244"/>
      <c r="L480" s="244"/>
      <c r="M480" s="244"/>
      <c r="N480" s="244"/>
    </row>
    <row r="481" spans="1:14" ht="12.75" customHeight="1">
      <c r="A481" s="32"/>
      <c r="B481" s="15" t="s">
        <v>8</v>
      </c>
      <c r="C481" s="314" t="s">
        <v>2</v>
      </c>
      <c r="D481" s="311">
        <v>134.96</v>
      </c>
      <c r="E481" s="20">
        <v>99.328236441893822</v>
      </c>
      <c r="F481" s="20">
        <v>1.7030896759608227</v>
      </c>
      <c r="G481" s="314">
        <v>0.43161184700102329</v>
      </c>
      <c r="H481" s="20">
        <v>2.8972247636474435</v>
      </c>
      <c r="I481" s="314">
        <v>2.4743612695327544</v>
      </c>
      <c r="J481" s="244"/>
      <c r="K481" s="244"/>
      <c r="L481" s="244"/>
      <c r="M481" s="244"/>
      <c r="N481" s="244"/>
    </row>
    <row r="482" spans="1:14" ht="12.75" customHeight="1">
      <c r="A482" s="32"/>
      <c r="B482" s="15" t="s">
        <v>9</v>
      </c>
      <c r="C482" s="314" t="s">
        <v>2</v>
      </c>
      <c r="D482" s="311">
        <v>137.5</v>
      </c>
      <c r="E482" s="20">
        <v>101.19763271162122</v>
      </c>
      <c r="F482" s="20">
        <v>1.8820391227030164</v>
      </c>
      <c r="G482" s="314">
        <v>2.3217740735228309</v>
      </c>
      <c r="H482" s="20">
        <v>4.3484859983303981</v>
      </c>
      <c r="I482" s="314">
        <v>2.7211883565580797</v>
      </c>
      <c r="J482" s="244"/>
      <c r="K482" s="244"/>
      <c r="L482" s="244"/>
      <c r="M482" s="244"/>
      <c r="N482" s="244"/>
    </row>
    <row r="483" spans="1:14" ht="12.75" customHeight="1">
      <c r="A483" s="32"/>
      <c r="B483" s="15" t="s">
        <v>10</v>
      </c>
      <c r="C483" s="314" t="s">
        <v>2</v>
      </c>
      <c r="D483" s="311">
        <v>138.57</v>
      </c>
      <c r="E483" s="20">
        <v>101.98513428981347</v>
      </c>
      <c r="F483" s="20">
        <v>0.7781818181818112</v>
      </c>
      <c r="G483" s="314">
        <v>3.118023515404067</v>
      </c>
      <c r="H483" s="20">
        <v>4.8026017243987251</v>
      </c>
      <c r="I483" s="314">
        <v>2.9800585425581394</v>
      </c>
      <c r="J483" s="244"/>
      <c r="K483" s="244"/>
      <c r="L483" s="244"/>
      <c r="M483" s="244"/>
      <c r="N483" s="244"/>
    </row>
    <row r="484" spans="1:14" ht="12.75" customHeight="1">
      <c r="A484" s="32"/>
      <c r="B484" s="15" t="s">
        <v>11</v>
      </c>
      <c r="C484" s="314" t="s">
        <v>2</v>
      </c>
      <c r="D484" s="311">
        <v>139.4</v>
      </c>
      <c r="E484" s="20">
        <v>102.596</v>
      </c>
      <c r="F484" s="20">
        <v>0.59897524716752137</v>
      </c>
      <c r="G484" s="314">
        <v>3.7356749516296972</v>
      </c>
      <c r="H484" s="20">
        <v>5.0331525015069323</v>
      </c>
      <c r="I484" s="314">
        <v>3.2329122949984912</v>
      </c>
      <c r="J484" s="244"/>
      <c r="K484" s="244"/>
      <c r="L484" s="244"/>
      <c r="M484" s="244"/>
      <c r="N484" s="244"/>
    </row>
    <row r="485" spans="1:14" ht="12.75" customHeight="1">
      <c r="A485" s="32"/>
      <c r="B485" s="15" t="s">
        <v>12</v>
      </c>
      <c r="C485" s="314" t="s">
        <v>2</v>
      </c>
      <c r="D485" s="311" t="s">
        <v>2</v>
      </c>
      <c r="E485" s="20">
        <v>103.276</v>
      </c>
      <c r="F485" s="20">
        <v>0.66279387110608212</v>
      </c>
      <c r="G485" s="314">
        <v>4.4232286473596227</v>
      </c>
      <c r="H485" s="20">
        <v>5.0250240673017421</v>
      </c>
      <c r="I485" s="314">
        <v>3.4476276029303365</v>
      </c>
      <c r="J485" s="244"/>
      <c r="K485" s="244"/>
      <c r="L485" s="244"/>
      <c r="M485" s="244"/>
      <c r="N485" s="244"/>
    </row>
    <row r="486" spans="1:14" ht="12.75" customHeight="1">
      <c r="A486" s="32"/>
      <c r="B486" s="15" t="s">
        <v>13</v>
      </c>
      <c r="C486" s="314" t="s">
        <v>2</v>
      </c>
      <c r="D486" s="311" t="s">
        <v>2</v>
      </c>
      <c r="E486" s="20">
        <v>103.893</v>
      </c>
      <c r="F486" s="20">
        <v>0.59742825051318782</v>
      </c>
      <c r="G486" s="314">
        <v>5.047082515396939</v>
      </c>
      <c r="H486" s="20">
        <v>5.2585709374322498</v>
      </c>
      <c r="I486" s="314">
        <v>3.6198438757342188</v>
      </c>
      <c r="J486" s="244"/>
      <c r="K486" s="244"/>
      <c r="L486" s="244"/>
      <c r="M486" s="244"/>
      <c r="N486" s="244"/>
    </row>
    <row r="487" spans="1:14" ht="12.75" customHeight="1">
      <c r="A487" s="32"/>
      <c r="B487" s="15" t="s">
        <v>14</v>
      </c>
      <c r="C487" s="314" t="s">
        <v>2</v>
      </c>
      <c r="D487" s="311" t="s">
        <v>2</v>
      </c>
      <c r="E487" s="20">
        <v>104.39400000000001</v>
      </c>
      <c r="F487" s="20">
        <v>0.4822269065288376</v>
      </c>
      <c r="G487" s="314">
        <v>5.5536478118097365</v>
      </c>
      <c r="H487" s="20">
        <v>5.5536478118097365</v>
      </c>
      <c r="I487" s="314">
        <v>3.7810317945783378</v>
      </c>
      <c r="J487" s="244"/>
    </row>
    <row r="488" spans="1:14" ht="12.75" customHeight="1">
      <c r="A488" s="32"/>
      <c r="C488" s="314"/>
      <c r="D488" s="311"/>
      <c r="E488" s="20"/>
      <c r="F488" s="20"/>
      <c r="G488" s="314"/>
      <c r="H488" s="20"/>
      <c r="I488" s="314"/>
      <c r="J488" s="1"/>
      <c r="K488" s="244"/>
      <c r="L488" s="244"/>
      <c r="M488" s="244"/>
      <c r="N488" s="244"/>
    </row>
    <row r="489" spans="1:14" ht="12.75" customHeight="1">
      <c r="A489" s="32">
        <v>2021</v>
      </c>
      <c r="B489" s="15" t="s">
        <v>3</v>
      </c>
      <c r="C489" s="314" t="s">
        <v>2</v>
      </c>
      <c r="D489" s="311" t="s">
        <v>2</v>
      </c>
      <c r="E489" s="20">
        <v>105.404</v>
      </c>
      <c r="F489" s="20">
        <v>0.96748855298196546</v>
      </c>
      <c r="G489" s="20">
        <v>0.96748855298196546</v>
      </c>
      <c r="H489" s="20">
        <v>6.2270483901758489</v>
      </c>
      <c r="I489" s="20">
        <v>3.9567647209344026</v>
      </c>
      <c r="J489" s="244"/>
      <c r="K489" s="244"/>
      <c r="L489" s="244"/>
      <c r="M489" s="244"/>
      <c r="N489" s="244"/>
    </row>
    <row r="490" spans="1:14" ht="12.75" customHeight="1">
      <c r="A490" s="1"/>
      <c r="B490" s="15" t="s">
        <v>4</v>
      </c>
      <c r="C490" s="314" t="s">
        <v>2</v>
      </c>
      <c r="D490" s="311" t="s">
        <v>2</v>
      </c>
      <c r="E490" s="20">
        <v>106.124</v>
      </c>
      <c r="F490" s="20">
        <v>0.68308603089066722</v>
      </c>
      <c r="G490" s="20">
        <v>1.6571833630285138</v>
      </c>
      <c r="H490" s="20">
        <v>7.0877017403547349</v>
      </c>
      <c r="I490" s="20">
        <v>4.2458769202742275</v>
      </c>
      <c r="J490" s="244"/>
      <c r="K490" s="244"/>
      <c r="L490" s="244"/>
      <c r="M490" s="244"/>
      <c r="N490" s="244"/>
    </row>
    <row r="491" spans="1:14" ht="12.75" customHeight="1">
      <c r="A491" s="1"/>
      <c r="B491" s="15" t="s">
        <v>5</v>
      </c>
      <c r="C491" s="314" t="s">
        <v>2</v>
      </c>
      <c r="D491" s="311" t="s">
        <v>2</v>
      </c>
      <c r="E491" s="20">
        <v>106.764</v>
      </c>
      <c r="F491" s="20">
        <v>0.60306810900456753</v>
      </c>
      <c r="G491" s="20">
        <v>2.2702454164032382</v>
      </c>
      <c r="H491" s="20">
        <v>8.2965106026717805</v>
      </c>
      <c r="I491" s="20">
        <v>4.7331066986163073</v>
      </c>
      <c r="J491" s="244"/>
      <c r="K491" s="244"/>
      <c r="L491" s="244"/>
      <c r="M491" s="244"/>
      <c r="N491" s="244"/>
    </row>
    <row r="492" spans="1:14" ht="12.75" customHeight="1">
      <c r="A492" s="1"/>
      <c r="B492" s="15" t="s">
        <v>6</v>
      </c>
      <c r="C492" s="314" t="s">
        <v>2</v>
      </c>
      <c r="D492" s="311" t="s">
        <v>2</v>
      </c>
      <c r="E492" s="20">
        <v>107.206</v>
      </c>
      <c r="F492" s="20">
        <v>0.41399722752988311</v>
      </c>
      <c r="G492" s="20">
        <v>2.6936413970151563</v>
      </c>
      <c r="H492" s="20">
        <v>9.6452641918615569</v>
      </c>
      <c r="I492" s="20">
        <v>5.4427156639926144</v>
      </c>
      <c r="J492" s="244"/>
      <c r="K492" s="244"/>
      <c r="L492" s="244"/>
      <c r="M492" s="244"/>
      <c r="N492" s="244"/>
    </row>
    <row r="493" spans="1:14" ht="12.75" customHeight="1">
      <c r="A493" s="1"/>
      <c r="B493" s="15" t="s">
        <v>7</v>
      </c>
      <c r="C493" s="314" t="s">
        <v>2</v>
      </c>
      <c r="D493" s="311" t="s">
        <v>2</v>
      </c>
      <c r="E493" s="20">
        <v>107.901</v>
      </c>
      <c r="F493" s="20">
        <v>0.64828461093595635</v>
      </c>
      <c r="G493" s="20">
        <v>3.3593884706017541</v>
      </c>
      <c r="H493" s="20">
        <v>10.480820683305559</v>
      </c>
      <c r="I493" s="20">
        <v>6.2268159894028896</v>
      </c>
      <c r="J493" s="244"/>
      <c r="K493" s="244"/>
      <c r="L493" s="244"/>
      <c r="M493" s="244"/>
      <c r="N493" s="244"/>
    </row>
    <row r="494" spans="1:14" ht="12.75" customHeight="1">
      <c r="A494" s="1"/>
      <c r="B494" s="15" t="s">
        <v>8</v>
      </c>
      <c r="C494" s="314" t="s">
        <v>2</v>
      </c>
      <c r="D494" s="311" t="s">
        <v>2</v>
      </c>
      <c r="E494" s="20">
        <v>108.58499999999999</v>
      </c>
      <c r="F494" s="20">
        <v>0.63391442155309452</v>
      </c>
      <c r="G494" s="20">
        <v>4.0145985401459638</v>
      </c>
      <c r="H494" s="20">
        <v>9.3193676739859335</v>
      </c>
      <c r="I494" s="20">
        <v>6.7597033950465901</v>
      </c>
      <c r="J494" s="244"/>
      <c r="K494" s="244"/>
      <c r="L494" s="244"/>
      <c r="M494" s="244"/>
      <c r="N494" s="244"/>
    </row>
    <row r="495" spans="1:14" ht="12.75" customHeight="1">
      <c r="A495" s="1"/>
      <c r="B495" s="15" t="s">
        <v>9</v>
      </c>
      <c r="C495" s="314" t="s">
        <v>2</v>
      </c>
      <c r="D495" s="311" t="s">
        <v>2</v>
      </c>
      <c r="E495" s="20">
        <v>109.16800000000001</v>
      </c>
      <c r="F495" s="20">
        <v>0.53690657088918403</v>
      </c>
      <c r="G495" s="20">
        <v>4.5730597543920171</v>
      </c>
      <c r="H495" s="20">
        <v>7.8760412420828096</v>
      </c>
      <c r="I495" s="20">
        <v>7.0526666273933225</v>
      </c>
      <c r="J495" s="244"/>
      <c r="K495" s="244"/>
      <c r="L495" s="244"/>
      <c r="M495" s="244"/>
      <c r="N495" s="244"/>
    </row>
    <row r="496" spans="1:14" ht="12.75" customHeight="1">
      <c r="A496" s="1"/>
      <c r="B496" s="15" t="s">
        <v>10</v>
      </c>
      <c r="C496" s="314" t="s">
        <v>2</v>
      </c>
      <c r="D496" s="311" t="s">
        <v>2</v>
      </c>
      <c r="E496" s="20">
        <v>110.039</v>
      </c>
      <c r="F496" s="20">
        <v>0.79785285065219202</v>
      </c>
      <c r="G496" s="20">
        <v>5.4073988926566674</v>
      </c>
      <c r="H496" s="20">
        <v>7.8970977155353506</v>
      </c>
      <c r="I496" s="20">
        <v>7.3093617372866015</v>
      </c>
      <c r="J496" s="244"/>
      <c r="K496" s="244"/>
      <c r="L496" s="244"/>
      <c r="M496" s="244"/>
      <c r="N496" s="244"/>
    </row>
    <row r="497" spans="1:14" ht="12.75" customHeight="1">
      <c r="A497" s="1"/>
      <c r="B497" s="15" t="s">
        <v>11</v>
      </c>
      <c r="C497" s="314" t="s">
        <v>2</v>
      </c>
      <c r="D497" s="311" t="s">
        <v>2</v>
      </c>
      <c r="E497" s="20">
        <v>110.535</v>
      </c>
      <c r="F497" s="20">
        <v>0.45074927980079948</v>
      </c>
      <c r="G497" s="20">
        <v>5.8825219840220599</v>
      </c>
      <c r="H497" s="20">
        <v>7.7381184451635443</v>
      </c>
      <c r="I497" s="20">
        <v>7.5325298993900169</v>
      </c>
      <c r="J497" s="244"/>
      <c r="K497" s="244"/>
      <c r="L497" s="244"/>
      <c r="M497" s="244"/>
      <c r="N497" s="244"/>
    </row>
    <row r="498" spans="1:14" ht="12.75" customHeight="1">
      <c r="A498" s="1"/>
      <c r="B498" s="15" t="s">
        <v>12</v>
      </c>
      <c r="C498" s="314" t="s">
        <v>2</v>
      </c>
      <c r="D498" s="311" t="s">
        <v>2</v>
      </c>
      <c r="E498" s="20">
        <v>111.244</v>
      </c>
      <c r="F498" s="20">
        <v>0.64142579273533951</v>
      </c>
      <c r="G498" s="20">
        <v>6.5616797900262425</v>
      </c>
      <c r="H498" s="20">
        <v>7.7152484604361193</v>
      </c>
      <c r="I498" s="20">
        <v>7.7540411111351348</v>
      </c>
      <c r="J498" s="244"/>
      <c r="K498" s="244"/>
      <c r="L498" s="244"/>
      <c r="M498" s="244"/>
      <c r="N498" s="244"/>
    </row>
    <row r="499" spans="1:14" ht="12.75" customHeight="1">
      <c r="A499" s="1"/>
      <c r="B499" s="15" t="s">
        <v>13</v>
      </c>
      <c r="C499" s="314" t="s">
        <v>2</v>
      </c>
      <c r="D499" s="311" t="s">
        <v>2</v>
      </c>
      <c r="E499" s="20">
        <v>112.446</v>
      </c>
      <c r="F499" s="20">
        <v>1.0805077127755247</v>
      </c>
      <c r="G499" s="20">
        <v>7.7130869590206208</v>
      </c>
      <c r="H499" s="20">
        <v>8.2325084461898346</v>
      </c>
      <c r="I499" s="20">
        <v>8.0000004777919251</v>
      </c>
      <c r="J499" s="244"/>
      <c r="K499" s="244"/>
      <c r="L499" s="244"/>
      <c r="M499" s="244"/>
      <c r="N499" s="244"/>
    </row>
    <row r="500" spans="1:14" ht="12.75" customHeight="1">
      <c r="A500" s="1"/>
      <c r="B500" s="15" t="s">
        <v>14</v>
      </c>
      <c r="C500" s="314" t="s">
        <v>2</v>
      </c>
      <c r="D500" s="311" t="s">
        <v>2</v>
      </c>
      <c r="E500" s="20">
        <v>113.26300000000001</v>
      </c>
      <c r="F500" s="20">
        <v>0.72657097629085232</v>
      </c>
      <c r="G500" s="20">
        <v>8.4956989865317958</v>
      </c>
      <c r="H500" s="20">
        <v>8.4956989865317958</v>
      </c>
      <c r="I500" s="20">
        <v>8.242920754477856</v>
      </c>
      <c r="J500" s="244"/>
    </row>
    <row r="501" spans="1:14" ht="12.75" customHeight="1">
      <c r="A501" s="1"/>
      <c r="C501" s="314"/>
      <c r="D501" s="311"/>
      <c r="E501" s="20"/>
      <c r="F501" s="20"/>
      <c r="G501" s="20"/>
      <c r="H501" s="20"/>
      <c r="I501" s="20"/>
      <c r="J501" s="1"/>
      <c r="K501" s="244"/>
      <c r="L501" s="244"/>
      <c r="M501" s="244"/>
      <c r="N501" s="244"/>
    </row>
    <row r="502" spans="1:14" ht="12.75" customHeight="1">
      <c r="A502" s="32">
        <v>2022</v>
      </c>
      <c r="B502" s="15" t="s">
        <v>3</v>
      </c>
      <c r="C502" s="314" t="s">
        <v>2</v>
      </c>
      <c r="D502" s="314" t="s">
        <v>2</v>
      </c>
      <c r="E502" s="20">
        <v>114.602</v>
      </c>
      <c r="F502" s="20">
        <v>1.1822042502847241</v>
      </c>
      <c r="G502" s="20">
        <v>1.1822042502847241</v>
      </c>
      <c r="H502" s="20">
        <v>8.7264240446282884</v>
      </c>
      <c r="I502" s="20">
        <v>8.4494618018402292</v>
      </c>
      <c r="J502" s="244"/>
      <c r="K502" s="244"/>
      <c r="L502" s="244"/>
      <c r="M502" s="244"/>
      <c r="N502" s="244"/>
    </row>
    <row r="503" spans="1:14" ht="12.75" customHeight="1">
      <c r="A503" s="1"/>
      <c r="B503" s="15" t="s">
        <v>4</v>
      </c>
      <c r="C503" s="314" t="s">
        <v>2</v>
      </c>
      <c r="D503" s="314" t="s">
        <v>2</v>
      </c>
      <c r="E503" s="20">
        <v>115.658</v>
      </c>
      <c r="F503" s="20">
        <v>0.92144988743652068</v>
      </c>
      <c r="G503" s="20">
        <v>2.1145475574547712</v>
      </c>
      <c r="H503" s="20">
        <v>8.9838302363273179</v>
      </c>
      <c r="I503" s="20">
        <v>8.6062742898516333</v>
      </c>
      <c r="J503" s="244"/>
      <c r="K503" s="244"/>
      <c r="L503" s="244"/>
      <c r="M503" s="244"/>
      <c r="N503" s="244"/>
    </row>
    <row r="504" spans="1:14" ht="12.75" customHeight="1">
      <c r="A504" s="1"/>
      <c r="B504" s="15" t="s">
        <v>5</v>
      </c>
      <c r="C504" s="314" t="s">
        <v>2</v>
      </c>
      <c r="D504" s="314" t="s">
        <v>2</v>
      </c>
      <c r="E504" s="20">
        <v>116.431</v>
      </c>
      <c r="F504" s="20">
        <v>0.66834978989780414</v>
      </c>
      <c r="G504" s="20">
        <v>2.7970299215100969</v>
      </c>
      <c r="H504" s="20">
        <v>9.0545502229215877</v>
      </c>
      <c r="I504" s="20">
        <v>8.6699914629194232</v>
      </c>
      <c r="J504" s="244"/>
      <c r="K504" s="244"/>
      <c r="L504" s="244"/>
      <c r="M504" s="244"/>
      <c r="N504" s="244"/>
    </row>
    <row r="505" spans="1:14" ht="12.75" customHeight="1">
      <c r="A505" s="1"/>
      <c r="B505" s="15" t="s">
        <v>6</v>
      </c>
      <c r="C505" s="314" t="s">
        <v>2</v>
      </c>
      <c r="D505" s="314" t="s">
        <v>2</v>
      </c>
      <c r="E505" s="20">
        <v>117.544</v>
      </c>
      <c r="F505" s="20">
        <v>0.95593098058077697</v>
      </c>
      <c r="G505" s="20">
        <v>3.7796985776467062</v>
      </c>
      <c r="H505" s="20">
        <v>9.6431169897207134</v>
      </c>
      <c r="I505" s="20">
        <v>8.6772241303078488</v>
      </c>
      <c r="J505" s="244"/>
      <c r="K505" s="244"/>
      <c r="L505" s="244"/>
      <c r="M505" s="244"/>
      <c r="N505" s="244"/>
    </row>
    <row r="506" spans="1:14" ht="12.75" customHeight="1">
      <c r="A506" s="1"/>
      <c r="B506" s="15" t="s">
        <v>7</v>
      </c>
      <c r="C506" s="314" t="s">
        <v>2</v>
      </c>
      <c r="D506" s="314" t="s">
        <v>2</v>
      </c>
      <c r="E506" s="20">
        <v>118.122</v>
      </c>
      <c r="F506" s="20">
        <v>0.49173075614237227</v>
      </c>
      <c r="G506" s="20">
        <v>4.2900152741848663</v>
      </c>
      <c r="H506" s="20">
        <v>9.4725720799621946</v>
      </c>
      <c r="I506" s="20">
        <v>8.6049647067781407</v>
      </c>
      <c r="J506" s="244"/>
      <c r="K506" s="244"/>
      <c r="L506" s="244"/>
      <c r="M506" s="244"/>
      <c r="N506" s="244"/>
    </row>
    <row r="507" spans="1:14" ht="12.75" customHeight="1">
      <c r="A507" s="1"/>
      <c r="B507" s="15" t="s">
        <v>8</v>
      </c>
      <c r="C507" s="314" t="s">
        <v>2</v>
      </c>
      <c r="D507" s="314" t="s">
        <v>2</v>
      </c>
      <c r="E507" s="20">
        <v>118.877</v>
      </c>
      <c r="F507" s="20">
        <v>0.63916967203399011</v>
      </c>
      <c r="G507" s="20">
        <v>4.9566054227770717</v>
      </c>
      <c r="H507" s="20">
        <v>9.478288898098274</v>
      </c>
      <c r="I507" s="20">
        <v>8.6239189131465999</v>
      </c>
      <c r="J507" s="244"/>
      <c r="K507" s="244"/>
      <c r="L507" s="244"/>
      <c r="M507" s="244"/>
      <c r="N507" s="244"/>
    </row>
    <row r="508" spans="1:14" ht="12.75" customHeight="1">
      <c r="A508" s="1"/>
      <c r="B508" s="15" t="s">
        <v>9</v>
      </c>
      <c r="C508" s="314" t="s">
        <v>2</v>
      </c>
      <c r="D508" s="314" t="s">
        <v>2</v>
      </c>
      <c r="E508" s="20">
        <v>119.468</v>
      </c>
      <c r="F508" s="20">
        <v>0.49715251899022928</v>
      </c>
      <c r="G508" s="20">
        <v>5.4783998304830384</v>
      </c>
      <c r="H508" s="20">
        <v>9.4349992671845193</v>
      </c>
      <c r="I508" s="20">
        <v>8.7535077799596461</v>
      </c>
      <c r="J508" s="244"/>
      <c r="K508" s="244"/>
      <c r="L508" s="244"/>
      <c r="M508" s="244"/>
      <c r="N508" s="244"/>
    </row>
    <row r="509" spans="1:14" ht="12.75" customHeight="1">
      <c r="A509" s="1"/>
      <c r="B509" s="15" t="s">
        <v>10</v>
      </c>
      <c r="C509" s="314" t="s">
        <v>2</v>
      </c>
      <c r="D509" s="314" t="s">
        <v>2</v>
      </c>
      <c r="E509" s="20">
        <v>119.718</v>
      </c>
      <c r="F509" s="20">
        <v>0.20926105735425971</v>
      </c>
      <c r="G509" s="20">
        <v>5.6991250452486764</v>
      </c>
      <c r="H509" s="20">
        <v>8.7959723370804923</v>
      </c>
      <c r="I509" s="20">
        <v>8.8256557023562046</v>
      </c>
      <c r="J509" s="244"/>
      <c r="K509" s="244"/>
      <c r="L509" s="244"/>
      <c r="M509" s="244"/>
      <c r="N509" s="244"/>
    </row>
    <row r="510" spans="1:14" ht="12.75" customHeight="1">
      <c r="A510" s="1"/>
      <c r="B510" s="15" t="s">
        <v>11</v>
      </c>
      <c r="C510" s="314" t="s">
        <v>2</v>
      </c>
      <c r="D510" s="314" t="s">
        <v>2</v>
      </c>
      <c r="E510" s="20">
        <v>120.07</v>
      </c>
      <c r="F510" s="20">
        <v>0.29402429041580636</v>
      </c>
      <c r="G510" s="20">
        <v>6.0099061476386773</v>
      </c>
      <c r="H510" s="20">
        <v>8.626226986927211</v>
      </c>
      <c r="I510" s="20">
        <v>8.8954241795885061</v>
      </c>
      <c r="J510" s="244"/>
      <c r="K510" s="244"/>
      <c r="L510" s="244"/>
      <c r="M510" s="244"/>
      <c r="N510" s="244"/>
    </row>
    <row r="511" spans="1:14" ht="12.75" customHeight="1">
      <c r="A511" s="1"/>
      <c r="B511" s="15" t="s">
        <v>12</v>
      </c>
      <c r="C511" s="314" t="s">
        <v>2</v>
      </c>
      <c r="D511" s="314" t="s">
        <v>2</v>
      </c>
      <c r="E511" s="20">
        <v>120.405</v>
      </c>
      <c r="F511" s="20">
        <v>0.2790039143832912</v>
      </c>
      <c r="G511" s="20">
        <v>6.3056779354246251</v>
      </c>
      <c r="H511" s="20">
        <v>8.2350508791485311</v>
      </c>
      <c r="I511" s="20">
        <v>8.9329235001242893</v>
      </c>
      <c r="J511" s="244"/>
      <c r="K511" s="244"/>
      <c r="L511" s="244"/>
      <c r="M511" s="244"/>
      <c r="N511" s="244"/>
    </row>
    <row r="512" spans="1:14" ht="12.75" customHeight="1">
      <c r="A512" s="1"/>
      <c r="B512" s="15" t="s">
        <v>13</v>
      </c>
      <c r="C512" s="314" t="s">
        <v>2</v>
      </c>
      <c r="D512" s="314" t="s">
        <v>2</v>
      </c>
      <c r="E512" s="20">
        <v>120.96599999999999</v>
      </c>
      <c r="F512" s="20">
        <v>0.46592749470535377</v>
      </c>
      <c r="G512" s="20">
        <v>6.8009853173587098</v>
      </c>
      <c r="H512" s="20">
        <v>7.5769702790672744</v>
      </c>
      <c r="I512" s="20">
        <v>8.8716043113993504</v>
      </c>
      <c r="J512" s="244"/>
      <c r="K512" s="244"/>
      <c r="L512" s="244"/>
      <c r="M512" s="244"/>
      <c r="N512" s="244"/>
    </row>
    <row r="513" spans="1:14" ht="12.75" customHeight="1">
      <c r="A513" s="1"/>
      <c r="B513" s="15" t="s">
        <v>14</v>
      </c>
      <c r="C513" s="314" t="s">
        <v>2</v>
      </c>
      <c r="D513" s="314" t="s">
        <v>2</v>
      </c>
      <c r="E513" s="20">
        <v>122.128</v>
      </c>
      <c r="F513" s="20">
        <v>0.96060049931385727</v>
      </c>
      <c r="G513" s="20">
        <v>7.8269161155893663</v>
      </c>
      <c r="H513" s="20">
        <v>7.8269161155893663</v>
      </c>
      <c r="I513" s="20">
        <v>8.8111752385420452</v>
      </c>
      <c r="J513" s="244"/>
    </row>
    <row r="514" spans="1:14" ht="12.75" customHeight="1">
      <c r="A514" s="1"/>
      <c r="C514" s="314"/>
      <c r="D514" s="314"/>
      <c r="E514" s="20"/>
      <c r="F514" s="20"/>
      <c r="G514" s="20"/>
      <c r="H514" s="20"/>
      <c r="I514" s="20"/>
      <c r="J514" s="1"/>
      <c r="K514" s="244"/>
      <c r="L514" s="244"/>
      <c r="M514" s="244"/>
      <c r="N514" s="244"/>
    </row>
    <row r="515" spans="1:14" ht="12.75" customHeight="1">
      <c r="A515" s="32">
        <v>2023</v>
      </c>
      <c r="B515" s="15" t="s">
        <v>3</v>
      </c>
      <c r="C515" s="314" t="s">
        <v>2</v>
      </c>
      <c r="D515" s="314" t="s">
        <v>2</v>
      </c>
      <c r="E515" s="20">
        <v>122.90300000000001</v>
      </c>
      <c r="F515" s="20">
        <f>(E515/E513-1)*100</f>
        <v>0.6345801126686812</v>
      </c>
      <c r="G515" s="20">
        <f>(E515/$E$513-1)*100</f>
        <v>0.6345801126686812</v>
      </c>
      <c r="H515" s="20">
        <f t="shared" ref="H515:H520" si="1">((E515/E502)-1)*100</f>
        <v>7.2433290867524036</v>
      </c>
      <c r="I515" s="20">
        <f t="shared" ref="I515:I526" si="2">((AVERAGE(E503:E515)/AVERAGE(E490:E502)-1)*100)</f>
        <v>8.6816144450506236</v>
      </c>
      <c r="J515" s="244"/>
      <c r="K515" s="244"/>
      <c r="L515" s="244"/>
      <c r="M515" s="244"/>
      <c r="N515" s="244"/>
    </row>
    <row r="516" spans="1:14" ht="12.75" customHeight="1">
      <c r="A516" s="1"/>
      <c r="B516" s="15" t="s">
        <v>4</v>
      </c>
      <c r="C516" s="314" t="s">
        <v>2</v>
      </c>
      <c r="D516" s="314" t="s">
        <v>2</v>
      </c>
      <c r="E516" s="20">
        <v>123.035</v>
      </c>
      <c r="F516" s="20">
        <f t="shared" ref="F516:F526" si="3">(E516/E515-1)*100</f>
        <v>0.10740177212922308</v>
      </c>
      <c r="G516" s="20">
        <f t="shared" ref="G516:G526" si="4">(E516/$E$513-1)*100</f>
        <v>0.74266343508448962</v>
      </c>
      <c r="H516" s="20">
        <f t="shared" si="1"/>
        <v>6.3782877103183422</v>
      </c>
      <c r="I516" s="20">
        <f t="shared" si="2"/>
        <v>8.4567628262836259</v>
      </c>
      <c r="J516" s="244"/>
      <c r="K516" s="244"/>
      <c r="L516" s="244"/>
      <c r="M516" s="244"/>
      <c r="N516" s="244"/>
    </row>
    <row r="517" spans="1:14" ht="12.75" customHeight="1">
      <c r="A517" s="1"/>
      <c r="B517" s="15" t="s">
        <v>5</v>
      </c>
      <c r="C517" s="314" t="s">
        <v>2</v>
      </c>
      <c r="D517" s="314" t="s">
        <v>2</v>
      </c>
      <c r="E517" s="20">
        <v>123.29949999999999</v>
      </c>
      <c r="F517" s="20">
        <f t="shared" si="3"/>
        <v>0.21497947738449152</v>
      </c>
      <c r="G517" s="20">
        <f t="shared" si="4"/>
        <v>0.9592394864404552</v>
      </c>
      <c r="H517" s="20">
        <f t="shared" si="1"/>
        <v>5.8992021025328301</v>
      </c>
      <c r="I517" s="20">
        <f t="shared" si="2"/>
        <v>8.1863212168624688</v>
      </c>
      <c r="J517" s="244"/>
      <c r="K517" s="244"/>
      <c r="L517" s="244"/>
      <c r="M517" s="244"/>
      <c r="N517" s="244"/>
    </row>
    <row r="518" spans="1:14" ht="12.75" customHeight="1">
      <c r="A518" s="1"/>
      <c r="B518" s="15" t="s">
        <v>6</v>
      </c>
      <c r="C518" s="314" t="s">
        <v>2</v>
      </c>
      <c r="D518" s="314" t="s">
        <v>2</v>
      </c>
      <c r="E518" s="20">
        <v>123.6</v>
      </c>
      <c r="F518" s="20">
        <f t="shared" si="3"/>
        <v>0.24371550574009415</v>
      </c>
      <c r="G518" s="20">
        <f t="shared" si="4"/>
        <v>1.2052928075461766</v>
      </c>
      <c r="H518" s="20">
        <f t="shared" si="1"/>
        <v>5.152113251208057</v>
      </c>
      <c r="I518" s="20">
        <f t="shared" si="2"/>
        <v>7.8057185011904062</v>
      </c>
      <c r="J518" s="244"/>
      <c r="K518" s="244"/>
      <c r="L518" s="244"/>
      <c r="M518" s="244"/>
      <c r="N518" s="244"/>
    </row>
    <row r="519" spans="1:14" ht="12.75" customHeight="1">
      <c r="A519" s="1"/>
      <c r="B519" s="15" t="s">
        <v>7</v>
      </c>
      <c r="C519" s="314" t="s">
        <v>2</v>
      </c>
      <c r="D519" s="314" t="s">
        <v>2</v>
      </c>
      <c r="E519" s="20">
        <v>123.35599999999999</v>
      </c>
      <c r="F519" s="20">
        <f t="shared" si="3"/>
        <v>-0.1974110032362475</v>
      </c>
      <c r="G519" s="20">
        <f t="shared" si="4"/>
        <v>1.0055024236866217</v>
      </c>
      <c r="H519" s="20">
        <f t="shared" si="1"/>
        <v>4.4310120045376822</v>
      </c>
      <c r="I519" s="20">
        <f t="shared" si="2"/>
        <v>7.3796235665350984</v>
      </c>
      <c r="J519" s="244"/>
      <c r="K519" s="244"/>
      <c r="L519" s="244"/>
      <c r="M519" s="244"/>
      <c r="N519" s="244"/>
    </row>
    <row r="520" spans="1:14" ht="12.75" customHeight="1">
      <c r="A520" s="1"/>
      <c r="B520" s="15" t="s">
        <v>8</v>
      </c>
      <c r="C520" s="314" t="s">
        <v>2</v>
      </c>
      <c r="D520" s="314" t="s">
        <v>2</v>
      </c>
      <c r="E520" s="20">
        <v>123.627</v>
      </c>
      <c r="F520" s="20">
        <f t="shared" si="3"/>
        <v>0.2196893543889189</v>
      </c>
      <c r="G520" s="20">
        <f t="shared" si="4"/>
        <v>1.2274007598584991</v>
      </c>
      <c r="H520" s="20">
        <f t="shared" si="1"/>
        <v>3.9957266754712784</v>
      </c>
      <c r="I520" s="20">
        <f t="shared" si="2"/>
        <v>6.9189628993902241</v>
      </c>
      <c r="J520" s="244"/>
      <c r="K520" s="244"/>
      <c r="L520" s="244"/>
      <c r="M520" s="244"/>
      <c r="N520" s="244"/>
    </row>
    <row r="521" spans="1:14" ht="12.75" customHeight="1">
      <c r="A521" s="1"/>
      <c r="B521" s="15" t="s">
        <v>9</v>
      </c>
      <c r="C521" s="314" t="s">
        <v>2</v>
      </c>
      <c r="D521" s="314" t="s">
        <v>2</v>
      </c>
      <c r="E521" s="20">
        <v>124.1884</v>
      </c>
      <c r="F521" s="20">
        <f t="shared" si="3"/>
        <v>0.45410792140876399</v>
      </c>
      <c r="G521" s="20">
        <f t="shared" si="4"/>
        <v>1.6870824053452083</v>
      </c>
      <c r="H521" s="20">
        <f t="shared" ref="H521:H526" si="5">((E521/E508)-1)*100</f>
        <v>3.951183580540385</v>
      </c>
      <c r="I521" s="20">
        <f t="shared" si="2"/>
        <v>6.4624166230720537</v>
      </c>
      <c r="J521" s="244"/>
      <c r="K521" s="244"/>
      <c r="L521" s="244"/>
      <c r="M521" s="244"/>
      <c r="N521" s="244"/>
    </row>
    <row r="522" spans="1:14" ht="12.75" customHeight="1">
      <c r="A522" s="1"/>
      <c r="B522" s="15" t="s">
        <v>10</v>
      </c>
      <c r="C522" s="314" t="s">
        <v>2</v>
      </c>
      <c r="D522" s="314" t="s">
        <v>2</v>
      </c>
      <c r="E522" s="20">
        <v>124.8282</v>
      </c>
      <c r="F522" s="20">
        <f t="shared" si="3"/>
        <v>0.51518499312335209</v>
      </c>
      <c r="G522" s="20">
        <f t="shared" si="4"/>
        <v>2.2109589938425156</v>
      </c>
      <c r="H522" s="20">
        <f t="shared" si="5"/>
        <v>4.2685310479626981</v>
      </c>
      <c r="I522" s="20">
        <f t="shared" si="2"/>
        <v>6.088162904169403</v>
      </c>
      <c r="J522" s="244"/>
      <c r="K522" s="244"/>
      <c r="L522" s="244"/>
      <c r="M522" s="244"/>
      <c r="N522" s="244"/>
    </row>
    <row r="523" spans="1:14" ht="12.75" customHeight="1">
      <c r="A523" s="1"/>
      <c r="B523" s="15" t="s">
        <v>11</v>
      </c>
      <c r="C523" s="314" t="s">
        <v>2</v>
      </c>
      <c r="D523" s="314" t="s">
        <v>2</v>
      </c>
      <c r="E523" s="20">
        <v>125.36539999999999</v>
      </c>
      <c r="F523" s="20">
        <f t="shared" si="3"/>
        <v>0.43035147506733651</v>
      </c>
      <c r="G523" s="20">
        <f t="shared" si="4"/>
        <v>2.6508253635529888</v>
      </c>
      <c r="H523" s="20">
        <f t="shared" si="5"/>
        <v>4.4102606812692624</v>
      </c>
      <c r="I523" s="20">
        <f t="shared" si="2"/>
        <v>5.7432396169289301</v>
      </c>
      <c r="J523" s="244"/>
      <c r="K523" s="244"/>
      <c r="L523" s="244"/>
      <c r="M523" s="244"/>
      <c r="N523" s="244"/>
    </row>
    <row r="524" spans="1:14" ht="12.75" customHeight="1">
      <c r="A524" s="1"/>
      <c r="B524" s="15" t="s">
        <v>12</v>
      </c>
      <c r="C524" s="314" t="s">
        <v>2</v>
      </c>
      <c r="D524" s="314" t="s">
        <v>2</v>
      </c>
      <c r="E524" s="20">
        <v>125.63760000000001</v>
      </c>
      <c r="F524" s="20">
        <f t="shared" si="3"/>
        <v>0.21712529932502722</v>
      </c>
      <c r="G524" s="20">
        <f t="shared" si="4"/>
        <v>2.8737062753832143</v>
      </c>
      <c r="H524" s="20">
        <f t="shared" si="5"/>
        <v>4.3458328142518932</v>
      </c>
      <c r="I524" s="20">
        <f t="shared" si="2"/>
        <v>5.4265521781538872</v>
      </c>
      <c r="J524" s="244"/>
      <c r="K524" s="244"/>
      <c r="L524" s="244"/>
      <c r="M524" s="244"/>
      <c r="N524" s="244"/>
    </row>
    <row r="525" spans="1:14" ht="12.75" customHeight="1">
      <c r="A525" s="1"/>
      <c r="B525" s="15" t="s">
        <v>13</v>
      </c>
      <c r="C525" s="314" t="s">
        <v>2</v>
      </c>
      <c r="D525" s="314" t="s">
        <v>2</v>
      </c>
      <c r="E525" s="20">
        <v>125.8094</v>
      </c>
      <c r="F525" s="20">
        <f t="shared" si="3"/>
        <v>0.13674250383641784</v>
      </c>
      <c r="G525" s="20">
        <f t="shared" si="4"/>
        <v>3.0143783571334959</v>
      </c>
      <c r="H525" s="20">
        <f t="shared" si="5"/>
        <v>4.0039349899971821</v>
      </c>
      <c r="I525" s="20">
        <f t="shared" si="2"/>
        <v>5.1340730564954029</v>
      </c>
      <c r="J525" s="244"/>
      <c r="K525" s="244"/>
      <c r="L525" s="244"/>
      <c r="M525" s="244"/>
      <c r="N525" s="244"/>
    </row>
    <row r="526" spans="1:14" ht="12.75" customHeight="1">
      <c r="A526" s="1"/>
      <c r="B526" s="15" t="s">
        <v>14</v>
      </c>
      <c r="C526" s="314" t="s">
        <v>2</v>
      </c>
      <c r="D526" s="314" t="s">
        <v>2</v>
      </c>
      <c r="E526" s="20">
        <v>126.4866</v>
      </c>
      <c r="F526" s="20">
        <f t="shared" si="3"/>
        <v>0.53827456453969802</v>
      </c>
      <c r="G526" s="20">
        <f t="shared" si="4"/>
        <v>3.5688785536486245</v>
      </c>
      <c r="H526" s="20">
        <f t="shared" si="5"/>
        <v>3.5688785536486245</v>
      </c>
      <c r="I526" s="20">
        <f t="shared" si="2"/>
        <v>4.7856479228421289</v>
      </c>
      <c r="J526" s="244"/>
      <c r="K526" s="244"/>
      <c r="L526" s="244"/>
      <c r="M526" s="244"/>
      <c r="N526" s="244"/>
    </row>
    <row r="527" spans="1:14" ht="12.75" customHeight="1">
      <c r="A527" s="1"/>
      <c r="C527" s="314"/>
      <c r="D527" s="314"/>
      <c r="E527" s="20"/>
      <c r="F527" s="20"/>
      <c r="G527" s="20"/>
      <c r="H527" s="20"/>
      <c r="I527" s="20"/>
      <c r="J527" s="244"/>
      <c r="K527" s="244"/>
      <c r="L527" s="244"/>
      <c r="M527" s="244"/>
      <c r="N527" s="244"/>
    </row>
    <row r="528" spans="1:14" ht="12.75" customHeight="1">
      <c r="A528" s="32">
        <v>2024</v>
      </c>
      <c r="B528" s="15" t="s">
        <v>3</v>
      </c>
      <c r="C528" s="314" t="s">
        <v>2</v>
      </c>
      <c r="D528" s="314" t="s">
        <v>2</v>
      </c>
      <c r="E528" s="20">
        <v>126.9796</v>
      </c>
      <c r="F528" s="20">
        <v>0.38976460747621733</v>
      </c>
      <c r="G528" s="20">
        <v>0.38976460747621733</v>
      </c>
      <c r="H528" s="20">
        <v>3.3169247292580417</v>
      </c>
      <c r="I528" s="20">
        <v>4.462971884185496</v>
      </c>
      <c r="J528" s="244"/>
      <c r="K528" s="244"/>
      <c r="L528" s="244"/>
      <c r="M528" s="244"/>
      <c r="N528" s="244"/>
    </row>
    <row r="529" spans="1:14" ht="12.75" customHeight="1">
      <c r="A529" s="1"/>
      <c r="B529" s="15" t="s">
        <v>4</v>
      </c>
      <c r="C529" s="314" t="s">
        <v>2</v>
      </c>
      <c r="D529" s="314" t="s">
        <v>2</v>
      </c>
      <c r="E529" s="20">
        <v>127.0946</v>
      </c>
      <c r="F529" s="20">
        <v>9.0565728668212664E-2</v>
      </c>
      <c r="G529" s="20">
        <v>0.48068332930129021</v>
      </c>
      <c r="H529" s="20">
        <v>3.299548908847072</v>
      </c>
      <c r="I529" s="20">
        <v>4.2096748762040281</v>
      </c>
      <c r="J529" s="244"/>
      <c r="K529" s="244"/>
      <c r="L529" s="244"/>
      <c r="M529" s="244"/>
      <c r="N529" s="244"/>
    </row>
    <row r="530" spans="1:14" ht="12.75" customHeight="1">
      <c r="A530" s="1"/>
      <c r="B530" s="15" t="s">
        <v>5</v>
      </c>
      <c r="C530" s="314" t="s">
        <v>2</v>
      </c>
      <c r="D530" s="314" t="s">
        <v>2</v>
      </c>
      <c r="E530" s="20">
        <v>127.47280000000001</v>
      </c>
      <c r="F530" s="20">
        <v>0.29757361839135577</v>
      </c>
      <c r="G530" s="20">
        <v>0.77968733446864835</v>
      </c>
      <c r="H530" s="20">
        <v>3.3846852582532838</v>
      </c>
      <c r="I530" s="20">
        <v>4.0033652820826049</v>
      </c>
      <c r="J530" s="244"/>
      <c r="K530" s="244"/>
      <c r="L530" s="244"/>
      <c r="M530" s="244"/>
      <c r="N530" s="244"/>
    </row>
    <row r="531" spans="1:14" ht="12.75" customHeight="1">
      <c r="A531" s="1"/>
      <c r="B531" s="15" t="s">
        <v>6</v>
      </c>
      <c r="C531" s="314" t="s">
        <v>2</v>
      </c>
      <c r="D531" s="314" t="s">
        <v>2</v>
      </c>
      <c r="E531" s="20">
        <v>127.34780000000001</v>
      </c>
      <c r="F531" s="20">
        <v>-9.8060135181776698E-2</v>
      </c>
      <c r="G531" s="20">
        <v>0.68086263683269088</v>
      </c>
      <c r="H531" s="20">
        <v>3.0322006472492058</v>
      </c>
      <c r="I531" s="20">
        <v>3.8277726394516209</v>
      </c>
      <c r="J531" s="244"/>
      <c r="K531" s="244"/>
      <c r="L531" s="244"/>
      <c r="M531" s="244"/>
      <c r="N531" s="244"/>
    </row>
    <row r="532" spans="1:14" ht="12.75" customHeight="1">
      <c r="A532" s="1"/>
      <c r="B532" s="15" t="s">
        <v>7</v>
      </c>
      <c r="C532" s="314" t="s">
        <v>2</v>
      </c>
      <c r="D532" s="314" t="s">
        <v>2</v>
      </c>
      <c r="E532" s="20">
        <v>127.2987</v>
      </c>
      <c r="F532" s="20">
        <v>-3.8555828997444141E-2</v>
      </c>
      <c r="G532" s="20">
        <v>0.64204429560126286</v>
      </c>
      <c r="H532" s="20">
        <v>3.1961963747203281</v>
      </c>
      <c r="I532" s="20">
        <v>3.7254527376561875</v>
      </c>
      <c r="J532" s="244"/>
      <c r="K532" s="244"/>
      <c r="L532" s="244"/>
      <c r="M532" s="244"/>
      <c r="N532" s="244"/>
    </row>
    <row r="533" spans="1:14" ht="12.75" customHeight="1">
      <c r="A533" s="1"/>
      <c r="B533" s="15" t="s">
        <v>8</v>
      </c>
      <c r="C533" s="314" t="s">
        <v>2</v>
      </c>
      <c r="D533" s="314" t="s">
        <v>2</v>
      </c>
      <c r="E533" s="20">
        <v>127.9079</v>
      </c>
      <c r="F533" s="20">
        <v>0.47855948253987535</v>
      </c>
      <c r="G533" s="20">
        <v>1.1236763419998574</v>
      </c>
      <c r="H533" s="20">
        <v>3.46275489981962</v>
      </c>
      <c r="I533" s="20">
        <v>3.6812800433208448</v>
      </c>
      <c r="J533" s="244"/>
      <c r="K533" s="244"/>
      <c r="L533" s="244"/>
      <c r="M533" s="244"/>
      <c r="N533" s="244"/>
    </row>
    <row r="534" spans="1:14" ht="12.75" customHeight="1">
      <c r="A534" s="1"/>
      <c r="B534" s="15" t="s">
        <v>9</v>
      </c>
      <c r="C534" s="314" t="s">
        <v>2</v>
      </c>
      <c r="D534" s="314" t="s">
        <v>2</v>
      </c>
      <c r="E534" s="20">
        <v>128.5831</v>
      </c>
      <c r="F534" s="20">
        <v>0.52787982603108574</v>
      </c>
      <c r="G534" s="20">
        <v>1.657487828750237</v>
      </c>
      <c r="H534" s="20">
        <v>3.5387363070947142</v>
      </c>
      <c r="I534" s="20">
        <v>3.6472397966899717</v>
      </c>
      <c r="J534" s="244"/>
      <c r="K534" s="244"/>
      <c r="L534" s="244"/>
      <c r="M534" s="244"/>
      <c r="N534" s="244"/>
    </row>
    <row r="535" spans="1:14" ht="12.75" customHeight="1">
      <c r="A535" s="1"/>
      <c r="B535" s="15" t="s">
        <v>10</v>
      </c>
      <c r="C535" s="314" t="s">
        <v>2</v>
      </c>
      <c r="D535" s="314" t="s">
        <v>2</v>
      </c>
      <c r="E535" s="20">
        <v>129.10210000000001</v>
      </c>
      <c r="F535" s="20">
        <v>0.40363002602985532</v>
      </c>
      <c r="G535" s="20">
        <v>2.0678079733347232</v>
      </c>
      <c r="H535" s="20">
        <v>3.4238257060503985</v>
      </c>
      <c r="I535" s="20">
        <v>3.5777833302918616</v>
      </c>
      <c r="J535" s="244"/>
      <c r="K535" s="244"/>
      <c r="L535" s="244"/>
      <c r="M535" s="244"/>
      <c r="N535" s="244"/>
    </row>
    <row r="536" spans="1:14" ht="12.75" customHeight="1">
      <c r="A536" s="1"/>
      <c r="B536" s="15" t="s">
        <v>11</v>
      </c>
      <c r="C536" s="314" t="s">
        <v>2</v>
      </c>
      <c r="D536" s="314" t="s">
        <v>2</v>
      </c>
      <c r="E536" s="20">
        <v>129.4854</v>
      </c>
      <c r="F536" s="20">
        <v>0.29689679718609696</v>
      </c>
      <c r="G536" s="20">
        <v>2.3708440261656305</v>
      </c>
      <c r="H536" s="20">
        <v>3.2863932153528896</v>
      </c>
      <c r="I536" s="20">
        <v>3.4854197549369914</v>
      </c>
      <c r="J536" s="244"/>
      <c r="K536" s="244"/>
      <c r="L536" s="244"/>
      <c r="M536" s="244"/>
      <c r="N536" s="244"/>
    </row>
    <row r="537" spans="1:14" ht="12.75" customHeight="1">
      <c r="A537" s="1"/>
      <c r="B537" s="15" t="s">
        <v>12</v>
      </c>
      <c r="C537" s="314" t="s">
        <v>2</v>
      </c>
      <c r="D537" s="314" t="s">
        <v>2</v>
      </c>
      <c r="E537" s="20">
        <v>129.60560000000001</v>
      </c>
      <c r="F537" s="20">
        <v>9.2828998481686575E-2</v>
      </c>
      <c r="G537" s="20">
        <v>2.4658738554123705</v>
      </c>
      <c r="H537" s="20">
        <v>3.1582901933816077</v>
      </c>
      <c r="I537" s="20">
        <v>3.3878444092694693</v>
      </c>
      <c r="J537" s="244"/>
      <c r="K537" s="244"/>
      <c r="L537" s="244"/>
      <c r="M537" s="244"/>
      <c r="N537" s="244"/>
    </row>
    <row r="538" spans="1:14" ht="12.75" customHeight="1">
      <c r="A538" s="1"/>
      <c r="B538" s="15" t="s">
        <v>13</v>
      </c>
      <c r="C538" s="314" t="s">
        <v>2</v>
      </c>
      <c r="D538" s="314" t="s">
        <v>2</v>
      </c>
      <c r="E538" s="20">
        <v>129.8098</v>
      </c>
      <c r="F538" s="20">
        <v>0.15755492046638508</v>
      </c>
      <c r="G538" s="20">
        <v>2.6273138814704389</v>
      </c>
      <c r="H538" s="20">
        <v>3.179730608364717</v>
      </c>
      <c r="I538" s="20">
        <v>3.3201537192221409</v>
      </c>
      <c r="J538" s="244"/>
      <c r="K538" s="244"/>
      <c r="L538" s="244"/>
      <c r="M538" s="244"/>
      <c r="N538" s="244"/>
    </row>
    <row r="539" spans="1:14" ht="12.75" customHeight="1">
      <c r="A539" s="1"/>
      <c r="B539" s="15" t="s">
        <v>14</v>
      </c>
      <c r="C539" s="314" t="s">
        <v>2</v>
      </c>
      <c r="D539" s="314" t="s">
        <v>2</v>
      </c>
      <c r="E539" s="20">
        <v>130.72200000000001</v>
      </c>
      <c r="F539" s="20">
        <v>0.70272044175401227</v>
      </c>
      <c r="G539" s="20">
        <v>3.348496994938599</v>
      </c>
      <c r="H539" s="20">
        <v>3.348496994938599</v>
      </c>
      <c r="I539" s="20">
        <v>3.302198773959053</v>
      </c>
      <c r="J539" s="244"/>
    </row>
    <row r="540" spans="1:14" ht="12.75" customHeight="1">
      <c r="A540" s="1"/>
      <c r="C540" s="314"/>
      <c r="D540" s="314"/>
      <c r="E540" s="20"/>
      <c r="F540" s="20"/>
      <c r="G540" s="20"/>
      <c r="H540" s="20"/>
      <c r="I540" s="20"/>
      <c r="J540" s="244"/>
    </row>
    <row r="541" spans="1:14" ht="12.75" customHeight="1">
      <c r="A541" s="32">
        <v>2025</v>
      </c>
      <c r="B541" s="15" t="s">
        <v>3</v>
      </c>
      <c r="C541" s="314" t="s">
        <v>2</v>
      </c>
      <c r="D541" s="314" t="s">
        <v>2</v>
      </c>
      <c r="E541" s="20">
        <v>131.2004</v>
      </c>
      <c r="F541" s="20">
        <v>0.36596747295787324</v>
      </c>
      <c r="G541" s="20">
        <v>0.36596747295787324</v>
      </c>
      <c r="H541" s="20">
        <v>3.3239985005465433</v>
      </c>
      <c r="I541" s="20">
        <v>3.3028392286738262</v>
      </c>
      <c r="J541" s="244"/>
    </row>
    <row r="542" spans="1:14" ht="12.75" customHeight="1">
      <c r="A542" s="1"/>
      <c r="B542" s="15" t="s">
        <v>4</v>
      </c>
      <c r="C542" s="314" t="s">
        <v>2</v>
      </c>
      <c r="D542" s="314" t="s">
        <v>2</v>
      </c>
      <c r="E542" s="20">
        <v>131.62440000000001</v>
      </c>
      <c r="F542" s="20">
        <v>0.32316974643371577</v>
      </c>
      <c r="G542" s="20">
        <v>0.69031991554597827</v>
      </c>
      <c r="H542" s="20">
        <v>3.5641168074804108</v>
      </c>
      <c r="I542" s="20">
        <v>3.3252430242163289</v>
      </c>
      <c r="J542" s="244"/>
    </row>
    <row r="543" spans="1:14" ht="12.75" customHeight="1">
      <c r="A543" s="1"/>
      <c r="B543" s="15" t="s">
        <v>5</v>
      </c>
      <c r="C543" s="314" t="s">
        <v>2</v>
      </c>
      <c r="D543" s="314" t="s">
        <v>2</v>
      </c>
      <c r="E543" s="20">
        <v>132.03729999999999</v>
      </c>
      <c r="F543" s="20">
        <v>0.31369563697913883</v>
      </c>
      <c r="G543" s="20">
        <v>1.0061810559813811</v>
      </c>
      <c r="H543" s="20">
        <v>3.5807638962978672</v>
      </c>
      <c r="I543" s="20">
        <v>3.3420218052417239</v>
      </c>
      <c r="J543" s="244"/>
    </row>
    <row r="544" spans="1:14" ht="12.75" customHeight="1">
      <c r="A544" s="1"/>
      <c r="B544" s="15" t="s">
        <v>6</v>
      </c>
      <c r="C544" s="314" t="s">
        <v>2</v>
      </c>
      <c r="D544" s="314" t="s">
        <v>2</v>
      </c>
      <c r="E544" s="20">
        <v>132.07040000000001</v>
      </c>
      <c r="F544" s="20">
        <v>2.506867377629618E-2</v>
      </c>
      <c r="G544" s="20">
        <v>1.0315019660041891</v>
      </c>
      <c r="H544" s="20">
        <v>3.708426843651802</v>
      </c>
      <c r="I544" s="20">
        <v>3.398350635933034</v>
      </c>
      <c r="J544" s="244"/>
    </row>
    <row r="545" spans="1:10" ht="12.75" customHeight="1">
      <c r="A545" s="1"/>
      <c r="B545" s="15" t="s">
        <v>7</v>
      </c>
      <c r="C545" s="314" t="s">
        <v>2</v>
      </c>
      <c r="D545" s="314" t="s">
        <v>2</v>
      </c>
      <c r="E545" s="20">
        <v>132.1823</v>
      </c>
      <c r="F545" s="20">
        <v>8.4727539251794326E-2</v>
      </c>
      <c r="G545" s="20">
        <v>1.1171034714891004</v>
      </c>
      <c r="H545" s="20">
        <v>3.8363314000849913</v>
      </c>
      <c r="I545" s="20">
        <v>3.4517131096863496</v>
      </c>
      <c r="J545" s="244"/>
    </row>
    <row r="546" spans="1:10" ht="12.75" customHeight="1">
      <c r="A546" s="1"/>
      <c r="B546" s="15" t="s">
        <v>8</v>
      </c>
      <c r="C546" s="314" t="s">
        <v>2</v>
      </c>
      <c r="D546" s="314" t="s">
        <v>2</v>
      </c>
      <c r="E546" s="20">
        <v>132.45519999999999</v>
      </c>
      <c r="F546" s="20">
        <v>0.20645729420656345</v>
      </c>
      <c r="G546" s="20">
        <v>1.3258671072963857</v>
      </c>
      <c r="H546" s="20">
        <v>3.5551361565626438</v>
      </c>
      <c r="I546" s="20">
        <v>3.4595365259028066</v>
      </c>
      <c r="J546" s="244"/>
    </row>
    <row r="547" spans="1:10" ht="12.75" customHeight="1">
      <c r="A547" s="1"/>
      <c r="B547" s="15" t="s">
        <v>9</v>
      </c>
      <c r="C547" s="314" t="s">
        <v>2</v>
      </c>
      <c r="D547" s="314" t="s">
        <v>2</v>
      </c>
      <c r="E547" s="20">
        <v>132.95480000000001</v>
      </c>
      <c r="F547" s="20">
        <v>0.37718413471121703</v>
      </c>
      <c r="G547" s="20">
        <v>1.7080522023836808</v>
      </c>
      <c r="H547" s="20">
        <v>3.3999024755197338</v>
      </c>
      <c r="I547" s="20">
        <v>3.4480271291968512</v>
      </c>
      <c r="J547" s="244"/>
    </row>
    <row r="548" spans="1:10" ht="12.75" customHeight="1">
      <c r="A548" s="1"/>
      <c r="B548" s="15" t="s">
        <v>10</v>
      </c>
      <c r="C548" s="314" t="s">
        <v>2</v>
      </c>
      <c r="D548" s="314" t="s">
        <v>2</v>
      </c>
      <c r="E548" s="20">
        <v>133.8965</v>
      </c>
      <c r="F548" s="20">
        <v>0.70828582345277002</v>
      </c>
      <c r="G548" s="20">
        <v>2.428435917443128</v>
      </c>
      <c r="H548" s="20">
        <v>3.7136498941535478</v>
      </c>
      <c r="I548" s="20">
        <v>3.4724936095390069</v>
      </c>
      <c r="J548" s="244"/>
    </row>
    <row r="549" spans="1:10" ht="12.75" customHeight="1">
      <c r="A549" s="1"/>
      <c r="B549" s="15" t="s">
        <v>11</v>
      </c>
      <c r="C549" s="314" t="s">
        <v>2</v>
      </c>
      <c r="D549" s="314" t="s">
        <v>2</v>
      </c>
      <c r="E549" s="20">
        <v>134.34829999999999</v>
      </c>
      <c r="F549" s="20">
        <v>0.33742480199256963</v>
      </c>
      <c r="G549" s="20">
        <v>2.7740548645216467</v>
      </c>
      <c r="H549" s="20">
        <v>3.7555585417351933</v>
      </c>
      <c r="I549" s="20">
        <v>3.5117187643047831</v>
      </c>
      <c r="J549" s="244"/>
    </row>
    <row r="550" spans="1:10" ht="12.75" customHeight="1">
      <c r="A550" s="1"/>
      <c r="B550" s="15" t="s">
        <v>12</v>
      </c>
      <c r="C550" s="314" t="s">
        <v>2</v>
      </c>
      <c r="D550" s="314" t="s">
        <v>2</v>
      </c>
      <c r="E550" s="20">
        <v>135.0898</v>
      </c>
      <c r="F550" s="20">
        <v>0.5519236194280186</v>
      </c>
      <c r="G550" s="20">
        <v>3.3412891479628337</v>
      </c>
      <c r="H550" s="20">
        <v>4.2314529619090324</v>
      </c>
      <c r="I550" s="20">
        <v>3.6015230108318752</v>
      </c>
      <c r="J550" s="244"/>
    </row>
    <row r="551" spans="1:10" ht="12.75" customHeight="1">
      <c r="A551" s="1"/>
      <c r="B551" s="15" t="s">
        <v>13</v>
      </c>
      <c r="C551" s="314" t="s">
        <v>2</v>
      </c>
      <c r="D551" s="314" t="s">
        <v>2</v>
      </c>
      <c r="E551" s="20">
        <v>136.05510000000001</v>
      </c>
      <c r="F551" s="20">
        <v>0.71456172116621808</v>
      </c>
      <c r="G551" s="20">
        <v>4.0797264423738877</v>
      </c>
      <c r="H551" s="20">
        <v>4.8111159558061223</v>
      </c>
      <c r="I551" s="20">
        <v>3.7381909920412459</v>
      </c>
      <c r="J551" s="244"/>
    </row>
    <row r="552" spans="1:10" ht="12.75" customHeight="1">
      <c r="A552" s="1"/>
      <c r="B552" s="15" t="s">
        <v>14</v>
      </c>
      <c r="C552" s="314" t="s">
        <v>2</v>
      </c>
      <c r="D552" s="314" t="s">
        <v>2</v>
      </c>
      <c r="E552" s="20">
        <v>137.19550000000001</v>
      </c>
      <c r="F552" s="20">
        <v>0.83818982162373601</v>
      </c>
      <c r="G552" s="20">
        <v>4.9521121157876991</v>
      </c>
      <c r="H552" s="20">
        <v>4.9521121157876991</v>
      </c>
      <c r="I552" s="20">
        <v>3.8731176804812195</v>
      </c>
      <c r="J552" s="244"/>
    </row>
    <row r="553" spans="1:10" ht="6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1"/>
    </row>
    <row r="554" spans="1:10" ht="24" customHeight="1">
      <c r="A554" s="318" t="s">
        <v>343</v>
      </c>
      <c r="B554" s="318"/>
      <c r="C554" s="318"/>
      <c r="D554" s="318"/>
      <c r="E554" s="318"/>
      <c r="F554" s="318"/>
      <c r="G554" s="318"/>
      <c r="H554" s="318"/>
      <c r="I554" s="318"/>
      <c r="J554" s="1"/>
    </row>
    <row r="555" spans="1:10">
      <c r="A555" s="220" t="s">
        <v>308</v>
      </c>
      <c r="B555" s="1"/>
      <c r="C555" s="1"/>
      <c r="D555" s="1"/>
      <c r="E555" s="1"/>
      <c r="F555" s="1"/>
      <c r="G555" s="1"/>
      <c r="H555" s="1"/>
      <c r="I555" s="1"/>
      <c r="J555" s="1"/>
    </row>
    <row r="556" spans="1:10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>
      <c r="A566" s="1"/>
      <c r="B566" s="1"/>
      <c r="C566" s="1"/>
      <c r="D566" s="1"/>
      <c r="E566" s="1"/>
      <c r="F566" s="1"/>
      <c r="G566" s="1"/>
      <c r="H566" s="1"/>
      <c r="I566" s="1"/>
      <c r="J566" s="1"/>
    </row>
  </sheetData>
  <mergeCells count="16">
    <mergeCell ref="A1:I1"/>
    <mergeCell ref="A2:I2"/>
    <mergeCell ref="S2:AV2"/>
    <mergeCell ref="A3:I3"/>
    <mergeCell ref="A4:I4"/>
    <mergeCell ref="HU2:IJ2"/>
    <mergeCell ref="CA2:DD2"/>
    <mergeCell ref="DE2:EH2"/>
    <mergeCell ref="EI2:FL2"/>
    <mergeCell ref="FM2:GP2"/>
    <mergeCell ref="GQ2:HT2"/>
    <mergeCell ref="A554:I554"/>
    <mergeCell ref="A5:B6"/>
    <mergeCell ref="F5:H5"/>
    <mergeCell ref="AW2:BZ2"/>
    <mergeCell ref="I5:I6"/>
  </mergeCells>
  <printOptions horizontalCentered="1" gridLinesSet="0"/>
  <pageMargins left="0.61" right="0.25" top="0.5" bottom="0.25" header="0.314" footer="0.314"/>
  <pageSetup scale="58" fitToHeight="7" orientation="portrait" r:id="rId1"/>
  <headerFooter alignWithMargins="0"/>
  <rowBreaks count="7" manualBreakCount="7">
    <brk id="71" max="8" man="1"/>
    <brk id="137" max="8" man="1"/>
    <brk id="201" max="8" man="1"/>
    <brk id="266" max="8" man="1"/>
    <brk id="331" max="8" man="1"/>
    <brk id="396" max="8" man="1"/>
    <brk id="46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3E53-767D-4702-976A-CA8C226657E1}">
  <dimension ref="A1:K91"/>
  <sheetViews>
    <sheetView showGridLines="0" view="pageBreakPreview" zoomScaleNormal="100" zoomScaleSheetLayoutView="100" workbookViewId="0">
      <pane xSplit="1" ySplit="6" topLeftCell="B62" activePane="bottomRight" state="frozen"/>
      <selection activeCell="B31" sqref="B31"/>
      <selection pane="topRight" activeCell="B31" sqref="B31"/>
      <selection pane="bottomLeft" activeCell="B31" sqref="B31"/>
      <selection pane="bottomRight" activeCell="F85" sqref="F85"/>
    </sheetView>
  </sheetViews>
  <sheetFormatPr defaultColWidth="8" defaultRowHeight="12.75" customHeight="1"/>
  <cols>
    <col min="1" max="1" width="11" style="15" customWidth="1"/>
    <col min="2" max="5" width="21.7109375" style="15" customWidth="1"/>
    <col min="6" max="6" width="21.7109375" style="43" customWidth="1"/>
    <col min="7" max="7" width="8" style="43"/>
    <col min="8" max="8" width="18" style="43" customWidth="1"/>
    <col min="9" max="9" width="18.85546875" style="43" customWidth="1"/>
    <col min="10" max="10" width="8" style="43"/>
    <col min="11" max="11" width="13.140625" style="43" customWidth="1"/>
    <col min="12" max="255" width="8" style="43"/>
    <col min="256" max="256" width="11" style="43" customWidth="1"/>
    <col min="257" max="257" width="21.7109375" style="43" customWidth="1"/>
    <col min="258" max="258" width="17.28515625" style="43" customWidth="1"/>
    <col min="259" max="259" width="26.7109375" style="43" customWidth="1"/>
    <col min="260" max="511" width="8" style="43"/>
    <col min="512" max="512" width="11" style="43" customWidth="1"/>
    <col min="513" max="513" width="21.7109375" style="43" customWidth="1"/>
    <col min="514" max="514" width="17.28515625" style="43" customWidth="1"/>
    <col min="515" max="515" width="26.7109375" style="43" customWidth="1"/>
    <col min="516" max="767" width="8" style="43"/>
    <col min="768" max="768" width="11" style="43" customWidth="1"/>
    <col min="769" max="769" width="21.7109375" style="43" customWidth="1"/>
    <col min="770" max="770" width="17.28515625" style="43" customWidth="1"/>
    <col min="771" max="771" width="26.7109375" style="43" customWidth="1"/>
    <col min="772" max="1023" width="8" style="43"/>
    <col min="1024" max="1024" width="11" style="43" customWidth="1"/>
    <col min="1025" max="1025" width="21.7109375" style="43" customWidth="1"/>
    <col min="1026" max="1026" width="17.28515625" style="43" customWidth="1"/>
    <col min="1027" max="1027" width="26.7109375" style="43" customWidth="1"/>
    <col min="1028" max="1279" width="8" style="43"/>
    <col min="1280" max="1280" width="11" style="43" customWidth="1"/>
    <col min="1281" max="1281" width="21.7109375" style="43" customWidth="1"/>
    <col min="1282" max="1282" width="17.28515625" style="43" customWidth="1"/>
    <col min="1283" max="1283" width="26.7109375" style="43" customWidth="1"/>
    <col min="1284" max="1535" width="8" style="43"/>
    <col min="1536" max="1536" width="11" style="43" customWidth="1"/>
    <col min="1537" max="1537" width="21.7109375" style="43" customWidth="1"/>
    <col min="1538" max="1538" width="17.28515625" style="43" customWidth="1"/>
    <col min="1539" max="1539" width="26.7109375" style="43" customWidth="1"/>
    <col min="1540" max="1791" width="8" style="43"/>
    <col min="1792" max="1792" width="11" style="43" customWidth="1"/>
    <col min="1793" max="1793" width="21.7109375" style="43" customWidth="1"/>
    <col min="1794" max="1794" width="17.28515625" style="43" customWidth="1"/>
    <col min="1795" max="1795" width="26.7109375" style="43" customWidth="1"/>
    <col min="1796" max="2047" width="8" style="43"/>
    <col min="2048" max="2048" width="11" style="43" customWidth="1"/>
    <col min="2049" max="2049" width="21.7109375" style="43" customWidth="1"/>
    <col min="2050" max="2050" width="17.28515625" style="43" customWidth="1"/>
    <col min="2051" max="2051" width="26.7109375" style="43" customWidth="1"/>
    <col min="2052" max="2303" width="8" style="43"/>
    <col min="2304" max="2304" width="11" style="43" customWidth="1"/>
    <col min="2305" max="2305" width="21.7109375" style="43" customWidth="1"/>
    <col min="2306" max="2306" width="17.28515625" style="43" customWidth="1"/>
    <col min="2307" max="2307" width="26.7109375" style="43" customWidth="1"/>
    <col min="2308" max="2559" width="8" style="43"/>
    <col min="2560" max="2560" width="11" style="43" customWidth="1"/>
    <col min="2561" max="2561" width="21.7109375" style="43" customWidth="1"/>
    <col min="2562" max="2562" width="17.28515625" style="43" customWidth="1"/>
    <col min="2563" max="2563" width="26.7109375" style="43" customWidth="1"/>
    <col min="2564" max="2815" width="8" style="43"/>
    <col min="2816" max="2816" width="11" style="43" customWidth="1"/>
    <col min="2817" max="2817" width="21.7109375" style="43" customWidth="1"/>
    <col min="2818" max="2818" width="17.28515625" style="43" customWidth="1"/>
    <col min="2819" max="2819" width="26.7109375" style="43" customWidth="1"/>
    <col min="2820" max="3071" width="8" style="43"/>
    <col min="3072" max="3072" width="11" style="43" customWidth="1"/>
    <col min="3073" max="3073" width="21.7109375" style="43" customWidth="1"/>
    <col min="3074" max="3074" width="17.28515625" style="43" customWidth="1"/>
    <col min="3075" max="3075" width="26.7109375" style="43" customWidth="1"/>
    <col min="3076" max="3327" width="8" style="43"/>
    <col min="3328" max="3328" width="11" style="43" customWidth="1"/>
    <col min="3329" max="3329" width="21.7109375" style="43" customWidth="1"/>
    <col min="3330" max="3330" width="17.28515625" style="43" customWidth="1"/>
    <col min="3331" max="3331" width="26.7109375" style="43" customWidth="1"/>
    <col min="3332" max="3583" width="8" style="43"/>
    <col min="3584" max="3584" width="11" style="43" customWidth="1"/>
    <col min="3585" max="3585" width="21.7109375" style="43" customWidth="1"/>
    <col min="3586" max="3586" width="17.28515625" style="43" customWidth="1"/>
    <col min="3587" max="3587" width="26.7109375" style="43" customWidth="1"/>
    <col min="3588" max="3839" width="8" style="43"/>
    <col min="3840" max="3840" width="11" style="43" customWidth="1"/>
    <col min="3841" max="3841" width="21.7109375" style="43" customWidth="1"/>
    <col min="3842" max="3842" width="17.28515625" style="43" customWidth="1"/>
    <col min="3843" max="3843" width="26.7109375" style="43" customWidth="1"/>
    <col min="3844" max="4095" width="8" style="43"/>
    <col min="4096" max="4096" width="11" style="43" customWidth="1"/>
    <col min="4097" max="4097" width="21.7109375" style="43" customWidth="1"/>
    <col min="4098" max="4098" width="17.28515625" style="43" customWidth="1"/>
    <col min="4099" max="4099" width="26.7109375" style="43" customWidth="1"/>
    <col min="4100" max="4351" width="8" style="43"/>
    <col min="4352" max="4352" width="11" style="43" customWidth="1"/>
    <col min="4353" max="4353" width="21.7109375" style="43" customWidth="1"/>
    <col min="4354" max="4354" width="17.28515625" style="43" customWidth="1"/>
    <col min="4355" max="4355" width="26.7109375" style="43" customWidth="1"/>
    <col min="4356" max="4607" width="8" style="43"/>
    <col min="4608" max="4608" width="11" style="43" customWidth="1"/>
    <col min="4609" max="4609" width="21.7109375" style="43" customWidth="1"/>
    <col min="4610" max="4610" width="17.28515625" style="43" customWidth="1"/>
    <col min="4611" max="4611" width="26.7109375" style="43" customWidth="1"/>
    <col min="4612" max="4863" width="8" style="43"/>
    <col min="4864" max="4864" width="11" style="43" customWidth="1"/>
    <col min="4865" max="4865" width="21.7109375" style="43" customWidth="1"/>
    <col min="4866" max="4866" width="17.28515625" style="43" customWidth="1"/>
    <col min="4867" max="4867" width="26.7109375" style="43" customWidth="1"/>
    <col min="4868" max="5119" width="8" style="43"/>
    <col min="5120" max="5120" width="11" style="43" customWidth="1"/>
    <col min="5121" max="5121" width="21.7109375" style="43" customWidth="1"/>
    <col min="5122" max="5122" width="17.28515625" style="43" customWidth="1"/>
    <col min="5123" max="5123" width="26.7109375" style="43" customWidth="1"/>
    <col min="5124" max="5375" width="8" style="43"/>
    <col min="5376" max="5376" width="11" style="43" customWidth="1"/>
    <col min="5377" max="5377" width="21.7109375" style="43" customWidth="1"/>
    <col min="5378" max="5378" width="17.28515625" style="43" customWidth="1"/>
    <col min="5379" max="5379" width="26.7109375" style="43" customWidth="1"/>
    <col min="5380" max="5631" width="8" style="43"/>
    <col min="5632" max="5632" width="11" style="43" customWidth="1"/>
    <col min="5633" max="5633" width="21.7109375" style="43" customWidth="1"/>
    <col min="5634" max="5634" width="17.28515625" style="43" customWidth="1"/>
    <col min="5635" max="5635" width="26.7109375" style="43" customWidth="1"/>
    <col min="5636" max="5887" width="8" style="43"/>
    <col min="5888" max="5888" width="11" style="43" customWidth="1"/>
    <col min="5889" max="5889" width="21.7109375" style="43" customWidth="1"/>
    <col min="5890" max="5890" width="17.28515625" style="43" customWidth="1"/>
    <col min="5891" max="5891" width="26.7109375" style="43" customWidth="1"/>
    <col min="5892" max="6143" width="8" style="43"/>
    <col min="6144" max="6144" width="11" style="43" customWidth="1"/>
    <col min="6145" max="6145" width="21.7109375" style="43" customWidth="1"/>
    <col min="6146" max="6146" width="17.28515625" style="43" customWidth="1"/>
    <col min="6147" max="6147" width="26.7109375" style="43" customWidth="1"/>
    <col min="6148" max="6399" width="8" style="43"/>
    <col min="6400" max="6400" width="11" style="43" customWidth="1"/>
    <col min="6401" max="6401" width="21.7109375" style="43" customWidth="1"/>
    <col min="6402" max="6402" width="17.28515625" style="43" customWidth="1"/>
    <col min="6403" max="6403" width="26.7109375" style="43" customWidth="1"/>
    <col min="6404" max="6655" width="8" style="43"/>
    <col min="6656" max="6656" width="11" style="43" customWidth="1"/>
    <col min="6657" max="6657" width="21.7109375" style="43" customWidth="1"/>
    <col min="6658" max="6658" width="17.28515625" style="43" customWidth="1"/>
    <col min="6659" max="6659" width="26.7109375" style="43" customWidth="1"/>
    <col min="6660" max="6911" width="8" style="43"/>
    <col min="6912" max="6912" width="11" style="43" customWidth="1"/>
    <col min="6913" max="6913" width="21.7109375" style="43" customWidth="1"/>
    <col min="6914" max="6914" width="17.28515625" style="43" customWidth="1"/>
    <col min="6915" max="6915" width="26.7109375" style="43" customWidth="1"/>
    <col min="6916" max="7167" width="8" style="43"/>
    <col min="7168" max="7168" width="11" style="43" customWidth="1"/>
    <col min="7169" max="7169" width="21.7109375" style="43" customWidth="1"/>
    <col min="7170" max="7170" width="17.28515625" style="43" customWidth="1"/>
    <col min="7171" max="7171" width="26.7109375" style="43" customWidth="1"/>
    <col min="7172" max="7423" width="8" style="43"/>
    <col min="7424" max="7424" width="11" style="43" customWidth="1"/>
    <col min="7425" max="7425" width="21.7109375" style="43" customWidth="1"/>
    <col min="7426" max="7426" width="17.28515625" style="43" customWidth="1"/>
    <col min="7427" max="7427" width="26.7109375" style="43" customWidth="1"/>
    <col min="7428" max="7679" width="8" style="43"/>
    <col min="7680" max="7680" width="11" style="43" customWidth="1"/>
    <col min="7681" max="7681" width="21.7109375" style="43" customWidth="1"/>
    <col min="7682" max="7682" width="17.28515625" style="43" customWidth="1"/>
    <col min="7683" max="7683" width="26.7109375" style="43" customWidth="1"/>
    <col min="7684" max="7935" width="8" style="43"/>
    <col min="7936" max="7936" width="11" style="43" customWidth="1"/>
    <col min="7937" max="7937" width="21.7109375" style="43" customWidth="1"/>
    <col min="7938" max="7938" width="17.28515625" style="43" customWidth="1"/>
    <col min="7939" max="7939" width="26.7109375" style="43" customWidth="1"/>
    <col min="7940" max="8191" width="8" style="43"/>
    <col min="8192" max="8192" width="11" style="43" customWidth="1"/>
    <col min="8193" max="8193" width="21.7109375" style="43" customWidth="1"/>
    <col min="8194" max="8194" width="17.28515625" style="43" customWidth="1"/>
    <col min="8195" max="8195" width="26.7109375" style="43" customWidth="1"/>
    <col min="8196" max="8447" width="8" style="43"/>
    <col min="8448" max="8448" width="11" style="43" customWidth="1"/>
    <col min="8449" max="8449" width="21.7109375" style="43" customWidth="1"/>
    <col min="8450" max="8450" width="17.28515625" style="43" customWidth="1"/>
    <col min="8451" max="8451" width="26.7109375" style="43" customWidth="1"/>
    <col min="8452" max="8703" width="8" style="43"/>
    <col min="8704" max="8704" width="11" style="43" customWidth="1"/>
    <col min="8705" max="8705" width="21.7109375" style="43" customWidth="1"/>
    <col min="8706" max="8706" width="17.28515625" style="43" customWidth="1"/>
    <col min="8707" max="8707" width="26.7109375" style="43" customWidth="1"/>
    <col min="8708" max="8959" width="8" style="43"/>
    <col min="8960" max="8960" width="11" style="43" customWidth="1"/>
    <col min="8961" max="8961" width="21.7109375" style="43" customWidth="1"/>
    <col min="8962" max="8962" width="17.28515625" style="43" customWidth="1"/>
    <col min="8963" max="8963" width="26.7109375" style="43" customWidth="1"/>
    <col min="8964" max="9215" width="8" style="43"/>
    <col min="9216" max="9216" width="11" style="43" customWidth="1"/>
    <col min="9217" max="9217" width="21.7109375" style="43" customWidth="1"/>
    <col min="9218" max="9218" width="17.28515625" style="43" customWidth="1"/>
    <col min="9219" max="9219" width="26.7109375" style="43" customWidth="1"/>
    <col min="9220" max="9471" width="8" style="43"/>
    <col min="9472" max="9472" width="11" style="43" customWidth="1"/>
    <col min="9473" max="9473" width="21.7109375" style="43" customWidth="1"/>
    <col min="9474" max="9474" width="17.28515625" style="43" customWidth="1"/>
    <col min="9475" max="9475" width="26.7109375" style="43" customWidth="1"/>
    <col min="9476" max="9727" width="8" style="43"/>
    <col min="9728" max="9728" width="11" style="43" customWidth="1"/>
    <col min="9729" max="9729" width="21.7109375" style="43" customWidth="1"/>
    <col min="9730" max="9730" width="17.28515625" style="43" customWidth="1"/>
    <col min="9731" max="9731" width="26.7109375" style="43" customWidth="1"/>
    <col min="9732" max="9983" width="8" style="43"/>
    <col min="9984" max="9984" width="11" style="43" customWidth="1"/>
    <col min="9985" max="9985" width="21.7109375" style="43" customWidth="1"/>
    <col min="9986" max="9986" width="17.28515625" style="43" customWidth="1"/>
    <col min="9987" max="9987" width="26.7109375" style="43" customWidth="1"/>
    <col min="9988" max="10239" width="8" style="43"/>
    <col min="10240" max="10240" width="11" style="43" customWidth="1"/>
    <col min="10241" max="10241" width="21.7109375" style="43" customWidth="1"/>
    <col min="10242" max="10242" width="17.28515625" style="43" customWidth="1"/>
    <col min="10243" max="10243" width="26.7109375" style="43" customWidth="1"/>
    <col min="10244" max="10495" width="8" style="43"/>
    <col min="10496" max="10496" width="11" style="43" customWidth="1"/>
    <col min="10497" max="10497" width="21.7109375" style="43" customWidth="1"/>
    <col min="10498" max="10498" width="17.28515625" style="43" customWidth="1"/>
    <col min="10499" max="10499" width="26.7109375" style="43" customWidth="1"/>
    <col min="10500" max="10751" width="8" style="43"/>
    <col min="10752" max="10752" width="11" style="43" customWidth="1"/>
    <col min="10753" max="10753" width="21.7109375" style="43" customWidth="1"/>
    <col min="10754" max="10754" width="17.28515625" style="43" customWidth="1"/>
    <col min="10755" max="10755" width="26.7109375" style="43" customWidth="1"/>
    <col min="10756" max="11007" width="8" style="43"/>
    <col min="11008" max="11008" width="11" style="43" customWidth="1"/>
    <col min="11009" max="11009" width="21.7109375" style="43" customWidth="1"/>
    <col min="11010" max="11010" width="17.28515625" style="43" customWidth="1"/>
    <col min="11011" max="11011" width="26.7109375" style="43" customWidth="1"/>
    <col min="11012" max="11263" width="8" style="43"/>
    <col min="11264" max="11264" width="11" style="43" customWidth="1"/>
    <col min="11265" max="11265" width="21.7109375" style="43" customWidth="1"/>
    <col min="11266" max="11266" width="17.28515625" style="43" customWidth="1"/>
    <col min="11267" max="11267" width="26.7109375" style="43" customWidth="1"/>
    <col min="11268" max="11519" width="8" style="43"/>
    <col min="11520" max="11520" width="11" style="43" customWidth="1"/>
    <col min="11521" max="11521" width="21.7109375" style="43" customWidth="1"/>
    <col min="11522" max="11522" width="17.28515625" style="43" customWidth="1"/>
    <col min="11523" max="11523" width="26.7109375" style="43" customWidth="1"/>
    <col min="11524" max="11775" width="8" style="43"/>
    <col min="11776" max="11776" width="11" style="43" customWidth="1"/>
    <col min="11777" max="11777" width="21.7109375" style="43" customWidth="1"/>
    <col min="11778" max="11778" width="17.28515625" style="43" customWidth="1"/>
    <col min="11779" max="11779" width="26.7109375" style="43" customWidth="1"/>
    <col min="11780" max="12031" width="8" style="43"/>
    <col min="12032" max="12032" width="11" style="43" customWidth="1"/>
    <col min="12033" max="12033" width="21.7109375" style="43" customWidth="1"/>
    <col min="12034" max="12034" width="17.28515625" style="43" customWidth="1"/>
    <col min="12035" max="12035" width="26.7109375" style="43" customWidth="1"/>
    <col min="12036" max="12287" width="8" style="43"/>
    <col min="12288" max="12288" width="11" style="43" customWidth="1"/>
    <col min="12289" max="12289" width="21.7109375" style="43" customWidth="1"/>
    <col min="12290" max="12290" width="17.28515625" style="43" customWidth="1"/>
    <col min="12291" max="12291" width="26.7109375" style="43" customWidth="1"/>
    <col min="12292" max="12543" width="8" style="43"/>
    <col min="12544" max="12544" width="11" style="43" customWidth="1"/>
    <col min="12545" max="12545" width="21.7109375" style="43" customWidth="1"/>
    <col min="12546" max="12546" width="17.28515625" style="43" customWidth="1"/>
    <col min="12547" max="12547" width="26.7109375" style="43" customWidth="1"/>
    <col min="12548" max="12799" width="8" style="43"/>
    <col min="12800" max="12800" width="11" style="43" customWidth="1"/>
    <col min="12801" max="12801" width="21.7109375" style="43" customWidth="1"/>
    <col min="12802" max="12802" width="17.28515625" style="43" customWidth="1"/>
    <col min="12803" max="12803" width="26.7109375" style="43" customWidth="1"/>
    <col min="12804" max="13055" width="8" style="43"/>
    <col min="13056" max="13056" width="11" style="43" customWidth="1"/>
    <col min="13057" max="13057" width="21.7109375" style="43" customWidth="1"/>
    <col min="13058" max="13058" width="17.28515625" style="43" customWidth="1"/>
    <col min="13059" max="13059" width="26.7109375" style="43" customWidth="1"/>
    <col min="13060" max="13311" width="8" style="43"/>
    <col min="13312" max="13312" width="11" style="43" customWidth="1"/>
    <col min="13313" max="13313" width="21.7109375" style="43" customWidth="1"/>
    <col min="13314" max="13314" width="17.28515625" style="43" customWidth="1"/>
    <col min="13315" max="13315" width="26.7109375" style="43" customWidth="1"/>
    <col min="13316" max="13567" width="8" style="43"/>
    <col min="13568" max="13568" width="11" style="43" customWidth="1"/>
    <col min="13569" max="13569" width="21.7109375" style="43" customWidth="1"/>
    <col min="13570" max="13570" width="17.28515625" style="43" customWidth="1"/>
    <col min="13571" max="13571" width="26.7109375" style="43" customWidth="1"/>
    <col min="13572" max="13823" width="8" style="43"/>
    <col min="13824" max="13824" width="11" style="43" customWidth="1"/>
    <col min="13825" max="13825" width="21.7109375" style="43" customWidth="1"/>
    <col min="13826" max="13826" width="17.28515625" style="43" customWidth="1"/>
    <col min="13827" max="13827" width="26.7109375" style="43" customWidth="1"/>
    <col min="13828" max="14079" width="8" style="43"/>
    <col min="14080" max="14080" width="11" style="43" customWidth="1"/>
    <col min="14081" max="14081" width="21.7109375" style="43" customWidth="1"/>
    <col min="14082" max="14082" width="17.28515625" style="43" customWidth="1"/>
    <col min="14083" max="14083" width="26.7109375" style="43" customWidth="1"/>
    <col min="14084" max="14335" width="8" style="43"/>
    <col min="14336" max="14336" width="11" style="43" customWidth="1"/>
    <col min="14337" max="14337" width="21.7109375" style="43" customWidth="1"/>
    <col min="14338" max="14338" width="17.28515625" style="43" customWidth="1"/>
    <col min="14339" max="14339" width="26.7109375" style="43" customWidth="1"/>
    <col min="14340" max="14591" width="8" style="43"/>
    <col min="14592" max="14592" width="11" style="43" customWidth="1"/>
    <col min="14593" max="14593" width="21.7109375" style="43" customWidth="1"/>
    <col min="14594" max="14594" width="17.28515625" style="43" customWidth="1"/>
    <col min="14595" max="14595" width="26.7109375" style="43" customWidth="1"/>
    <col min="14596" max="14847" width="8" style="43"/>
    <col min="14848" max="14848" width="11" style="43" customWidth="1"/>
    <col min="14849" max="14849" width="21.7109375" style="43" customWidth="1"/>
    <col min="14850" max="14850" width="17.28515625" style="43" customWidth="1"/>
    <col min="14851" max="14851" width="26.7109375" style="43" customWidth="1"/>
    <col min="14852" max="15103" width="8" style="43"/>
    <col min="15104" max="15104" width="11" style="43" customWidth="1"/>
    <col min="15105" max="15105" width="21.7109375" style="43" customWidth="1"/>
    <col min="15106" max="15106" width="17.28515625" style="43" customWidth="1"/>
    <col min="15107" max="15107" width="26.7109375" style="43" customWidth="1"/>
    <col min="15108" max="15359" width="8" style="43"/>
    <col min="15360" max="15360" width="11" style="43" customWidth="1"/>
    <col min="15361" max="15361" width="21.7109375" style="43" customWidth="1"/>
    <col min="15362" max="15362" width="17.28515625" style="43" customWidth="1"/>
    <col min="15363" max="15363" width="26.7109375" style="43" customWidth="1"/>
    <col min="15364" max="15615" width="8" style="43"/>
    <col min="15616" max="15616" width="11" style="43" customWidth="1"/>
    <col min="15617" max="15617" width="21.7109375" style="43" customWidth="1"/>
    <col min="15618" max="15618" width="17.28515625" style="43" customWidth="1"/>
    <col min="15619" max="15619" width="26.7109375" style="43" customWidth="1"/>
    <col min="15620" max="15871" width="8" style="43"/>
    <col min="15872" max="15872" width="11" style="43" customWidth="1"/>
    <col min="15873" max="15873" width="21.7109375" style="43" customWidth="1"/>
    <col min="15874" max="15874" width="17.28515625" style="43" customWidth="1"/>
    <col min="15875" max="15875" width="26.7109375" style="43" customWidth="1"/>
    <col min="15876" max="16127" width="8" style="43"/>
    <col min="16128" max="16128" width="11" style="43" customWidth="1"/>
    <col min="16129" max="16129" width="21.7109375" style="43" customWidth="1"/>
    <col min="16130" max="16130" width="17.28515625" style="43" customWidth="1"/>
    <col min="16131" max="16131" width="26.7109375" style="43" customWidth="1"/>
    <col min="16132" max="16384" width="8" style="43"/>
  </cols>
  <sheetData>
    <row r="1" spans="1:11" ht="13.5" customHeight="1">
      <c r="A1" s="325" t="s">
        <v>158</v>
      </c>
      <c r="B1" s="325"/>
      <c r="C1" s="325"/>
      <c r="D1" s="325"/>
      <c r="E1" s="325"/>
      <c r="F1" s="325"/>
    </row>
    <row r="2" spans="1:11" ht="13.5" customHeight="1">
      <c r="A2" s="325" t="s">
        <v>159</v>
      </c>
      <c r="B2" s="325"/>
      <c r="C2" s="325"/>
      <c r="D2" s="325"/>
      <c r="E2" s="325"/>
      <c r="F2" s="325"/>
    </row>
    <row r="3" spans="1:11" ht="13.5" customHeight="1">
      <c r="A3" s="325" t="s">
        <v>357</v>
      </c>
      <c r="B3" s="325"/>
      <c r="C3" s="325"/>
      <c r="D3" s="325"/>
      <c r="E3" s="325"/>
      <c r="F3" s="325"/>
    </row>
    <row r="4" spans="1:11" ht="6.75" customHeight="1" thickBot="1">
      <c r="A4" s="44"/>
      <c r="B4" s="44"/>
      <c r="C4" s="45"/>
      <c r="D4" s="44"/>
      <c r="E4" s="44"/>
    </row>
    <row r="5" spans="1:11" ht="18" customHeight="1" thickBot="1">
      <c r="A5" s="326" t="s">
        <v>0</v>
      </c>
      <c r="B5" s="227" t="s">
        <v>152</v>
      </c>
      <c r="C5" s="227" t="s">
        <v>152</v>
      </c>
      <c r="D5" s="227" t="s">
        <v>152</v>
      </c>
      <c r="E5" s="227" t="s">
        <v>152</v>
      </c>
      <c r="F5" s="227" t="s">
        <v>23</v>
      </c>
    </row>
    <row r="6" spans="1:11" ht="29.25" customHeight="1" thickBot="1">
      <c r="A6" s="327"/>
      <c r="B6" s="227" t="s">
        <v>272</v>
      </c>
      <c r="C6" s="227" t="s">
        <v>273</v>
      </c>
      <c r="D6" s="227" t="s">
        <v>274</v>
      </c>
      <c r="E6" s="227" t="s">
        <v>275</v>
      </c>
      <c r="F6" s="227" t="s">
        <v>154</v>
      </c>
    </row>
    <row r="7" spans="1:11" ht="14.25" customHeight="1">
      <c r="A7" s="46">
        <v>1947</v>
      </c>
      <c r="B7" s="47">
        <v>19.344439999999999</v>
      </c>
      <c r="C7" s="48">
        <v>1.6024444443999999</v>
      </c>
      <c r="D7" s="48">
        <v>0.45522475234020854</v>
      </c>
      <c r="E7" s="48">
        <v>0.33503758022312324</v>
      </c>
      <c r="F7" s="48" t="s">
        <v>2</v>
      </c>
      <c r="G7" s="245"/>
      <c r="J7" s="245"/>
      <c r="K7" s="245"/>
    </row>
    <row r="8" spans="1:11" ht="12.95" customHeight="1">
      <c r="A8" s="18">
        <v>1948</v>
      </c>
      <c r="B8" s="49">
        <v>19.782966635754033</v>
      </c>
      <c r="C8" s="20">
        <v>1.6380296374404339</v>
      </c>
      <c r="D8" s="20">
        <v>0.46533384582261972</v>
      </c>
      <c r="E8" s="21">
        <v>0.34247769898025276</v>
      </c>
      <c r="F8" s="21">
        <v>2.220681856696638</v>
      </c>
      <c r="G8" s="245"/>
      <c r="J8" s="245"/>
      <c r="K8" s="245"/>
    </row>
    <row r="9" spans="1:11" ht="12.95" customHeight="1">
      <c r="A9" s="18">
        <v>1949</v>
      </c>
      <c r="B9" s="49">
        <v>17.972256933942077</v>
      </c>
      <c r="C9" s="20">
        <v>1.4881028741304039</v>
      </c>
      <c r="D9" s="20">
        <v>0.42274243247566134</v>
      </c>
      <c r="E9" s="21">
        <v>0.31113115204340464</v>
      </c>
      <c r="F9" s="21">
        <v>-9.1528724440116793</v>
      </c>
      <c r="G9" s="245"/>
      <c r="J9" s="245"/>
      <c r="K9" s="245"/>
    </row>
    <row r="10" spans="1:11" ht="12.95" customHeight="1">
      <c r="A10" s="18">
        <v>1950</v>
      </c>
      <c r="B10" s="49">
        <v>17.529210943073195</v>
      </c>
      <c r="C10" s="20">
        <v>1.4514186660864605</v>
      </c>
      <c r="D10" s="20">
        <v>0.41232112920991626</v>
      </c>
      <c r="E10" s="21">
        <v>0.30346125226098419</v>
      </c>
      <c r="F10" s="21">
        <v>-2.4651661307609762</v>
      </c>
      <c r="G10" s="245"/>
      <c r="J10" s="245"/>
      <c r="K10" s="245"/>
    </row>
    <row r="11" spans="1:11" ht="12.95" customHeight="1">
      <c r="A11" s="18">
        <v>1951</v>
      </c>
      <c r="B11" s="49">
        <v>19.898543850763311</v>
      </c>
      <c r="C11" s="20">
        <v>1.647599430843202</v>
      </c>
      <c r="D11" s="20">
        <v>0.46805244667455331</v>
      </c>
      <c r="E11" s="21">
        <v>0.34447854240175424</v>
      </c>
      <c r="F11" s="21">
        <v>13.516483516483513</v>
      </c>
      <c r="G11" s="245"/>
      <c r="J11" s="245"/>
      <c r="K11" s="245"/>
    </row>
    <row r="12" spans="1:11" ht="12.95" customHeight="1">
      <c r="A12" s="18">
        <v>1952</v>
      </c>
      <c r="B12" s="49">
        <v>20.187486888286493</v>
      </c>
      <c r="C12" s="20">
        <v>1.6715239143501215</v>
      </c>
      <c r="D12" s="20">
        <v>0.47484894880438705</v>
      </c>
      <c r="E12" s="21">
        <v>0.34948065095550707</v>
      </c>
      <c r="F12" s="21">
        <v>1.4520813165537216</v>
      </c>
      <c r="G12" s="245"/>
      <c r="J12" s="245"/>
      <c r="K12" s="245"/>
    </row>
    <row r="13" spans="1:11" ht="12.95" customHeight="1">
      <c r="A13" s="18">
        <v>1953</v>
      </c>
      <c r="B13" s="49">
        <v>19.956332458267944</v>
      </c>
      <c r="C13" s="20">
        <v>1.6523843275445858</v>
      </c>
      <c r="D13" s="20">
        <v>0.46941174710052003</v>
      </c>
      <c r="E13" s="21">
        <v>0.34547896411250595</v>
      </c>
      <c r="F13" s="21">
        <v>-1.1450381679389277</v>
      </c>
      <c r="G13" s="245"/>
      <c r="J13" s="245"/>
      <c r="K13" s="245"/>
    </row>
    <row r="14" spans="1:11" ht="12.95" customHeight="1">
      <c r="A14" s="18">
        <v>1954</v>
      </c>
      <c r="B14" s="49">
        <v>19.628863682408337</v>
      </c>
      <c r="C14" s="20">
        <v>1.6252699129034103</v>
      </c>
      <c r="D14" s="20">
        <v>0.46170904468670843</v>
      </c>
      <c r="E14" s="21">
        <v>0.33980990775158565</v>
      </c>
      <c r="F14" s="21">
        <v>-1.6409266409266321</v>
      </c>
      <c r="G14" s="245"/>
      <c r="J14" s="245"/>
      <c r="K14" s="245"/>
    </row>
    <row r="15" spans="1:11" ht="12.95" customHeight="1">
      <c r="A15" s="18">
        <v>1955</v>
      </c>
      <c r="B15" s="49">
        <v>19.513286467399059</v>
      </c>
      <c r="C15" s="20">
        <v>1.615700119500642</v>
      </c>
      <c r="D15" s="20">
        <v>0.45899044383477478</v>
      </c>
      <c r="E15" s="21">
        <v>0.33780906433008451</v>
      </c>
      <c r="F15" s="21">
        <v>-0.58881256133467286</v>
      </c>
      <c r="G15" s="245"/>
      <c r="J15" s="245"/>
      <c r="K15" s="245"/>
    </row>
    <row r="16" spans="1:11" ht="12.95" customHeight="1">
      <c r="A16" s="18">
        <v>1956</v>
      </c>
      <c r="B16" s="49">
        <v>19.455497859894425</v>
      </c>
      <c r="C16" s="20">
        <v>1.6109152227992585</v>
      </c>
      <c r="D16" s="20">
        <v>0.45763114340880817</v>
      </c>
      <c r="E16" s="21">
        <v>0.33680864261933413</v>
      </c>
      <c r="F16" s="21">
        <v>-0.29615004935831246</v>
      </c>
      <c r="G16" s="245"/>
      <c r="J16" s="245"/>
      <c r="K16" s="245"/>
    </row>
    <row r="17" spans="1:11" ht="12.95" customHeight="1">
      <c r="A17" s="18">
        <v>1957</v>
      </c>
      <c r="B17" s="49">
        <v>21.246944692538168</v>
      </c>
      <c r="C17" s="20">
        <v>1.7592470205421602</v>
      </c>
      <c r="D17" s="20">
        <v>0.49976945661377753</v>
      </c>
      <c r="E17" s="21">
        <v>0.36782171565259947</v>
      </c>
      <c r="F17" s="21">
        <v>9.207920792079193</v>
      </c>
      <c r="G17" s="245"/>
      <c r="J17" s="245"/>
      <c r="K17" s="245"/>
    </row>
    <row r="18" spans="1:11" ht="12.95" customHeight="1">
      <c r="A18" s="18">
        <v>1958</v>
      </c>
      <c r="B18" s="49">
        <v>20.476429925809672</v>
      </c>
      <c r="C18" s="20">
        <v>1.6954483978570407</v>
      </c>
      <c r="D18" s="20">
        <v>0.48164545093422068</v>
      </c>
      <c r="E18" s="21">
        <v>0.35448275950925945</v>
      </c>
      <c r="F18" s="21">
        <v>-3.6264732547597656</v>
      </c>
      <c r="G18" s="245"/>
      <c r="J18" s="245"/>
      <c r="K18" s="245"/>
    </row>
    <row r="19" spans="1:11" ht="12.95" customHeight="1">
      <c r="A19" s="18">
        <v>1959</v>
      </c>
      <c r="B19" s="49">
        <v>19.860018112426879</v>
      </c>
      <c r="C19" s="20">
        <v>1.6444094997089456</v>
      </c>
      <c r="D19" s="20">
        <v>0.46714624639057534</v>
      </c>
      <c r="E19" s="21">
        <v>0.34381159459458754</v>
      </c>
      <c r="F19" s="21">
        <v>-3.0103480714957498</v>
      </c>
      <c r="G19" s="245"/>
      <c r="J19" s="245"/>
      <c r="K19" s="245"/>
    </row>
    <row r="20" spans="1:11" ht="12.95" customHeight="1">
      <c r="A20" s="18">
        <v>1960</v>
      </c>
      <c r="B20" s="49">
        <v>19.262869168212298</v>
      </c>
      <c r="C20" s="20">
        <v>1.5949655671279783</v>
      </c>
      <c r="D20" s="20">
        <v>0.45310014198891885</v>
      </c>
      <c r="E20" s="21">
        <v>0.33347390358349904</v>
      </c>
      <c r="F20" s="21">
        <v>-3.0067895247332665</v>
      </c>
      <c r="G20" s="245"/>
      <c r="J20" s="245"/>
      <c r="K20" s="245"/>
    </row>
    <row r="21" spans="1:11" ht="12.95" customHeight="1">
      <c r="A21" s="18">
        <v>1961</v>
      </c>
      <c r="B21" s="49">
        <v>18.43394302563371</v>
      </c>
      <c r="C21" s="20">
        <v>1.5263304825224711</v>
      </c>
      <c r="D21" s="20">
        <v>0.43360218716085613</v>
      </c>
      <c r="E21" s="21">
        <v>0.3191237445218234</v>
      </c>
      <c r="F21" s="21">
        <v>-4.3032329988851643</v>
      </c>
      <c r="G21" s="245"/>
      <c r="J21" s="245"/>
      <c r="K21" s="245"/>
    </row>
    <row r="22" spans="1:11" ht="12.95" customHeight="1">
      <c r="A22" s="18">
        <v>1962</v>
      </c>
      <c r="B22" s="49">
        <v>19.022351738241309</v>
      </c>
      <c r="C22" s="20">
        <v>1.5750507239263802</v>
      </c>
      <c r="D22" s="20">
        <v>0.44744270431860012</v>
      </c>
      <c r="E22" s="21">
        <v>0.3293101268609403</v>
      </c>
      <c r="F22" s="21">
        <v>3.1919850885367973</v>
      </c>
      <c r="G22" s="245"/>
      <c r="J22" s="245"/>
      <c r="K22" s="245"/>
    </row>
    <row r="23" spans="1:11" ht="12.95" customHeight="1">
      <c r="A23" s="18">
        <v>1963</v>
      </c>
      <c r="B23" s="49">
        <v>20.276478337375757</v>
      </c>
      <c r="C23" s="20">
        <v>1.6788924063347126</v>
      </c>
      <c r="D23" s="20">
        <v>0.4769422007424049</v>
      </c>
      <c r="E23" s="21">
        <v>0.35102124834285375</v>
      </c>
      <c r="F23" s="21">
        <v>6.5929103635132158</v>
      </c>
      <c r="G23" s="245"/>
      <c r="J23" s="245"/>
      <c r="K23" s="245"/>
    </row>
    <row r="24" spans="1:11" ht="12.95" customHeight="1">
      <c r="A24" s="18">
        <v>1964</v>
      </c>
      <c r="B24" s="49">
        <v>20.399999999999999</v>
      </c>
      <c r="C24" s="20">
        <v>1.68920545013554</v>
      </c>
      <c r="D24" s="20">
        <v>0.47987194525024851</v>
      </c>
      <c r="E24" s="21">
        <v>0.35317748985989311</v>
      </c>
      <c r="F24" s="21">
        <v>0.61427663630586604</v>
      </c>
      <c r="G24" s="245"/>
      <c r="J24" s="245"/>
      <c r="K24" s="245"/>
    </row>
    <row r="25" spans="1:11" ht="12.95" customHeight="1">
      <c r="A25" s="18">
        <v>1965</v>
      </c>
      <c r="B25" s="49">
        <v>20.216393617397262</v>
      </c>
      <c r="C25" s="20">
        <v>1.6739173915204932</v>
      </c>
      <c r="D25" s="20">
        <v>0.47552889128596393</v>
      </c>
      <c r="E25" s="21">
        <v>0.34998107691553521</v>
      </c>
      <c r="F25" s="21">
        <v>-0.89</v>
      </c>
      <c r="G25" s="245"/>
      <c r="J25" s="245"/>
      <c r="K25" s="245"/>
    </row>
    <row r="26" spans="1:11" ht="12.95" customHeight="1">
      <c r="A26" s="18">
        <v>1966</v>
      </c>
      <c r="B26" s="49">
        <v>19.932512463291385</v>
      </c>
      <c r="C26" s="49">
        <v>1.6504120319605267</v>
      </c>
      <c r="D26" s="20">
        <v>0.46885145449759535</v>
      </c>
      <c r="E26" s="21">
        <v>0.34506659840318071</v>
      </c>
      <c r="F26" s="21">
        <v>-1.4042126379137376</v>
      </c>
      <c r="G26" s="245"/>
      <c r="J26" s="245"/>
      <c r="K26" s="245"/>
    </row>
    <row r="27" spans="1:11" ht="12.95" customHeight="1">
      <c r="A27" s="18">
        <v>1967</v>
      </c>
      <c r="B27" s="49">
        <v>20.31777974386365</v>
      </c>
      <c r="C27" s="20">
        <v>1.6823121627919102</v>
      </c>
      <c r="D27" s="20">
        <v>0.47791369013895274</v>
      </c>
      <c r="E27" s="21">
        <v>0.35173624781280471</v>
      </c>
      <c r="F27" s="21">
        <v>1.9328585961342792</v>
      </c>
      <c r="G27" s="245"/>
      <c r="J27" s="245"/>
      <c r="K27" s="245"/>
    </row>
    <row r="28" spans="1:11" ht="12.95" customHeight="1">
      <c r="A28" s="18">
        <v>1968</v>
      </c>
      <c r="B28" s="49">
        <v>20.662492573849359</v>
      </c>
      <c r="C28" s="20">
        <v>1.7108543851147269</v>
      </c>
      <c r="D28" s="20">
        <v>0.48602200623911457</v>
      </c>
      <c r="E28" s="21">
        <v>0.35770382886352092</v>
      </c>
      <c r="F28" s="21">
        <v>1.696606786427135</v>
      </c>
      <c r="G28" s="245"/>
      <c r="J28" s="245"/>
      <c r="K28" s="245"/>
    </row>
    <row r="29" spans="1:11" ht="12.95" customHeight="1">
      <c r="A29" s="18">
        <v>1969</v>
      </c>
      <c r="B29" s="49">
        <v>20.277225293277095</v>
      </c>
      <c r="C29" s="20">
        <v>1.6789542542833433</v>
      </c>
      <c r="D29" s="20">
        <v>0.47695977059775718</v>
      </c>
      <c r="E29" s="21">
        <v>0.35103417945389692</v>
      </c>
      <c r="F29" s="21">
        <v>-1.8645731108930308</v>
      </c>
      <c r="G29" s="245"/>
      <c r="J29" s="245"/>
      <c r="K29" s="245"/>
    </row>
    <row r="30" spans="1:11" ht="12.95" customHeight="1">
      <c r="A30" s="18">
        <v>1970</v>
      </c>
      <c r="B30" s="21">
        <v>21.047759854421624</v>
      </c>
      <c r="C30" s="21">
        <v>1.7427545159461104</v>
      </c>
      <c r="D30" s="20">
        <v>0.49508424188047201</v>
      </c>
      <c r="E30" s="21">
        <v>0.36437347827314504</v>
      </c>
      <c r="F30" s="21">
        <v>3.8000000000000034</v>
      </c>
      <c r="G30" s="245"/>
      <c r="J30" s="245"/>
      <c r="K30" s="245"/>
    </row>
    <row r="31" spans="1:11" ht="12.95" customHeight="1">
      <c r="A31" s="18">
        <v>1971</v>
      </c>
      <c r="B31" s="21">
        <v>21.960234992619096</v>
      </c>
      <c r="C31" s="21">
        <v>1.8183074573888611</v>
      </c>
      <c r="D31" s="20">
        <v>0.51654743155737115</v>
      </c>
      <c r="E31" s="21">
        <v>0.38017001634857045</v>
      </c>
      <c r="F31" s="21">
        <v>4.3352601156069426</v>
      </c>
      <c r="G31" s="245"/>
      <c r="J31" s="245"/>
      <c r="K31" s="245"/>
    </row>
    <row r="32" spans="1:11" ht="12.95" customHeight="1">
      <c r="A32" s="18">
        <v>1972</v>
      </c>
      <c r="B32" s="21">
        <v>23.69</v>
      </c>
      <c r="C32" s="21">
        <v>1.9615320000000001</v>
      </c>
      <c r="D32" s="20">
        <v>0.55723486828383306</v>
      </c>
      <c r="E32" s="21">
        <v>0.41011526927305902</v>
      </c>
      <c r="F32" s="21">
        <v>7.876805544031229</v>
      </c>
      <c r="G32" s="245"/>
      <c r="J32" s="245"/>
      <c r="K32" s="245"/>
    </row>
    <row r="33" spans="1:11" ht="12.95" customHeight="1">
      <c r="A33" s="18">
        <v>1973</v>
      </c>
      <c r="B33" s="21">
        <v>27.252590794164416</v>
      </c>
      <c r="C33" s="21">
        <v>2.2565145177568136</v>
      </c>
      <c r="D33" s="20">
        <v>0.64103393168338574</v>
      </c>
      <c r="E33" s="21">
        <v>0.47178993718603751</v>
      </c>
      <c r="F33" s="21">
        <v>15.038373972834162</v>
      </c>
      <c r="G33" s="245"/>
      <c r="J33" s="245"/>
      <c r="K33" s="245"/>
    </row>
    <row r="34" spans="1:11" ht="12.95" customHeight="1">
      <c r="A34" s="18">
        <v>1974</v>
      </c>
      <c r="B34" s="21">
        <v>30.84165967107446</v>
      </c>
      <c r="C34" s="21">
        <v>2.5536894207649654</v>
      </c>
      <c r="D34" s="20">
        <v>0.72545581107918877</v>
      </c>
      <c r="E34" s="21">
        <v>0.53392298694937723</v>
      </c>
      <c r="F34" s="21">
        <v>13.169642857142861</v>
      </c>
      <c r="G34" s="245"/>
      <c r="J34" s="245"/>
      <c r="K34" s="245"/>
    </row>
    <row r="35" spans="1:11" ht="12.95" customHeight="1">
      <c r="A35" s="18">
        <v>1975</v>
      </c>
      <c r="B35" s="21">
        <v>35.302649235595425</v>
      </c>
      <c r="C35" s="21">
        <v>2.9230593567073013</v>
      </c>
      <c r="D35" s="20">
        <v>0.8303869606106955</v>
      </c>
      <c r="E35" s="21">
        <v>0.61115050642923474</v>
      </c>
      <c r="F35" s="21">
        <v>14.464168310322179</v>
      </c>
      <c r="G35" s="245"/>
      <c r="J35" s="245"/>
      <c r="K35" s="245"/>
    </row>
    <row r="36" spans="1:11" ht="12.95" customHeight="1">
      <c r="A36" s="18">
        <v>1976</v>
      </c>
      <c r="B36" s="21">
        <v>38.080629100774388</v>
      </c>
      <c r="C36" s="21">
        <v>3.1530760895441192</v>
      </c>
      <c r="D36" s="20">
        <v>0.89573044918258815</v>
      </c>
      <c r="E36" s="21">
        <v>0.65924218901441856</v>
      </c>
      <c r="F36" s="21">
        <v>7.8690407811602414</v>
      </c>
      <c r="G36" s="245"/>
      <c r="J36" s="245"/>
      <c r="K36" s="245"/>
    </row>
    <row r="37" spans="1:11" ht="12.95" customHeight="1">
      <c r="A37" s="18">
        <v>1977</v>
      </c>
      <c r="B37" s="21">
        <v>42.95</v>
      </c>
      <c r="C37" s="21">
        <v>3.55626</v>
      </c>
      <c r="D37" s="20">
        <v>1.0102675218569281</v>
      </c>
      <c r="E37" s="21">
        <v>0.74353950254444423</v>
      </c>
      <c r="F37" s="21">
        <v>12.787002248149815</v>
      </c>
      <c r="G37" s="245"/>
      <c r="J37" s="245"/>
      <c r="K37" s="245"/>
    </row>
    <row r="38" spans="1:11" ht="12.95" customHeight="1">
      <c r="A38" s="18">
        <v>1978</v>
      </c>
      <c r="B38" s="21">
        <v>46.000706472630426</v>
      </c>
      <c r="C38" s="21">
        <v>3.8088584959337992</v>
      </c>
      <c r="D38" s="20">
        <v>1.0820260705884119</v>
      </c>
      <c r="E38" s="21">
        <v>0.79635255896048018</v>
      </c>
      <c r="F38" s="21">
        <v>7.1029254310370771</v>
      </c>
      <c r="G38" s="245"/>
      <c r="J38" s="245"/>
      <c r="K38" s="245"/>
    </row>
    <row r="39" spans="1:11" ht="12.95" customHeight="1">
      <c r="A39" s="18">
        <v>1979</v>
      </c>
      <c r="B39" s="21">
        <v>50.218117896038429</v>
      </c>
      <c r="C39" s="21">
        <v>4.1580601617919815</v>
      </c>
      <c r="D39" s="20">
        <v>1.1812277885715901</v>
      </c>
      <c r="E39" s="21">
        <v>0.86936331546306556</v>
      </c>
      <c r="F39" s="21">
        <v>9.1681448977686486</v>
      </c>
      <c r="G39" s="245"/>
      <c r="J39" s="245"/>
      <c r="K39" s="245"/>
    </row>
    <row r="40" spans="1:11" ht="12.95" customHeight="1">
      <c r="A40" s="18">
        <v>1980</v>
      </c>
      <c r="B40" s="21">
        <v>58.635761877585956</v>
      </c>
      <c r="C40" s="21">
        <v>4.8550410834641173</v>
      </c>
      <c r="D40" s="20">
        <v>1.3792271442202959</v>
      </c>
      <c r="E40" s="21">
        <v>1.015087432311403</v>
      </c>
      <c r="F40" s="21">
        <v>16.762165398101423</v>
      </c>
      <c r="G40" s="245"/>
      <c r="J40" s="245"/>
      <c r="K40" s="245"/>
    </row>
    <row r="41" spans="1:11" ht="12.95" customHeight="1">
      <c r="A41" s="18">
        <v>1981</v>
      </c>
      <c r="B41" s="21">
        <v>63.050730251581307</v>
      </c>
      <c r="C41" s="21">
        <v>5.2206004648309321</v>
      </c>
      <c r="D41" s="20">
        <v>1.4830757858564538</v>
      </c>
      <c r="E41" s="21">
        <v>1.0915182446175717</v>
      </c>
      <c r="F41" s="21">
        <v>7.5294807002123987</v>
      </c>
      <c r="G41" s="245"/>
      <c r="J41" s="245"/>
      <c r="K41" s="245"/>
    </row>
    <row r="42" spans="1:11" ht="12.95" customHeight="1">
      <c r="A42" s="24">
        <v>1982</v>
      </c>
      <c r="B42" s="26">
        <v>71.150000000000006</v>
      </c>
      <c r="C42" s="26">
        <v>5.8912200000000006</v>
      </c>
      <c r="D42" s="25">
        <v>1.6735863604218961</v>
      </c>
      <c r="E42" s="26">
        <v>1.2317307475212389</v>
      </c>
      <c r="F42" s="26">
        <v>12.84563987776426</v>
      </c>
      <c r="G42" s="245"/>
      <c r="J42" s="245"/>
      <c r="K42" s="245"/>
    </row>
    <row r="43" spans="1:11" ht="12.95" customHeight="1">
      <c r="A43" s="18">
        <v>1983</v>
      </c>
      <c r="B43" s="21">
        <v>75.16</v>
      </c>
      <c r="C43" s="21">
        <v>6.2232479999999999</v>
      </c>
      <c r="D43" s="20">
        <v>1.7679093583880492</v>
      </c>
      <c r="E43" s="21">
        <v>1.3011508500870879</v>
      </c>
      <c r="F43" s="21">
        <v>5.63</v>
      </c>
      <c r="G43" s="245"/>
      <c r="J43" s="245"/>
      <c r="K43" s="245"/>
    </row>
    <row r="44" spans="1:11" ht="12.95" customHeight="1">
      <c r="A44" s="18">
        <v>1984</v>
      </c>
      <c r="B44" s="21">
        <v>90.305000000000007</v>
      </c>
      <c r="C44" s="21">
        <v>7.4772540000000003</v>
      </c>
      <c r="D44" s="20">
        <v>2.124149209808845</v>
      </c>
      <c r="E44" s="21">
        <v>1.563337247433668</v>
      </c>
      <c r="F44" s="21">
        <v>20.150345928685475</v>
      </c>
      <c r="G44" s="245"/>
      <c r="J44" s="245"/>
      <c r="K44" s="245"/>
    </row>
    <row r="45" spans="1:11" ht="12.95" customHeight="1">
      <c r="A45" s="18">
        <v>1985</v>
      </c>
      <c r="B45" s="21">
        <v>131.24583333333331</v>
      </c>
      <c r="C45" s="21">
        <v>10.867154999999999</v>
      </c>
      <c r="D45" s="20">
        <v>3.0871572245800714</v>
      </c>
      <c r="E45" s="21">
        <v>2.2720945664190384</v>
      </c>
      <c r="F45" s="21">
        <v>45.336175553217785</v>
      </c>
      <c r="G45" s="245"/>
      <c r="J45" s="245"/>
      <c r="K45" s="245"/>
    </row>
    <row r="46" spans="1:11" ht="12.95" customHeight="1">
      <c r="A46" s="18">
        <v>1986</v>
      </c>
      <c r="B46" s="21">
        <v>141.27166666666668</v>
      </c>
      <c r="C46" s="21">
        <v>11.697294000000001</v>
      </c>
      <c r="D46" s="20">
        <v>3.32298432111598</v>
      </c>
      <c r="E46" s="21">
        <v>2.4456592492888913</v>
      </c>
      <c r="F46" s="21">
        <v>7.6389726657989376</v>
      </c>
      <c r="G46" s="245"/>
      <c r="J46" s="245"/>
      <c r="K46" s="245"/>
    </row>
    <row r="47" spans="1:11" ht="12.95" customHeight="1">
      <c r="A47" s="18">
        <v>1987</v>
      </c>
      <c r="B47" s="21">
        <v>160.41499999999999</v>
      </c>
      <c r="C47" s="21">
        <v>13.282361999999999</v>
      </c>
      <c r="D47" s="20">
        <v>3.7732727478155788</v>
      </c>
      <c r="E47" s="21">
        <v>2.7770637788281025</v>
      </c>
      <c r="F47" s="21">
        <v>13.550723782782569</v>
      </c>
      <c r="G47" s="245"/>
      <c r="J47" s="245"/>
      <c r="K47" s="245"/>
    </row>
    <row r="48" spans="1:11" ht="12.95" customHeight="1">
      <c r="A48" s="18">
        <v>1988</v>
      </c>
      <c r="B48" s="21">
        <v>230.77916666666661</v>
      </c>
      <c r="C48" s="21">
        <v>19.108514999999993</v>
      </c>
      <c r="D48" s="20">
        <v>5.4283747800824269</v>
      </c>
      <c r="E48" s="21">
        <v>3.9951903790676289</v>
      </c>
      <c r="F48" s="21">
        <v>43.863832351504904</v>
      </c>
      <c r="G48" s="245"/>
      <c r="J48" s="245"/>
      <c r="K48" s="245"/>
    </row>
    <row r="49" spans="1:11" ht="12.95" customHeight="1">
      <c r="A49" s="18">
        <v>1989</v>
      </c>
      <c r="B49" s="21">
        <v>324.60916666666668</v>
      </c>
      <c r="C49" s="21">
        <v>26.877639000000002</v>
      </c>
      <c r="D49" s="20">
        <v>7.6354388447118957</v>
      </c>
      <c r="E49" s="21">
        <v>5.6195515321233982</v>
      </c>
      <c r="F49" s="21">
        <v>40.657916117500562</v>
      </c>
      <c r="G49" s="245"/>
      <c r="J49" s="245"/>
      <c r="K49" s="245"/>
    </row>
    <row r="50" spans="1:11" ht="12.95" customHeight="1">
      <c r="A50" s="18">
        <v>1990</v>
      </c>
      <c r="B50" s="21">
        <v>488.41533333333342</v>
      </c>
      <c r="C50" s="21">
        <v>40.440789600000009</v>
      </c>
      <c r="D50" s="20">
        <v>11.488478427091788</v>
      </c>
      <c r="E50" s="21">
        <v>8.4553223278636942</v>
      </c>
      <c r="F50" s="21">
        <v>50.462581925443708</v>
      </c>
      <c r="G50" s="245"/>
      <c r="J50" s="245"/>
      <c r="K50" s="245"/>
    </row>
    <row r="51" spans="1:11" ht="12.95" customHeight="1">
      <c r="A51" s="18">
        <v>1991</v>
      </c>
      <c r="B51" s="21">
        <v>718.35666666666668</v>
      </c>
      <c r="C51" s="21">
        <v>59.479931999999998</v>
      </c>
      <c r="D51" s="20">
        <v>16.897145737898409</v>
      </c>
      <c r="E51" s="21">
        <v>12.43600834884327</v>
      </c>
      <c r="F51" s="21">
        <v>47.079057032061456</v>
      </c>
      <c r="G51" s="245"/>
      <c r="J51" s="245"/>
      <c r="K51" s="245"/>
    </row>
    <row r="52" spans="1:11" ht="12.95" customHeight="1">
      <c r="A52" s="18">
        <v>1992</v>
      </c>
      <c r="B52" s="21">
        <v>748.95166666666671</v>
      </c>
      <c r="C52" s="21">
        <v>62.013198000000003</v>
      </c>
      <c r="D52" s="20">
        <v>17.616799633852139</v>
      </c>
      <c r="E52" s="21">
        <v>12.965661226150541</v>
      </c>
      <c r="F52" s="21">
        <v>4.2590263889340063</v>
      </c>
      <c r="G52" s="245"/>
      <c r="J52" s="245"/>
      <c r="K52" s="245"/>
    </row>
    <row r="53" spans="1:11" ht="12.95" customHeight="1">
      <c r="A53" s="18">
        <v>1993</v>
      </c>
      <c r="B53" s="21">
        <v>788.27416666666659</v>
      </c>
      <c r="C53" s="21">
        <v>65.269100999999992</v>
      </c>
      <c r="D53" s="20">
        <v>18.541741301563874</v>
      </c>
      <c r="E53" s="21">
        <v>13.646402369079619</v>
      </c>
      <c r="F53" s="21">
        <v>5.2503388069101042</v>
      </c>
      <c r="G53" s="245"/>
      <c r="J53" s="245"/>
      <c r="K53" s="245"/>
    </row>
    <row r="54" spans="1:11" ht="12.95" customHeight="1">
      <c r="A54" s="18">
        <v>1994</v>
      </c>
      <c r="B54" s="21">
        <v>853.39166666666688</v>
      </c>
      <c r="C54" s="21">
        <v>70.660830000000018</v>
      </c>
      <c r="D54" s="20">
        <v>20.073431531005522</v>
      </c>
      <c r="E54" s="21">
        <v>14.773700007192261</v>
      </c>
      <c r="F54" s="21">
        <v>8.2607679857579441</v>
      </c>
      <c r="G54" s="245"/>
      <c r="J54" s="245"/>
      <c r="K54" s="245"/>
    </row>
    <row r="55" spans="1:11" ht="12.95" customHeight="1">
      <c r="A55" s="18">
        <v>1995</v>
      </c>
      <c r="B55" s="21">
        <v>960.37</v>
      </c>
      <c r="C55" s="21">
        <v>79.518636000000001</v>
      </c>
      <c r="D55" s="20">
        <v>22.589769964277952</v>
      </c>
      <c r="E55" s="21">
        <v>16.625681770863981</v>
      </c>
      <c r="F55" s="21">
        <v>12.535666507172326</v>
      </c>
      <c r="G55" s="245"/>
      <c r="J55" s="245"/>
      <c r="K55" s="245"/>
    </row>
    <row r="56" spans="1:11" ht="12.95" customHeight="1">
      <c r="A56" s="18">
        <v>1996</v>
      </c>
      <c r="B56" s="21">
        <v>1012.23</v>
      </c>
      <c r="C56" s="21">
        <v>83.812644000000006</v>
      </c>
      <c r="D56" s="20">
        <v>23.809618012787855</v>
      </c>
      <c r="E56" s="21">
        <v>17.52346893272556</v>
      </c>
      <c r="F56" s="21">
        <v>5.400002082530686</v>
      </c>
      <c r="G56" s="245"/>
      <c r="J56" s="245"/>
      <c r="K56" s="245"/>
    </row>
    <row r="57" spans="1:11" ht="12.95" customHeight="1">
      <c r="A57" s="18">
        <v>1997</v>
      </c>
      <c r="B57" s="21">
        <v>1096.21</v>
      </c>
      <c r="C57" s="21">
        <v>90.766188</v>
      </c>
      <c r="D57" s="20">
        <v>25.784990922812181</v>
      </c>
      <c r="E57" s="21">
        <v>18.977309384964965</v>
      </c>
      <c r="F57" s="21">
        <v>8.2965333965600685</v>
      </c>
      <c r="G57" s="245"/>
      <c r="J57" s="245"/>
      <c r="K57" s="245"/>
    </row>
    <row r="58" spans="1:11" ht="12.95" customHeight="1">
      <c r="A58" s="18">
        <v>1998</v>
      </c>
      <c r="B58" s="21">
        <v>1149.18</v>
      </c>
      <c r="C58" s="21">
        <v>95.152104000000008</v>
      </c>
      <c r="D58" s="20">
        <v>27.030948329861346</v>
      </c>
      <c r="E58" s="21">
        <v>19.894312585192655</v>
      </c>
      <c r="F58" s="21">
        <v>4.8321033378641021</v>
      </c>
      <c r="G58" s="245"/>
      <c r="J58" s="245"/>
      <c r="K58" s="245"/>
    </row>
    <row r="59" spans="1:11" ht="12.95" customHeight="1">
      <c r="A59" s="18">
        <v>1999</v>
      </c>
      <c r="B59" s="21" t="s">
        <v>2</v>
      </c>
      <c r="C59" s="21">
        <v>101.31</v>
      </c>
      <c r="D59" s="20">
        <v>28.780292396879133</v>
      </c>
      <c r="E59" s="21">
        <v>21.181799700465557</v>
      </c>
      <c r="F59" s="21">
        <v>6.4716340901930902</v>
      </c>
      <c r="G59" s="245"/>
      <c r="J59" s="245"/>
      <c r="K59" s="245"/>
    </row>
    <row r="60" spans="1:11" ht="12.95" customHeight="1">
      <c r="A60" s="18">
        <v>2000</v>
      </c>
      <c r="B60" s="21" t="s">
        <v>2</v>
      </c>
      <c r="C60" s="21">
        <v>109.13</v>
      </c>
      <c r="D60" s="20">
        <v>31.00180938970901</v>
      </c>
      <c r="E60" s="21">
        <v>22.816797959844106</v>
      </c>
      <c r="F60" s="21">
        <v>7.7188826374494202</v>
      </c>
      <c r="G60" s="245"/>
      <c r="J60" s="245"/>
      <c r="K60" s="245"/>
    </row>
    <row r="61" spans="1:11" ht="12.95" customHeight="1">
      <c r="A61" s="18">
        <v>2001</v>
      </c>
      <c r="B61" s="21" t="s">
        <v>2</v>
      </c>
      <c r="C61" s="21">
        <v>118.83</v>
      </c>
      <c r="D61" s="20">
        <v>33.757399521480082</v>
      </c>
      <c r="E61" s="21">
        <v>24.844864854469666</v>
      </c>
      <c r="F61" s="21">
        <v>8.8800000000000008</v>
      </c>
      <c r="G61" s="245"/>
      <c r="J61" s="245"/>
      <c r="K61" s="245"/>
    </row>
    <row r="62" spans="1:11" ht="12.95" customHeight="1">
      <c r="A62" s="18">
        <v>2002</v>
      </c>
      <c r="B62" s="21" t="s">
        <v>2</v>
      </c>
      <c r="C62" s="21">
        <v>125.03</v>
      </c>
      <c r="D62" s="20">
        <v>35.518704554158504</v>
      </c>
      <c r="E62" s="21">
        <v>26.141155034539619</v>
      </c>
      <c r="F62" s="21">
        <v>5.2175376588403655</v>
      </c>
      <c r="G62" s="245"/>
      <c r="J62" s="245"/>
      <c r="K62" s="245"/>
    </row>
    <row r="63" spans="1:11" ht="12.95" customHeight="1">
      <c r="A63" s="18">
        <v>2003</v>
      </c>
      <c r="B63" s="21" t="s">
        <v>2</v>
      </c>
      <c r="C63" s="21">
        <v>159.35</v>
      </c>
      <c r="D63" s="20">
        <v>45.268380154404205</v>
      </c>
      <c r="E63" s="21">
        <v>33.31674841841069</v>
      </c>
      <c r="F63" s="21">
        <v>27.449412141086139</v>
      </c>
      <c r="G63" s="245"/>
      <c r="J63" s="245"/>
      <c r="K63" s="245"/>
    </row>
    <row r="64" spans="1:11" ht="12.95" customHeight="1">
      <c r="A64" s="18">
        <v>2004</v>
      </c>
      <c r="B64" s="21" t="s">
        <v>2</v>
      </c>
      <c r="C64" s="21">
        <v>241.36</v>
      </c>
      <c r="D64" s="20">
        <v>68.565900433429547</v>
      </c>
      <c r="E64" s="21">
        <v>50.463322235755278</v>
      </c>
      <c r="F64" s="21">
        <v>51.46</v>
      </c>
      <c r="G64" s="245"/>
      <c r="J64" s="245"/>
      <c r="K64" s="245"/>
    </row>
    <row r="65" spans="1:11" ht="12.95" customHeight="1">
      <c r="A65" s="18">
        <v>2005</v>
      </c>
      <c r="B65" s="21" t="s">
        <v>2</v>
      </c>
      <c r="C65" s="21">
        <v>251.47</v>
      </c>
      <c r="D65" s="20">
        <v>71.4379639625229</v>
      </c>
      <c r="E65" s="21">
        <v>52.577111545514498</v>
      </c>
      <c r="F65" s="21">
        <v>4.1887636725223665</v>
      </c>
      <c r="G65" s="245"/>
      <c r="J65" s="245"/>
      <c r="K65" s="245"/>
    </row>
    <row r="66" spans="1:11" ht="12.95" customHeight="1">
      <c r="A66" s="18">
        <v>2006</v>
      </c>
      <c r="B66" s="21" t="s">
        <v>2</v>
      </c>
      <c r="C66" s="21">
        <v>270.51</v>
      </c>
      <c r="D66" s="20">
        <v>76.846874901586958</v>
      </c>
      <c r="E66" s="21">
        <v>56.557976872697054</v>
      </c>
      <c r="F66" s="21">
        <v>7.5714796993677336</v>
      </c>
      <c r="G66" s="245"/>
      <c r="J66" s="245"/>
      <c r="K66" s="245"/>
    </row>
    <row r="67" spans="1:11" ht="12.95" customHeight="1">
      <c r="A67" s="18">
        <v>2007</v>
      </c>
      <c r="B67" s="21" t="s">
        <v>2</v>
      </c>
      <c r="C67" s="21">
        <v>287.13</v>
      </c>
      <c r="D67" s="20">
        <v>81.568308714992654</v>
      </c>
      <c r="E67" s="21">
        <v>60.032870871529717</v>
      </c>
      <c r="F67" s="21">
        <v>6.1439503160696463</v>
      </c>
      <c r="G67" s="245"/>
      <c r="I67" s="50"/>
      <c r="J67" s="245"/>
      <c r="K67" s="245"/>
    </row>
    <row r="68" spans="1:11" ht="12.95" customHeight="1">
      <c r="A68" s="18">
        <v>2008</v>
      </c>
      <c r="B68" s="21" t="s">
        <v>2</v>
      </c>
      <c r="C68" s="21">
        <v>317.7</v>
      </c>
      <c r="D68" s="20">
        <v>90.252678851924784</v>
      </c>
      <c r="E68" s="21">
        <v>66.424417775519757</v>
      </c>
      <c r="F68" s="21">
        <v>10.64</v>
      </c>
      <c r="G68" s="245"/>
      <c r="I68" s="50"/>
      <c r="J68" s="245"/>
      <c r="K68" s="245"/>
    </row>
    <row r="69" spans="1:11" ht="12.95" customHeight="1">
      <c r="A69" s="18">
        <v>2009</v>
      </c>
      <c r="B69" s="21" t="s">
        <v>2</v>
      </c>
      <c r="C69" s="21">
        <v>322.27999999999997</v>
      </c>
      <c r="D69" s="20">
        <v>91.553771924451752</v>
      </c>
      <c r="E69" s="21">
        <v>67.381999876281114</v>
      </c>
      <c r="F69" s="21">
        <v>1.4416115832546428</v>
      </c>
      <c r="G69" s="245"/>
      <c r="I69" s="50"/>
      <c r="J69" s="245"/>
      <c r="K69" s="245"/>
    </row>
    <row r="70" spans="1:11" ht="12.95" customHeight="1">
      <c r="A70" s="18">
        <v>2010</v>
      </c>
      <c r="B70" s="21" t="s">
        <v>2</v>
      </c>
      <c r="C70" s="21">
        <v>342.68</v>
      </c>
      <c r="D70" s="20">
        <v>97.349033644877522</v>
      </c>
      <c r="E70" s="21">
        <v>71.647212726833857</v>
      </c>
      <c r="F70" s="21">
        <v>6.329899466302602</v>
      </c>
      <c r="G70" s="245"/>
      <c r="I70" s="50"/>
      <c r="J70" s="245"/>
      <c r="K70" s="245"/>
    </row>
    <row r="71" spans="1:11" ht="12.95" customHeight="1">
      <c r="A71" s="18">
        <v>2011</v>
      </c>
      <c r="B71" s="21" t="s">
        <v>2</v>
      </c>
      <c r="C71" s="21" t="s">
        <v>2</v>
      </c>
      <c r="D71" s="20">
        <v>105.58397499999997</v>
      </c>
      <c r="E71" s="21">
        <v>77.70798778512335</v>
      </c>
      <c r="F71" s="21">
        <v>8.4591916804874767</v>
      </c>
      <c r="G71" s="245"/>
      <c r="I71" s="50"/>
      <c r="J71" s="245"/>
      <c r="K71" s="245"/>
    </row>
    <row r="72" spans="1:11" ht="12.95" customHeight="1">
      <c r="A72" s="18">
        <v>2012</v>
      </c>
      <c r="B72" s="21" t="s">
        <v>2</v>
      </c>
      <c r="C72" s="21" t="s">
        <v>2</v>
      </c>
      <c r="D72" s="20">
        <v>109.49</v>
      </c>
      <c r="E72" s="21">
        <v>80.582754935994387</v>
      </c>
      <c r="F72" s="21">
        <v>3.69</v>
      </c>
      <c r="G72" s="245"/>
      <c r="I72" s="50"/>
      <c r="J72" s="245"/>
      <c r="K72" s="245"/>
    </row>
    <row r="73" spans="1:11" ht="12.95" customHeight="1">
      <c r="A73" s="18">
        <v>2013</v>
      </c>
      <c r="B73" s="21" t="s">
        <v>2</v>
      </c>
      <c r="C73" s="21" t="s">
        <v>2</v>
      </c>
      <c r="D73" s="20">
        <v>114.774166666667</v>
      </c>
      <c r="E73" s="21">
        <v>84.468744031455628</v>
      </c>
      <c r="F73" s="21">
        <v>4.83</v>
      </c>
      <c r="G73" s="245"/>
      <c r="I73" s="50"/>
      <c r="J73" s="245"/>
      <c r="K73" s="245"/>
    </row>
    <row r="74" spans="1:11" ht="12.95" customHeight="1">
      <c r="A74" s="18">
        <v>2014</v>
      </c>
      <c r="B74" s="21" t="s">
        <v>2</v>
      </c>
      <c r="C74" s="21" t="s">
        <v>2</v>
      </c>
      <c r="D74" s="20">
        <v>118.22</v>
      </c>
      <c r="E74" s="21">
        <v>87.007884633603595</v>
      </c>
      <c r="F74" s="21">
        <v>3</v>
      </c>
      <c r="G74" s="245"/>
      <c r="I74" s="50"/>
      <c r="J74" s="245"/>
      <c r="K74" s="245"/>
    </row>
    <row r="75" spans="1:11" ht="12.95" customHeight="1">
      <c r="A75" s="18">
        <v>2015</v>
      </c>
      <c r="B75" s="21" t="s">
        <v>2</v>
      </c>
      <c r="C75" s="21" t="s">
        <v>2</v>
      </c>
      <c r="D75" s="20">
        <v>119.21</v>
      </c>
      <c r="E75" s="21">
        <v>87.736507589002571</v>
      </c>
      <c r="F75" s="21">
        <v>0.84</v>
      </c>
      <c r="G75" s="245"/>
      <c r="I75" s="50"/>
      <c r="J75" s="245"/>
      <c r="K75" s="245"/>
    </row>
    <row r="76" spans="1:11" ht="12.95" customHeight="1">
      <c r="A76" s="18">
        <v>2016</v>
      </c>
      <c r="B76" s="21" t="s">
        <v>2</v>
      </c>
      <c r="C76" s="21" t="s">
        <v>2</v>
      </c>
      <c r="D76" s="20">
        <v>121.12916666666666</v>
      </c>
      <c r="E76" s="21">
        <v>89.14959453280666</v>
      </c>
      <c r="F76" s="21">
        <v>1.6141660724522167</v>
      </c>
      <c r="G76" s="245"/>
      <c r="I76" s="50"/>
      <c r="J76" s="245"/>
      <c r="K76" s="245"/>
    </row>
    <row r="77" spans="1:11" ht="12.95" customHeight="1">
      <c r="A77" s="18">
        <v>2017</v>
      </c>
      <c r="B77" s="21" t="s">
        <v>2</v>
      </c>
      <c r="C77" s="21" t="s">
        <v>2</v>
      </c>
      <c r="D77" s="20">
        <v>125.10166666666669</v>
      </c>
      <c r="E77" s="21">
        <v>92.071446182234894</v>
      </c>
      <c r="F77" s="21">
        <v>3.28</v>
      </c>
      <c r="G77" s="245"/>
      <c r="I77" s="50"/>
      <c r="J77" s="245"/>
      <c r="K77" s="245"/>
    </row>
    <row r="78" spans="1:11" ht="12.95" customHeight="1">
      <c r="A78" s="18">
        <v>2018</v>
      </c>
      <c r="B78" s="21" t="s">
        <v>2</v>
      </c>
      <c r="C78" s="21" t="s">
        <v>2</v>
      </c>
      <c r="D78" s="20">
        <v>129.56083333333333</v>
      </c>
      <c r="E78" s="21">
        <v>95.354542714432498</v>
      </c>
      <c r="F78" s="21">
        <v>3.5644342601350631</v>
      </c>
      <c r="G78" s="245"/>
      <c r="I78" s="50"/>
      <c r="J78" s="245"/>
      <c r="K78" s="245"/>
    </row>
    <row r="79" spans="1:11" ht="12.95" customHeight="1">
      <c r="A79" s="32">
        <v>2019</v>
      </c>
      <c r="B79" s="30" t="s">
        <v>2</v>
      </c>
      <c r="C79" s="33" t="s">
        <v>2</v>
      </c>
      <c r="D79" s="19">
        <v>131.91</v>
      </c>
      <c r="E79" s="20">
        <v>97.081035660095907</v>
      </c>
      <c r="F79" s="20">
        <v>1.8106037704295863</v>
      </c>
      <c r="G79" s="245"/>
      <c r="I79" s="50"/>
      <c r="J79" s="245"/>
      <c r="K79" s="245"/>
    </row>
    <row r="80" spans="1:11" ht="12.95" customHeight="1">
      <c r="A80" s="32">
        <v>2020</v>
      </c>
      <c r="B80" s="30" t="s">
        <v>2</v>
      </c>
      <c r="C80" s="33" t="s">
        <v>2</v>
      </c>
      <c r="D80" s="19" t="s">
        <v>2</v>
      </c>
      <c r="E80" s="20">
        <v>100.75170050215206</v>
      </c>
      <c r="F80" s="20">
        <v>3.7810318123387532</v>
      </c>
      <c r="G80" s="245"/>
      <c r="I80" s="50"/>
      <c r="J80" s="245"/>
      <c r="K80" s="245"/>
    </row>
    <row r="81" spans="1:11" ht="14.25">
      <c r="A81" s="32">
        <v>2021</v>
      </c>
      <c r="B81" s="30" t="s">
        <v>2</v>
      </c>
      <c r="C81" s="30" t="s">
        <v>2</v>
      </c>
      <c r="D81" s="33" t="s">
        <v>2</v>
      </c>
      <c r="E81" s="20">
        <v>109.05658333333332</v>
      </c>
      <c r="F81" s="20">
        <v>8.242920754477856</v>
      </c>
      <c r="G81" s="245"/>
      <c r="J81" s="245"/>
      <c r="K81" s="245"/>
    </row>
    <row r="82" spans="1:11" ht="14.25">
      <c r="A82" s="32">
        <v>2022</v>
      </c>
      <c r="B82" s="30" t="s">
        <v>2</v>
      </c>
      <c r="C82" s="30" t="s">
        <v>2</v>
      </c>
      <c r="D82" s="33" t="s">
        <v>2</v>
      </c>
      <c r="E82" s="20">
        <v>118.66574999999996</v>
      </c>
      <c r="F82" s="20">
        <v>8.8111752385420452</v>
      </c>
      <c r="G82" s="245"/>
      <c r="J82" s="245"/>
      <c r="K82" s="245"/>
    </row>
    <row r="83" spans="1:11" ht="14.25">
      <c r="A83" s="32">
        <v>2023</v>
      </c>
      <c r="B83" s="30" t="s">
        <v>2</v>
      </c>
      <c r="C83" s="30" t="s">
        <v>2</v>
      </c>
      <c r="D83" s="30" t="s">
        <v>2</v>
      </c>
      <c r="E83" s="20">
        <v>124.34463333333333</v>
      </c>
      <c r="F83" s="20">
        <v>4.7856128102113482</v>
      </c>
      <c r="G83" s="245"/>
      <c r="J83" s="245"/>
      <c r="K83" s="245"/>
    </row>
    <row r="84" spans="1:11" ht="14.25">
      <c r="A84" s="32">
        <v>2024</v>
      </c>
      <c r="B84" s="30" t="s">
        <v>2</v>
      </c>
      <c r="C84" s="30" t="s">
        <v>2</v>
      </c>
      <c r="D84" s="30" t="s">
        <v>2</v>
      </c>
      <c r="E84" s="20">
        <v>128.45078333333336</v>
      </c>
      <c r="F84" s="20">
        <v>3.302198773959053</v>
      </c>
      <c r="G84" s="245"/>
      <c r="J84" s="245"/>
      <c r="K84" s="245"/>
    </row>
    <row r="85" spans="1:11" ht="14.25">
      <c r="A85" s="32">
        <v>2025</v>
      </c>
      <c r="B85" s="30" t="s">
        <v>2</v>
      </c>
      <c r="C85" s="30" t="s">
        <v>2</v>
      </c>
      <c r="D85" s="30" t="s">
        <v>2</v>
      </c>
      <c r="E85" s="20">
        <v>133.42583333333332</v>
      </c>
      <c r="F85" s="20">
        <v>3.8731176804812195</v>
      </c>
      <c r="G85" s="245"/>
      <c r="J85" s="245"/>
      <c r="K85" s="245"/>
    </row>
    <row r="86" spans="1:11" ht="5.25" customHeight="1">
      <c r="A86" s="32"/>
      <c r="B86" s="30"/>
      <c r="C86" s="30"/>
      <c r="D86" s="30"/>
      <c r="E86" s="20"/>
      <c r="F86" s="20"/>
      <c r="G86" s="245"/>
      <c r="J86" s="245"/>
      <c r="K86" s="245"/>
    </row>
    <row r="87" spans="1:11" ht="26.25" customHeight="1">
      <c r="A87" s="328" t="s">
        <v>344</v>
      </c>
      <c r="B87" s="328"/>
      <c r="C87" s="328"/>
      <c r="D87" s="328"/>
      <c r="E87" s="328"/>
      <c r="F87" s="328"/>
    </row>
    <row r="88" spans="1:11" ht="12.75" customHeight="1">
      <c r="A88" s="324" t="s">
        <v>308</v>
      </c>
      <c r="B88" s="324"/>
      <c r="C88" s="324"/>
      <c r="D88" s="324"/>
      <c r="E88" s="324"/>
      <c r="F88" s="324"/>
    </row>
    <row r="90" spans="1:11" ht="12.75" customHeight="1">
      <c r="D90" s="50"/>
      <c r="E90" s="50"/>
    </row>
    <row r="91" spans="1:11" ht="12.75" customHeight="1">
      <c r="D91" s="50"/>
      <c r="E91" s="50"/>
    </row>
  </sheetData>
  <mergeCells count="6">
    <mergeCell ref="A88:F88"/>
    <mergeCell ref="A1:F1"/>
    <mergeCell ref="A2:F2"/>
    <mergeCell ref="A3:F3"/>
    <mergeCell ref="A5:A6"/>
    <mergeCell ref="A87:F87"/>
  </mergeCells>
  <printOptions horizontalCentered="1"/>
  <pageMargins left="0.5" right="0.5" top="0.5" bottom="0.23622047244094499" header="0.511811023622047" footer="0.31496062992126"/>
  <pageSetup scale="79" fitToHeight="2" orientation="portrait" r:id="rId1"/>
  <headerFooter alignWithMargins="0"/>
  <rowBreaks count="1" manualBreakCount="1">
    <brk id="42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/>
  <dimension ref="A1:AS444"/>
  <sheetViews>
    <sheetView showGridLines="0" view="pageBreakPreview" topLeftCell="I1" zoomScaleNormal="55" zoomScaleSheetLayoutView="100" workbookViewId="0">
      <pane ySplit="6" topLeftCell="A386" activePane="bottomLeft" state="frozen"/>
      <selection pane="bottomLeft" activeCell="A2" sqref="A2:Y2"/>
    </sheetView>
  </sheetViews>
  <sheetFormatPr defaultColWidth="13.7109375" defaultRowHeight="14.25"/>
  <cols>
    <col min="1" max="1" width="13.28515625" style="38" customWidth="1"/>
    <col min="2" max="25" width="14.7109375" style="38" customWidth="1"/>
    <col min="26" max="16384" width="13.7109375" style="1"/>
  </cols>
  <sheetData>
    <row r="1" spans="1:25" ht="12.75" customHeight="1">
      <c r="A1" s="330" t="s">
        <v>160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</row>
    <row r="2" spans="1:25" ht="14.45" customHeight="1">
      <c r="A2" s="330" t="s">
        <v>358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</row>
    <row r="3" spans="1:25" ht="14.45" customHeight="1">
      <c r="A3" s="330" t="s">
        <v>281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5" ht="5.0999999999999996" customHeight="1" thickBot="1">
      <c r="F4" s="51"/>
      <c r="G4" s="51"/>
      <c r="H4" s="51"/>
      <c r="I4" s="51"/>
      <c r="J4" s="51"/>
      <c r="K4" s="51"/>
      <c r="Y4" s="51"/>
    </row>
    <row r="5" spans="1:25" s="44" customFormat="1" ht="35.25" customHeight="1" thickBot="1">
      <c r="A5" s="332" t="s">
        <v>22</v>
      </c>
      <c r="B5" s="329" t="s">
        <v>62</v>
      </c>
      <c r="C5" s="329"/>
      <c r="D5" s="329" t="s">
        <v>67</v>
      </c>
      <c r="E5" s="329"/>
      <c r="F5" s="329" t="s">
        <v>72</v>
      </c>
      <c r="G5" s="329"/>
      <c r="H5" s="329" t="s">
        <v>16</v>
      </c>
      <c r="I5" s="329"/>
      <c r="J5" s="329" t="s">
        <v>155</v>
      </c>
      <c r="K5" s="329"/>
      <c r="L5" s="329" t="s">
        <v>17</v>
      </c>
      <c r="M5" s="329"/>
      <c r="N5" s="329" t="s">
        <v>18</v>
      </c>
      <c r="O5" s="329"/>
      <c r="P5" s="329" t="s">
        <v>19</v>
      </c>
      <c r="Q5" s="329"/>
      <c r="R5" s="329" t="s">
        <v>102</v>
      </c>
      <c r="S5" s="329"/>
      <c r="T5" s="329" t="s">
        <v>20</v>
      </c>
      <c r="U5" s="329"/>
      <c r="V5" s="329" t="s">
        <v>120</v>
      </c>
      <c r="W5" s="329"/>
      <c r="X5" s="329" t="s">
        <v>124</v>
      </c>
      <c r="Y5" s="331"/>
    </row>
    <row r="6" spans="1:25" s="44" customFormat="1" ht="15" thickBot="1">
      <c r="A6" s="332"/>
      <c r="B6" s="230" t="s">
        <v>152</v>
      </c>
      <c r="C6" s="230" t="s">
        <v>172</v>
      </c>
      <c r="D6" s="230" t="s">
        <v>152</v>
      </c>
      <c r="E6" s="230" t="s">
        <v>172</v>
      </c>
      <c r="F6" s="230" t="s">
        <v>152</v>
      </c>
      <c r="G6" s="230" t="s">
        <v>172</v>
      </c>
      <c r="H6" s="230" t="s">
        <v>152</v>
      </c>
      <c r="I6" s="230" t="s">
        <v>172</v>
      </c>
      <c r="J6" s="230" t="s">
        <v>152</v>
      </c>
      <c r="K6" s="230" t="s">
        <v>172</v>
      </c>
      <c r="L6" s="230" t="s">
        <v>152</v>
      </c>
      <c r="M6" s="230" t="s">
        <v>172</v>
      </c>
      <c r="N6" s="230" t="s">
        <v>152</v>
      </c>
      <c r="O6" s="230" t="s">
        <v>172</v>
      </c>
      <c r="P6" s="230" t="s">
        <v>152</v>
      </c>
      <c r="Q6" s="230" t="s">
        <v>172</v>
      </c>
      <c r="R6" s="230" t="s">
        <v>152</v>
      </c>
      <c r="S6" s="230" t="s">
        <v>172</v>
      </c>
      <c r="T6" s="230" t="s">
        <v>152</v>
      </c>
      <c r="U6" s="230" t="s">
        <v>172</v>
      </c>
      <c r="V6" s="230" t="s">
        <v>152</v>
      </c>
      <c r="W6" s="230" t="s">
        <v>172</v>
      </c>
      <c r="X6" s="230" t="s">
        <v>152</v>
      </c>
      <c r="Y6" s="232" t="s">
        <v>172</v>
      </c>
    </row>
    <row r="7" spans="1:25" ht="5.25" customHeight="1">
      <c r="A7" s="237"/>
      <c r="B7" s="237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</row>
    <row r="8" spans="1:25" s="3" customFormat="1" ht="14.25" customHeight="1">
      <c r="A8" s="51" t="s">
        <v>27</v>
      </c>
      <c r="B8" s="52">
        <v>20.702328843621967</v>
      </c>
      <c r="C8" s="52" t="s">
        <v>2</v>
      </c>
      <c r="D8" s="52">
        <v>12.722032699961174</v>
      </c>
      <c r="E8" s="52" t="s">
        <v>2</v>
      </c>
      <c r="F8" s="52">
        <v>48.352444550247085</v>
      </c>
      <c r="G8" s="52" t="s">
        <v>2</v>
      </c>
      <c r="H8" s="52">
        <v>22.064941647715695</v>
      </c>
      <c r="I8" s="52" t="s">
        <v>2</v>
      </c>
      <c r="J8" s="52">
        <v>35.054434035608566</v>
      </c>
      <c r="K8" s="52" t="s">
        <v>2</v>
      </c>
      <c r="L8" s="52">
        <v>22.061375396070119</v>
      </c>
      <c r="M8" s="52" t="s">
        <v>2</v>
      </c>
      <c r="N8" s="52">
        <v>16.809434335808323</v>
      </c>
      <c r="O8" s="52" t="s">
        <v>2</v>
      </c>
      <c r="P8" s="52">
        <v>30.571309645642579</v>
      </c>
      <c r="Q8" s="52" t="s">
        <v>2</v>
      </c>
      <c r="R8" s="52">
        <v>37.736285663036789</v>
      </c>
      <c r="S8" s="52" t="s">
        <v>2</v>
      </c>
      <c r="T8" s="52">
        <v>15.558356725696964</v>
      </c>
      <c r="U8" s="52" t="s">
        <v>2</v>
      </c>
      <c r="V8" s="53">
        <v>24.114452471074785</v>
      </c>
      <c r="W8" s="52" t="s">
        <v>2</v>
      </c>
      <c r="X8" s="53">
        <v>29.535325497573307</v>
      </c>
      <c r="Y8" s="53" t="s">
        <v>2</v>
      </c>
    </row>
    <row r="9" spans="1:25" s="3" customFormat="1" ht="14.25" customHeight="1">
      <c r="A9" s="51" t="s">
        <v>28</v>
      </c>
      <c r="B9" s="52">
        <v>21.322473019081919</v>
      </c>
      <c r="C9" s="52">
        <v>2.99552857141967</v>
      </c>
      <c r="D9" s="52">
        <v>13.19794610116444</v>
      </c>
      <c r="E9" s="52">
        <v>3.7408597543120425</v>
      </c>
      <c r="F9" s="52">
        <v>50.20952088410997</v>
      </c>
      <c r="G9" s="52">
        <v>3.8407082643630241</v>
      </c>
      <c r="H9" s="52">
        <v>24.807003921958543</v>
      </c>
      <c r="I9" s="52">
        <v>12.427235557755134</v>
      </c>
      <c r="J9" s="52">
        <v>37.209173009720281</v>
      </c>
      <c r="K9" s="52">
        <v>6.1468371502529928</v>
      </c>
      <c r="L9" s="52">
        <v>24.863882332667707</v>
      </c>
      <c r="M9" s="52">
        <v>12.70322854438537</v>
      </c>
      <c r="N9" s="52">
        <v>19.993042727301901</v>
      </c>
      <c r="O9" s="52">
        <v>18.939414187850989</v>
      </c>
      <c r="P9" s="52">
        <v>42.283253918663938</v>
      </c>
      <c r="Q9" s="52">
        <v>38.310247119853756</v>
      </c>
      <c r="R9" s="52">
        <v>38.792028532504958</v>
      </c>
      <c r="S9" s="52">
        <v>2.7976862346637432</v>
      </c>
      <c r="T9" s="52">
        <v>16.576620757022134</v>
      </c>
      <c r="U9" s="52">
        <v>6.5448045013864142</v>
      </c>
      <c r="V9" s="53">
        <v>25.754005983011744</v>
      </c>
      <c r="W9" s="52">
        <v>6.7990493000145813</v>
      </c>
      <c r="X9" s="53">
        <v>31.170871357643804</v>
      </c>
      <c r="Y9" s="53">
        <v>5.5375921291433761</v>
      </c>
    </row>
    <row r="10" spans="1:25" s="3" customFormat="1" ht="14.25" customHeight="1">
      <c r="A10" s="51" t="s">
        <v>29</v>
      </c>
      <c r="B10" s="52">
        <v>21.743073213389874</v>
      </c>
      <c r="C10" s="52">
        <v>1.9725676000694303</v>
      </c>
      <c r="D10" s="52">
        <v>16.181784953120847</v>
      </c>
      <c r="E10" s="52">
        <v>22.608357611743422</v>
      </c>
      <c r="F10" s="52">
        <v>52.599420506321266</v>
      </c>
      <c r="G10" s="52">
        <v>4.7598534702760764</v>
      </c>
      <c r="H10" s="52">
        <v>25.443400844134558</v>
      </c>
      <c r="I10" s="52">
        <v>2.5653921133647728</v>
      </c>
      <c r="J10" s="52">
        <v>38.950138890712282</v>
      </c>
      <c r="K10" s="52">
        <v>4.6788620659137026</v>
      </c>
      <c r="L10" s="52">
        <v>25.723778802494792</v>
      </c>
      <c r="M10" s="52">
        <v>3.4584159397235359</v>
      </c>
      <c r="N10" s="52">
        <v>19.816681098615152</v>
      </c>
      <c r="O10" s="52">
        <v>-0.88211499916375224</v>
      </c>
      <c r="P10" s="52">
        <v>51.620101755811291</v>
      </c>
      <c r="Q10" s="52">
        <v>22.081668206301508</v>
      </c>
      <c r="R10" s="52">
        <v>39.918255277681219</v>
      </c>
      <c r="S10" s="52">
        <v>2.9032427222323909</v>
      </c>
      <c r="T10" s="52">
        <v>18.50894292577166</v>
      </c>
      <c r="U10" s="52">
        <v>11.656912449607448</v>
      </c>
      <c r="V10" s="53">
        <v>28.228464591292756</v>
      </c>
      <c r="W10" s="52">
        <v>9.6080532477675682</v>
      </c>
      <c r="X10" s="53">
        <v>33.528928817602534</v>
      </c>
      <c r="Y10" s="53">
        <v>7.5649391796051901</v>
      </c>
    </row>
    <row r="11" spans="1:25" s="3" customFormat="1" ht="14.25" customHeight="1">
      <c r="A11" s="51" t="s">
        <v>30</v>
      </c>
      <c r="B11" s="52">
        <v>23.861003446229745</v>
      </c>
      <c r="C11" s="52">
        <v>9.7407124193262806</v>
      </c>
      <c r="D11" s="52">
        <v>16.514312952465222</v>
      </c>
      <c r="E11" s="52">
        <v>2.0549525303155347</v>
      </c>
      <c r="F11" s="52">
        <v>54.109649945199187</v>
      </c>
      <c r="G11" s="52">
        <v>2.8711902609201312</v>
      </c>
      <c r="H11" s="52">
        <v>34.178994837507275</v>
      </c>
      <c r="I11" s="52">
        <v>34.333436976002865</v>
      </c>
      <c r="J11" s="52">
        <v>40.044263220176255</v>
      </c>
      <c r="K11" s="52">
        <v>2.8090383259836482</v>
      </c>
      <c r="L11" s="52">
        <v>28.57075217659834</v>
      </c>
      <c r="M11" s="52">
        <v>11.067477278367189</v>
      </c>
      <c r="N11" s="52">
        <v>22.535423448730686</v>
      </c>
      <c r="O11" s="52">
        <v>13.71946360031766</v>
      </c>
      <c r="P11" s="52">
        <v>51.620101755811291</v>
      </c>
      <c r="Q11" s="52">
        <v>0</v>
      </c>
      <c r="R11" s="52">
        <v>40.912703214474391</v>
      </c>
      <c r="S11" s="52">
        <v>2.491210925616727</v>
      </c>
      <c r="T11" s="52">
        <v>19.985326874970553</v>
      </c>
      <c r="U11" s="52">
        <v>7.9765978809259508</v>
      </c>
      <c r="V11" s="53">
        <v>30.350480906268992</v>
      </c>
      <c r="W11" s="52">
        <v>7.5172927245599652</v>
      </c>
      <c r="X11" s="53">
        <v>34.89601648080307</v>
      </c>
      <c r="Y11" s="53">
        <v>4.0773377242007802</v>
      </c>
    </row>
    <row r="12" spans="1:25" s="3" customFormat="1" ht="14.25" customHeight="1">
      <c r="A12" s="51" t="s">
        <v>31</v>
      </c>
      <c r="B12" s="52">
        <v>36.493892891266164</v>
      </c>
      <c r="C12" s="52">
        <v>52.943663804853649</v>
      </c>
      <c r="D12" s="52">
        <v>21.878129393441931</v>
      </c>
      <c r="E12" s="52">
        <v>32.479803770316764</v>
      </c>
      <c r="F12" s="52">
        <v>64.127992640393657</v>
      </c>
      <c r="G12" s="52">
        <v>18.514890976638696</v>
      </c>
      <c r="H12" s="52">
        <v>41.676835029712741</v>
      </c>
      <c r="I12" s="52">
        <v>21.936982722433672</v>
      </c>
      <c r="J12" s="52">
        <v>50.953769607853047</v>
      </c>
      <c r="K12" s="52">
        <v>27.243618711855966</v>
      </c>
      <c r="L12" s="52">
        <v>37.375838747992468</v>
      </c>
      <c r="M12" s="52">
        <v>30.818532592243674</v>
      </c>
      <c r="N12" s="52">
        <v>37.532248894734963</v>
      </c>
      <c r="O12" s="52">
        <v>66.547786333471251</v>
      </c>
      <c r="P12" s="52">
        <v>63.228323418205768</v>
      </c>
      <c r="Q12" s="52">
        <v>22.487793064235184</v>
      </c>
      <c r="R12" s="52">
        <v>58.43550111110082</v>
      </c>
      <c r="S12" s="52">
        <v>42.82972407070644</v>
      </c>
      <c r="T12" s="52">
        <v>23.486543768118267</v>
      </c>
      <c r="U12" s="52">
        <v>17.518937343639873</v>
      </c>
      <c r="V12" s="53">
        <v>46.572680692601963</v>
      </c>
      <c r="W12" s="52">
        <v>53.449564230734239</v>
      </c>
      <c r="X12" s="53">
        <v>47.629900574558008</v>
      </c>
      <c r="Y12" s="53">
        <v>36.490939018097038</v>
      </c>
    </row>
    <row r="13" spans="1:25" s="4" customFormat="1" ht="14.25" customHeight="1">
      <c r="A13" s="51" t="s">
        <v>32</v>
      </c>
      <c r="B13" s="52">
        <v>48.519190798739011</v>
      </c>
      <c r="C13" s="52">
        <v>32.951535050816069</v>
      </c>
      <c r="D13" s="52">
        <v>31.028208316852623</v>
      </c>
      <c r="E13" s="52">
        <v>41.822949114440597</v>
      </c>
      <c r="F13" s="52">
        <v>85.761024868335625</v>
      </c>
      <c r="G13" s="52">
        <v>33.73414843850189</v>
      </c>
      <c r="H13" s="52">
        <v>50.850020990089178</v>
      </c>
      <c r="I13" s="52">
        <v>22.010274901720784</v>
      </c>
      <c r="J13" s="52">
        <v>66.149183389869648</v>
      </c>
      <c r="K13" s="52">
        <v>29.821961945038634</v>
      </c>
      <c r="L13" s="52">
        <v>47.586547380555068</v>
      </c>
      <c r="M13" s="52">
        <v>27.319008682075506</v>
      </c>
      <c r="N13" s="52">
        <v>44.341133491327277</v>
      </c>
      <c r="O13" s="52">
        <v>18.141424500537905</v>
      </c>
      <c r="P13" s="52">
        <v>87.681336789389675</v>
      </c>
      <c r="Q13" s="52">
        <v>38.674144828175194</v>
      </c>
      <c r="R13" s="52">
        <v>74.363670106865158</v>
      </c>
      <c r="S13" s="52">
        <v>27.257692144165624</v>
      </c>
      <c r="T13" s="52">
        <v>30.368298168939027</v>
      </c>
      <c r="U13" s="52">
        <v>29.300839104995834</v>
      </c>
      <c r="V13" s="53">
        <v>67.241595696196285</v>
      </c>
      <c r="W13" s="52">
        <v>44.379912635944876</v>
      </c>
      <c r="X13" s="53">
        <v>57.390152416690086</v>
      </c>
      <c r="Y13" s="53">
        <v>20.49185852667015</v>
      </c>
    </row>
    <row r="14" spans="1:25" s="4" customFormat="1" ht="14.25" customHeight="1">
      <c r="A14" s="51" t="s">
        <v>33</v>
      </c>
      <c r="B14" s="52">
        <v>48.670841141484345</v>
      </c>
      <c r="C14" s="52">
        <v>0.31255744427889365</v>
      </c>
      <c r="D14" s="52">
        <v>31.777023857801666</v>
      </c>
      <c r="E14" s="52">
        <v>2.4133379965169732</v>
      </c>
      <c r="F14" s="52">
        <v>91.466615862586977</v>
      </c>
      <c r="G14" s="52">
        <v>6.6528950686058685</v>
      </c>
      <c r="H14" s="52">
        <v>55.568366131922126</v>
      </c>
      <c r="I14" s="52">
        <v>9.2789443346593004</v>
      </c>
      <c r="J14" s="52">
        <v>66.655289260770957</v>
      </c>
      <c r="K14" s="52">
        <v>0.76509768521015875</v>
      </c>
      <c r="L14" s="52">
        <v>50.601975711899158</v>
      </c>
      <c r="M14" s="52">
        <v>6.3367243419224506</v>
      </c>
      <c r="N14" s="52">
        <v>55.286165840110698</v>
      </c>
      <c r="O14" s="52">
        <v>24.683699957566873</v>
      </c>
      <c r="P14" s="52">
        <v>87.680937055782536</v>
      </c>
      <c r="Q14" s="52">
        <v>-4.5589360493369924E-4</v>
      </c>
      <c r="R14" s="52">
        <v>71.575516515739437</v>
      </c>
      <c r="S14" s="52">
        <v>-3.749349093608445</v>
      </c>
      <c r="T14" s="52">
        <v>33.999305068259261</v>
      </c>
      <c r="U14" s="52">
        <v>11.956570233606501</v>
      </c>
      <c r="V14" s="53">
        <v>68.498842715259528</v>
      </c>
      <c r="W14" s="52">
        <v>1.8697459601399125</v>
      </c>
      <c r="X14" s="53">
        <v>60.151520381929579</v>
      </c>
      <c r="Y14" s="53">
        <v>4.8115710604672346</v>
      </c>
    </row>
    <row r="15" spans="1:25" s="3" customFormat="1" ht="14.25" customHeight="1">
      <c r="A15" s="51" t="s">
        <v>34</v>
      </c>
      <c r="B15" s="52">
        <v>51.097513596888426</v>
      </c>
      <c r="C15" s="52">
        <v>4.9858855908198274</v>
      </c>
      <c r="D15" s="52">
        <v>36.247151027050471</v>
      </c>
      <c r="E15" s="52">
        <v>14.067167489479449</v>
      </c>
      <c r="F15" s="52">
        <v>97.799365944415086</v>
      </c>
      <c r="G15" s="52">
        <v>6.9235644307011235</v>
      </c>
      <c r="H15" s="52">
        <v>59.788892657834104</v>
      </c>
      <c r="I15" s="52">
        <v>7.5951963674660394</v>
      </c>
      <c r="J15" s="52">
        <v>70.676460982774501</v>
      </c>
      <c r="K15" s="52">
        <v>6.0327871450257975</v>
      </c>
      <c r="L15" s="52">
        <v>53.023846641897386</v>
      </c>
      <c r="M15" s="52">
        <v>4.7861193084378417</v>
      </c>
      <c r="N15" s="52">
        <v>56.952716510357298</v>
      </c>
      <c r="O15" s="52">
        <v>3.0144081162479575</v>
      </c>
      <c r="P15" s="52">
        <v>87.681336789389675</v>
      </c>
      <c r="Q15" s="52">
        <v>4.5589568333781472E-4</v>
      </c>
      <c r="R15" s="52">
        <v>75.19065089581423</v>
      </c>
      <c r="S15" s="52">
        <v>5.0507974738538186</v>
      </c>
      <c r="T15" s="52">
        <v>38.544700553555366</v>
      </c>
      <c r="U15" s="52">
        <v>13.36908350382593</v>
      </c>
      <c r="V15" s="53">
        <v>69.1599232298895</v>
      </c>
      <c r="W15" s="52">
        <v>0.96509734825447335</v>
      </c>
      <c r="X15" s="53">
        <v>62.539231587356475</v>
      </c>
      <c r="Y15" s="53">
        <v>3.9694943540349747</v>
      </c>
    </row>
    <row r="16" spans="1:25" s="3" customFormat="1" ht="14.25" customHeight="1">
      <c r="A16" s="51" t="s">
        <v>35</v>
      </c>
      <c r="B16" s="52">
        <v>54.676947425154999</v>
      </c>
      <c r="C16" s="52">
        <v>7.0051037248210601</v>
      </c>
      <c r="D16" s="52">
        <v>45.754458819201361</v>
      </c>
      <c r="E16" s="52">
        <v>26.229117386510701</v>
      </c>
      <c r="F16" s="52">
        <v>104.23958298085917</v>
      </c>
      <c r="G16" s="52">
        <v>6.5851316869522725</v>
      </c>
      <c r="H16" s="52">
        <v>62.520653128770626</v>
      </c>
      <c r="I16" s="52">
        <v>4.5690099774386539</v>
      </c>
      <c r="J16" s="52">
        <v>72.232954787134815</v>
      </c>
      <c r="K16" s="52">
        <v>2.2022803387674816</v>
      </c>
      <c r="L16" s="52">
        <v>57.051188972551181</v>
      </c>
      <c r="M16" s="52">
        <v>7.5953416919238403</v>
      </c>
      <c r="N16" s="52">
        <v>67.187195525635758</v>
      </c>
      <c r="O16" s="52">
        <v>17.970133195345017</v>
      </c>
      <c r="P16" s="52">
        <v>87.681336789389675</v>
      </c>
      <c r="Q16" s="52">
        <v>0</v>
      </c>
      <c r="R16" s="52">
        <v>77.979846582309321</v>
      </c>
      <c r="S16" s="52">
        <v>3.7094979937863037</v>
      </c>
      <c r="T16" s="52">
        <v>43.213113935985461</v>
      </c>
      <c r="U16" s="52">
        <v>12.111686730951865</v>
      </c>
      <c r="V16" s="53">
        <v>69.526687757469489</v>
      </c>
      <c r="W16" s="52">
        <v>0.53031367076687985</v>
      </c>
      <c r="X16" s="53">
        <v>64.154699771623825</v>
      </c>
      <c r="Y16" s="53">
        <v>2.5831276516578461</v>
      </c>
    </row>
    <row r="17" spans="1:45" s="3" customFormat="1" ht="14.25" customHeight="1">
      <c r="A17" s="51" t="s">
        <v>36</v>
      </c>
      <c r="B17" s="52">
        <v>61.93214656380966</v>
      </c>
      <c r="C17" s="52">
        <v>13.269210298519308</v>
      </c>
      <c r="D17" s="52">
        <v>49.829140276149523</v>
      </c>
      <c r="E17" s="52">
        <v>8.9055396175687704</v>
      </c>
      <c r="F17" s="52">
        <v>112.26329548144923</v>
      </c>
      <c r="G17" s="52">
        <v>7.6973758635080269</v>
      </c>
      <c r="H17" s="52">
        <v>64.525589610359091</v>
      </c>
      <c r="I17" s="52">
        <v>3.2068386705094154</v>
      </c>
      <c r="J17" s="52">
        <v>76.369933798038986</v>
      </c>
      <c r="K17" s="52">
        <v>5.7272736842837846</v>
      </c>
      <c r="L17" s="52">
        <v>62.060254375838078</v>
      </c>
      <c r="M17" s="52">
        <v>8.7799491886082937</v>
      </c>
      <c r="N17" s="52">
        <v>60.75291049524391</v>
      </c>
      <c r="O17" s="52">
        <v>-9.5766536764238079</v>
      </c>
      <c r="P17" s="52">
        <v>87.681336789389675</v>
      </c>
      <c r="Q17" s="52">
        <v>0</v>
      </c>
      <c r="R17" s="52">
        <v>82.16423434906288</v>
      </c>
      <c r="S17" s="52">
        <v>5.3659861491736294</v>
      </c>
      <c r="T17" s="52">
        <v>48.597595043729982</v>
      </c>
      <c r="U17" s="52">
        <v>12.460294149875239</v>
      </c>
      <c r="V17" s="53">
        <v>78.018692119263278</v>
      </c>
      <c r="W17" s="52">
        <v>12.214021170426692</v>
      </c>
      <c r="X17" s="53">
        <v>66.326816768268728</v>
      </c>
      <c r="Y17" s="53">
        <v>3.3857488295902627</v>
      </c>
    </row>
    <row r="18" spans="1:45" s="3" customFormat="1" ht="14.25" customHeight="1">
      <c r="A18" s="51" t="s">
        <v>37</v>
      </c>
      <c r="B18" s="52">
        <v>61.816309629517811</v>
      </c>
      <c r="C18" s="52">
        <v>-0.18703846179867201</v>
      </c>
      <c r="D18" s="52">
        <v>52.362458416525961</v>
      </c>
      <c r="E18" s="52">
        <v>5.0840093293541999</v>
      </c>
      <c r="F18" s="52">
        <v>117.06929787194416</v>
      </c>
      <c r="G18" s="52">
        <v>4.2810095409047344</v>
      </c>
      <c r="H18" s="52">
        <v>74.507607534015165</v>
      </c>
      <c r="I18" s="52">
        <v>15.469859297579426</v>
      </c>
      <c r="J18" s="52">
        <v>77.963700808605523</v>
      </c>
      <c r="K18" s="52">
        <v>2.0869037477251995</v>
      </c>
      <c r="L18" s="52">
        <v>65.327744729464996</v>
      </c>
      <c r="M18" s="52">
        <v>5.2650289408079587</v>
      </c>
      <c r="N18" s="52">
        <v>69.468313133547838</v>
      </c>
      <c r="O18" s="52">
        <v>14.345654499937455</v>
      </c>
      <c r="P18" s="52">
        <v>87.858592643321998</v>
      </c>
      <c r="Q18" s="52">
        <v>0.20215916000241307</v>
      </c>
      <c r="R18" s="52">
        <v>84.1003492718107</v>
      </c>
      <c r="S18" s="52">
        <v>2.3563962326022647</v>
      </c>
      <c r="T18" s="52">
        <v>53.398431895179051</v>
      </c>
      <c r="U18" s="52">
        <v>9.8787539735846863</v>
      </c>
      <c r="V18" s="53">
        <v>75.659877733170305</v>
      </c>
      <c r="W18" s="52">
        <v>-3.0233964733568874</v>
      </c>
      <c r="X18" s="53">
        <v>70.232918935636732</v>
      </c>
      <c r="Y18" s="53">
        <v>5.8891747828258678</v>
      </c>
    </row>
    <row r="19" spans="1:45" s="3" customFormat="1" ht="14.25" customHeight="1">
      <c r="A19" s="51" t="s">
        <v>38</v>
      </c>
      <c r="B19" s="52">
        <v>65.234636977228291</v>
      </c>
      <c r="C19" s="52">
        <v>5.5298146527954506</v>
      </c>
      <c r="D19" s="52">
        <v>55.008098477486236</v>
      </c>
      <c r="E19" s="52">
        <v>5.0525512761740332</v>
      </c>
      <c r="F19" s="52">
        <v>122.77551903114188</v>
      </c>
      <c r="G19" s="52">
        <v>4.8742251494832134</v>
      </c>
      <c r="H19" s="52">
        <v>81.889049175101619</v>
      </c>
      <c r="I19" s="52">
        <v>9.9069637120163598</v>
      </c>
      <c r="J19" s="52">
        <v>79.782447349878652</v>
      </c>
      <c r="K19" s="52">
        <v>2.3328119655812607</v>
      </c>
      <c r="L19" s="52">
        <v>69.385185929648244</v>
      </c>
      <c r="M19" s="52">
        <v>6.2109004634798071</v>
      </c>
      <c r="N19" s="52">
        <v>76.006207748782444</v>
      </c>
      <c r="O19" s="52">
        <v>9.4113334847586891</v>
      </c>
      <c r="P19" s="52">
        <v>89.441957605985039</v>
      </c>
      <c r="Q19" s="52">
        <v>1.8021742837277088</v>
      </c>
      <c r="R19" s="52">
        <v>86.852437248350896</v>
      </c>
      <c r="S19" s="52">
        <v>3.272385906086428</v>
      </c>
      <c r="T19" s="52">
        <v>58.180413473534131</v>
      </c>
      <c r="U19" s="52">
        <v>8.9552846565646327</v>
      </c>
      <c r="V19" s="53">
        <v>74.853778856050567</v>
      </c>
      <c r="W19" s="52">
        <v>-1.0654245040715105</v>
      </c>
      <c r="X19" s="53">
        <v>73.791759948003175</v>
      </c>
      <c r="Y19" s="53">
        <v>5.0671979269832912</v>
      </c>
    </row>
    <row r="20" spans="1:45" s="3" customFormat="1" ht="14.25" customHeight="1">
      <c r="A20" s="51" t="s">
        <v>39</v>
      </c>
      <c r="B20" s="52">
        <v>71.568920227717157</v>
      </c>
      <c r="C20" s="52">
        <v>9.7099999999999973</v>
      </c>
      <c r="D20" s="52">
        <v>57.285433754454161</v>
      </c>
      <c r="E20" s="52">
        <v>4.1399999999999881</v>
      </c>
      <c r="F20" s="52">
        <v>124.13832729238756</v>
      </c>
      <c r="G20" s="52">
        <v>1.110000000000011</v>
      </c>
      <c r="H20" s="52">
        <v>90.282676715549528</v>
      </c>
      <c r="I20" s="52">
        <v>10.249999999999982</v>
      </c>
      <c r="J20" s="52">
        <v>83.053527691223664</v>
      </c>
      <c r="K20" s="52">
        <v>4.0999999999999925</v>
      </c>
      <c r="L20" s="52">
        <v>73.520543011055267</v>
      </c>
      <c r="M20" s="52">
        <v>5.9599999999999875</v>
      </c>
      <c r="N20" s="52">
        <v>85.879414135349279</v>
      </c>
      <c r="O20" s="52">
        <v>12.989999999999991</v>
      </c>
      <c r="P20" s="52">
        <v>88.332877331670829</v>
      </c>
      <c r="Q20" s="52">
        <v>-1.2399999999999967</v>
      </c>
      <c r="R20" s="52">
        <v>88.511318799794395</v>
      </c>
      <c r="S20" s="52">
        <v>1.9099999999999895</v>
      </c>
      <c r="T20" s="52">
        <v>62.637033145606843</v>
      </c>
      <c r="U20" s="52">
        <v>7.66</v>
      </c>
      <c r="V20" s="53">
        <v>79.127929628731053</v>
      </c>
      <c r="W20" s="52">
        <v>5.7099999999999929</v>
      </c>
      <c r="X20" s="53">
        <v>76.440884130136496</v>
      </c>
      <c r="Y20" s="53">
        <v>3.5900000000000043</v>
      </c>
    </row>
    <row r="21" spans="1:45" s="3" customFormat="1" ht="14.25" customHeight="1">
      <c r="A21" s="51" t="s">
        <v>143</v>
      </c>
      <c r="B21" s="52">
        <v>76.109250961332251</v>
      </c>
      <c r="C21" s="52">
        <v>6.343997812414548</v>
      </c>
      <c r="D21" s="52">
        <v>64.13944282474894</v>
      </c>
      <c r="E21" s="52">
        <v>11.964662953716143</v>
      </c>
      <c r="F21" s="52">
        <v>122.64046596020762</v>
      </c>
      <c r="G21" s="52">
        <v>-1.206606666007326</v>
      </c>
      <c r="H21" s="52">
        <v>89.521108558221073</v>
      </c>
      <c r="I21" s="52">
        <v>-0.84353741496600021</v>
      </c>
      <c r="J21" s="52">
        <v>85.127871322320516</v>
      </c>
      <c r="K21" s="52">
        <v>2.4975984630163373</v>
      </c>
      <c r="L21" s="52">
        <v>76.691446008040202</v>
      </c>
      <c r="M21" s="52">
        <v>4.312948282370721</v>
      </c>
      <c r="N21" s="52">
        <v>88.661241338954724</v>
      </c>
      <c r="O21" s="52">
        <v>3.2392247101513449</v>
      </c>
      <c r="P21" s="52">
        <v>88.395486701995026</v>
      </c>
      <c r="Q21" s="52">
        <v>7.0878898339410412E-2</v>
      </c>
      <c r="R21" s="52">
        <v>89.605659509123626</v>
      </c>
      <c r="S21" s="52">
        <v>1.2363850456285075</v>
      </c>
      <c r="T21" s="52">
        <v>72.812787462127972</v>
      </c>
      <c r="U21" s="52">
        <v>16.245587962102938</v>
      </c>
      <c r="V21" s="53">
        <v>82.196934561829124</v>
      </c>
      <c r="W21" s="52">
        <v>3.8785356163087759</v>
      </c>
      <c r="X21" s="53">
        <v>78.551328464649387</v>
      </c>
      <c r="Y21" s="53">
        <v>2.760884255236995</v>
      </c>
    </row>
    <row r="22" spans="1:45" s="3" customFormat="1" ht="14.25" customHeight="1">
      <c r="A22" s="51" t="s">
        <v>144</v>
      </c>
      <c r="B22" s="52">
        <v>77.348709063899577</v>
      </c>
      <c r="C22" s="52">
        <v>1.6285248992885748</v>
      </c>
      <c r="D22" s="52">
        <v>68.738119857466799</v>
      </c>
      <c r="E22" s="52">
        <v>7.1698113207547376</v>
      </c>
      <c r="F22" s="52">
        <v>120.56555968858133</v>
      </c>
      <c r="G22" s="52">
        <v>-1.6918610471518658</v>
      </c>
      <c r="H22" s="52">
        <v>93.664694446481221</v>
      </c>
      <c r="I22" s="52">
        <v>4.6286132455177542</v>
      </c>
      <c r="J22" s="52">
        <v>88.454799376810456</v>
      </c>
      <c r="K22" s="52">
        <v>3.9081537019681312</v>
      </c>
      <c r="L22" s="52">
        <v>80.826803089447239</v>
      </c>
      <c r="M22" s="52">
        <v>5.3922012123405416</v>
      </c>
      <c r="N22" s="52">
        <v>98.260825377625935</v>
      </c>
      <c r="O22" s="52">
        <v>10.827261037291036</v>
      </c>
      <c r="P22" s="52">
        <v>89.951776764339158</v>
      </c>
      <c r="Q22" s="52">
        <v>1.7605990083982448</v>
      </c>
      <c r="R22" s="52">
        <v>93.522704429024259</v>
      </c>
      <c r="S22" s="52">
        <v>4.371425802074258</v>
      </c>
      <c r="T22" s="52">
        <v>77.769758690073061</v>
      </c>
      <c r="U22" s="52">
        <v>6.8078306032760327</v>
      </c>
      <c r="V22" s="53">
        <v>85.909681993089237</v>
      </c>
      <c r="W22" s="52">
        <v>4.5168928148620502</v>
      </c>
      <c r="X22" s="53">
        <v>82.617254437784354</v>
      </c>
      <c r="Y22" s="53">
        <v>5.1761390324095657</v>
      </c>
    </row>
    <row r="23" spans="1:45" s="3" customFormat="1" ht="14.25" customHeight="1">
      <c r="A23" s="51" t="s">
        <v>145</v>
      </c>
      <c r="B23" s="52">
        <v>82.802324715195866</v>
      </c>
      <c r="C23" s="52">
        <v>7.0506873576790197</v>
      </c>
      <c r="D23" s="52">
        <v>73.952887593132488</v>
      </c>
      <c r="E23" s="52">
        <v>7.5864276568501809</v>
      </c>
      <c r="F23" s="52">
        <v>118.83442487024223</v>
      </c>
      <c r="G23" s="52">
        <v>-1.435845213849285</v>
      </c>
      <c r="H23" s="52">
        <v>91.289912020403278</v>
      </c>
      <c r="I23" s="52">
        <v>-2.5354082881622664</v>
      </c>
      <c r="J23" s="52">
        <v>90.624881944727164</v>
      </c>
      <c r="K23" s="52">
        <v>2.4533237124560348</v>
      </c>
      <c r="L23" s="52">
        <v>82.936112741708541</v>
      </c>
      <c r="M23" s="52">
        <v>2.6096660657567217</v>
      </c>
      <c r="N23" s="52">
        <v>88.266009058661041</v>
      </c>
      <c r="O23" s="52">
        <v>-10.171720297029708</v>
      </c>
      <c r="P23" s="52">
        <v>91.418624869077306</v>
      </c>
      <c r="Q23" s="52">
        <v>1.6307049816048469</v>
      </c>
      <c r="R23" s="52">
        <v>94.617045138353475</v>
      </c>
      <c r="S23" s="52">
        <v>1.1701337295690895</v>
      </c>
      <c r="T23" s="52">
        <v>81.347854118695423</v>
      </c>
      <c r="U23" s="52">
        <v>4.6008827710032341</v>
      </c>
      <c r="V23" s="53">
        <v>88.447225096309353</v>
      </c>
      <c r="W23" s="52">
        <v>2.9537335540646525</v>
      </c>
      <c r="X23" s="53">
        <v>85.096657572037259</v>
      </c>
      <c r="Y23" s="53">
        <v>3.0010718113612</v>
      </c>
    </row>
    <row r="24" spans="1:45" s="5" customFormat="1" ht="14.25" customHeight="1">
      <c r="A24" s="51" t="s">
        <v>146</v>
      </c>
      <c r="B24" s="52">
        <v>89.338835340314134</v>
      </c>
      <c r="C24" s="52">
        <v>7.8941148664618321</v>
      </c>
      <c r="D24" s="52">
        <v>78.920118885649501</v>
      </c>
      <c r="E24" s="52">
        <v>6.7167509669741277</v>
      </c>
      <c r="F24" s="52">
        <v>115.26165726643599</v>
      </c>
      <c r="G24" s="52">
        <v>-3.0065089368736531</v>
      </c>
      <c r="H24" s="52">
        <v>90.069765187694259</v>
      </c>
      <c r="I24" s="52">
        <v>-1.3365626121277452</v>
      </c>
      <c r="J24" s="52">
        <v>124.10159685273625</v>
      </c>
      <c r="K24" s="52">
        <v>36.939871467558774</v>
      </c>
      <c r="L24" s="52">
        <v>85.73233573467337</v>
      </c>
      <c r="M24" s="52">
        <v>3.3715385258930919</v>
      </c>
      <c r="N24" s="52">
        <v>85.119352057861448</v>
      </c>
      <c r="O24" s="52">
        <v>-3.5649702919142379</v>
      </c>
      <c r="P24" s="52">
        <v>91.302350324189533</v>
      </c>
      <c r="Q24" s="52">
        <v>-0.1271891204383091</v>
      </c>
      <c r="R24" s="52">
        <v>94.443340263856769</v>
      </c>
      <c r="S24" s="52">
        <v>-0.18358729575913557</v>
      </c>
      <c r="T24" s="52">
        <v>85.600842343610765</v>
      </c>
      <c r="U24" s="52">
        <v>5.2281504791875211</v>
      </c>
      <c r="V24" s="53">
        <v>91.007224333186272</v>
      </c>
      <c r="W24" s="52">
        <v>2.8943805010155588</v>
      </c>
      <c r="X24" s="53">
        <v>87.155447674586554</v>
      </c>
      <c r="Y24" s="53">
        <v>2.4193548387096753</v>
      </c>
      <c r="Z24" s="54"/>
      <c r="AA24" s="55"/>
      <c r="AB24" s="54"/>
      <c r="AC24" s="54"/>
      <c r="AD24" s="54"/>
      <c r="AE24" s="55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6"/>
      <c r="AS24" s="54"/>
    </row>
    <row r="25" spans="1:45" s="3" customFormat="1" ht="14.25" customHeight="1">
      <c r="A25" s="51" t="s">
        <v>147</v>
      </c>
      <c r="B25" s="52">
        <v>87.186092320065612</v>
      </c>
      <c r="C25" s="52">
        <v>-2.409638554216853</v>
      </c>
      <c r="D25" s="52">
        <v>82.38012827988338</v>
      </c>
      <c r="E25" s="52">
        <v>4.3841918171046101</v>
      </c>
      <c r="F25" s="52">
        <v>111.50472638408304</v>
      </c>
      <c r="G25" s="52">
        <v>-3.2594801874733736</v>
      </c>
      <c r="H25" s="52">
        <v>94.549096177572324</v>
      </c>
      <c r="I25" s="52">
        <v>4.9731793799436375</v>
      </c>
      <c r="J25" s="52">
        <v>92.874746959993729</v>
      </c>
      <c r="K25" s="52">
        <v>-25.162327225972369</v>
      </c>
      <c r="L25" s="52">
        <v>89.076701696482402</v>
      </c>
      <c r="M25" s="52">
        <v>3.9009388151505231</v>
      </c>
      <c r="N25" s="52">
        <v>89.74052948898742</v>
      </c>
      <c r="O25" s="52">
        <v>5.4290561657290848</v>
      </c>
      <c r="P25" s="52">
        <v>93.97666485660848</v>
      </c>
      <c r="Q25" s="52">
        <v>2.9290752351097016</v>
      </c>
      <c r="R25" s="52">
        <v>94.912343424997871</v>
      </c>
      <c r="S25" s="52">
        <v>0.49659738826559607</v>
      </c>
      <c r="T25" s="52">
        <v>89.993463560862594</v>
      </c>
      <c r="U25" s="52">
        <v>5.1315163460885049</v>
      </c>
      <c r="V25" s="53">
        <v>97.29494175709452</v>
      </c>
      <c r="W25" s="52">
        <v>6.9090310906399166</v>
      </c>
      <c r="X25" s="53">
        <v>89.546300696901852</v>
      </c>
      <c r="Y25" s="53">
        <v>2.7432054864109601</v>
      </c>
    </row>
    <row r="26" spans="1:45" s="3" customFormat="1" ht="14.25" customHeight="1">
      <c r="A26" s="51" t="s">
        <v>149</v>
      </c>
      <c r="B26" s="52">
        <v>92.000408528985062</v>
      </c>
      <c r="C26" s="52">
        <v>5.5218855218855278</v>
      </c>
      <c r="D26" s="52">
        <v>88.194484288953689</v>
      </c>
      <c r="E26" s="52">
        <v>7.0579594017094127</v>
      </c>
      <c r="F26" s="52">
        <v>106.88836686851212</v>
      </c>
      <c r="G26" s="52">
        <v>-4.1400572561109739</v>
      </c>
      <c r="H26" s="52">
        <v>100.07660699689168</v>
      </c>
      <c r="I26" s="52">
        <v>5.8461804954096586</v>
      </c>
      <c r="J26" s="52">
        <v>93.824158083457291</v>
      </c>
      <c r="K26" s="52">
        <v>1.0222489476849228</v>
      </c>
      <c r="L26" s="52">
        <v>92.060264691457292</v>
      </c>
      <c r="M26" s="52">
        <v>3.3494313756036842</v>
      </c>
      <c r="N26" s="52">
        <v>94.452914369411928</v>
      </c>
      <c r="O26" s="52">
        <v>5.2511222156347959</v>
      </c>
      <c r="P26" s="52">
        <v>99.683061751870341</v>
      </c>
      <c r="Q26" s="52">
        <v>6.0721423812696518</v>
      </c>
      <c r="R26" s="52">
        <v>96.414890589394332</v>
      </c>
      <c r="S26" s="52">
        <v>1.5830893118594425</v>
      </c>
      <c r="T26" s="52">
        <v>94.543171894492957</v>
      </c>
      <c r="U26" s="52">
        <v>5.0555986552883292</v>
      </c>
      <c r="V26" s="53">
        <v>94.727457142331986</v>
      </c>
      <c r="W26" s="52">
        <v>-2.6388675180797017</v>
      </c>
      <c r="X26" s="53">
        <v>92.291354166967565</v>
      </c>
      <c r="Y26" s="53">
        <v>3.0655129789864066</v>
      </c>
    </row>
    <row r="27" spans="1:45" s="5" customFormat="1" ht="14.25" customHeight="1">
      <c r="A27" s="51" t="s">
        <v>150</v>
      </c>
      <c r="B27" s="52">
        <v>91.974314674194176</v>
      </c>
      <c r="C27" s="52">
        <v>-2.8362759696509698E-2</v>
      </c>
      <c r="D27" s="52">
        <v>91.412458049886624</v>
      </c>
      <c r="E27" s="52">
        <v>3.6487245057069684</v>
      </c>
      <c r="F27" s="52">
        <v>102.97182781141869</v>
      </c>
      <c r="G27" s="52">
        <v>-3.6641396737881915</v>
      </c>
      <c r="H27" s="52">
        <v>99.184016360883078</v>
      </c>
      <c r="I27" s="52">
        <v>-0.89190737255543384</v>
      </c>
      <c r="J27" s="52">
        <v>95.802762777734287</v>
      </c>
      <c r="K27" s="52">
        <v>2.1088435374149617</v>
      </c>
      <c r="L27" s="52">
        <v>94.995258056281401</v>
      </c>
      <c r="M27" s="52">
        <v>3.1881217968043218</v>
      </c>
      <c r="N27" s="52">
        <v>96.368270804681259</v>
      </c>
      <c r="O27" s="52">
        <v>2.0278426007886097</v>
      </c>
      <c r="P27" s="52">
        <v>99.969276016209477</v>
      </c>
      <c r="Q27" s="52">
        <v>0.28712427097350446</v>
      </c>
      <c r="R27" s="52">
        <v>97.969549216139811</v>
      </c>
      <c r="S27" s="52">
        <v>1.6124673452841964</v>
      </c>
      <c r="T27" s="52">
        <v>98.487803927998584</v>
      </c>
      <c r="U27" s="52">
        <v>4.1723076923076974</v>
      </c>
      <c r="V27" s="53">
        <v>96.651199258932493</v>
      </c>
      <c r="W27" s="52">
        <v>2.030817858553946</v>
      </c>
      <c r="X27" s="53">
        <v>94.778136477215284</v>
      </c>
      <c r="Y27" s="53">
        <v>2.6944910849924231</v>
      </c>
      <c r="Z27" s="54"/>
      <c r="AA27" s="55"/>
      <c r="AB27" s="54"/>
      <c r="AC27" s="54"/>
      <c r="AD27" s="54"/>
      <c r="AE27" s="55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6"/>
      <c r="AS27" s="54"/>
    </row>
    <row r="28" spans="1:45" s="5" customFormat="1" ht="14.25" customHeight="1">
      <c r="A28" s="51" t="s">
        <v>151</v>
      </c>
      <c r="B28" s="52">
        <v>98.530395690405598</v>
      </c>
      <c r="C28" s="52">
        <v>7.1281651180934658</v>
      </c>
      <c r="D28" s="52">
        <v>98.051935536119217</v>
      </c>
      <c r="E28" s="52">
        <v>7.2632085690215398</v>
      </c>
      <c r="F28" s="52">
        <v>100.06204801038064</v>
      </c>
      <c r="G28" s="52">
        <v>-2.8258018361750237</v>
      </c>
      <c r="H28" s="52">
        <v>99.536139272336015</v>
      </c>
      <c r="I28" s="52">
        <v>0.35501981505945412</v>
      </c>
      <c r="J28" s="52">
        <v>97.470215927346743</v>
      </c>
      <c r="K28" s="52">
        <v>1.7405063291139111</v>
      </c>
      <c r="L28" s="52">
        <v>98.464517352763821</v>
      </c>
      <c r="M28" s="52">
        <v>3.652034183039965</v>
      </c>
      <c r="N28" s="52">
        <v>99.416119735407435</v>
      </c>
      <c r="O28" s="52">
        <v>3.1627099929016467</v>
      </c>
      <c r="P28" s="52">
        <v>99.906666645885295</v>
      </c>
      <c r="Q28" s="52">
        <v>-6.2628612328885502E-2</v>
      </c>
      <c r="R28" s="52">
        <v>98.299588477683557</v>
      </c>
      <c r="S28" s="52">
        <v>0.33687943262412645</v>
      </c>
      <c r="T28" s="52">
        <v>102.98514988950276</v>
      </c>
      <c r="U28" s="52">
        <v>4.5663988657844934</v>
      </c>
      <c r="V28" s="53">
        <v>98.799502712101145</v>
      </c>
      <c r="W28" s="52">
        <v>2.222738537794311</v>
      </c>
      <c r="X28" s="53">
        <v>98.106144850870223</v>
      </c>
      <c r="Y28" s="53">
        <v>3.5113671753347786</v>
      </c>
      <c r="Z28" s="54"/>
      <c r="AA28" s="55"/>
      <c r="AB28" s="54"/>
      <c r="AC28" s="54"/>
      <c r="AD28" s="54"/>
      <c r="AE28" s="55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6"/>
      <c r="AS28" s="54"/>
    </row>
    <row r="29" spans="1:45" s="5" customFormat="1" ht="14.25" customHeight="1">
      <c r="A29" s="51" t="s">
        <v>173</v>
      </c>
      <c r="B29" s="52">
        <v>106.77200000000001</v>
      </c>
      <c r="C29" s="52">
        <v>8.3645298000126989</v>
      </c>
      <c r="D29" s="52">
        <v>103.649</v>
      </c>
      <c r="E29" s="52">
        <v>5.7082651487476266</v>
      </c>
      <c r="F29" s="52">
        <v>98.951999999999998</v>
      </c>
      <c r="G29" s="52">
        <v>-1.1093596747744794</v>
      </c>
      <c r="H29" s="52">
        <v>104.015</v>
      </c>
      <c r="I29" s="52">
        <v>4.4997332229348208</v>
      </c>
      <c r="J29" s="52">
        <v>102.956</v>
      </c>
      <c r="K29" s="52">
        <v>5.628164481283493</v>
      </c>
      <c r="L29" s="52">
        <v>104.767</v>
      </c>
      <c r="M29" s="52">
        <v>6.4007652875162968</v>
      </c>
      <c r="N29" s="52">
        <v>106.91800000000001</v>
      </c>
      <c r="O29" s="52">
        <v>7.5459395162057907</v>
      </c>
      <c r="P29" s="52">
        <v>100.613</v>
      </c>
      <c r="Q29" s="52">
        <v>0.70699321459524178</v>
      </c>
      <c r="R29" s="52">
        <v>102.714</v>
      </c>
      <c r="S29" s="52">
        <v>4.4907731463378564</v>
      </c>
      <c r="T29" s="52">
        <v>98.034000000000006</v>
      </c>
      <c r="U29" s="52">
        <v>-4.8076347850297463</v>
      </c>
      <c r="V29" s="53">
        <v>103.21299999999999</v>
      </c>
      <c r="W29" s="52">
        <v>4.4671250023997189</v>
      </c>
      <c r="X29" s="53">
        <v>103.459</v>
      </c>
      <c r="Y29" s="53">
        <v>5.4561874358294071</v>
      </c>
      <c r="Z29" s="54"/>
      <c r="AA29" s="55"/>
      <c r="AB29" s="54"/>
      <c r="AC29" s="54"/>
      <c r="AD29" s="54"/>
      <c r="AE29" s="55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6"/>
      <c r="AS29" s="54"/>
    </row>
    <row r="30" spans="1:45" s="5" customFormat="1" ht="14.25" customHeight="1">
      <c r="A30" s="51" t="s">
        <v>233</v>
      </c>
      <c r="B30" s="52">
        <v>116.613</v>
      </c>
      <c r="C30" s="52">
        <v>9.2168358745738477</v>
      </c>
      <c r="D30" s="52">
        <v>116.57299999999999</v>
      </c>
      <c r="E30" s="52">
        <v>12.469005972078829</v>
      </c>
      <c r="F30" s="52">
        <v>100.29</v>
      </c>
      <c r="G30" s="52">
        <v>1.3521707494542845</v>
      </c>
      <c r="H30" s="52">
        <v>110.968</v>
      </c>
      <c r="I30" s="52">
        <v>6.6846127962313151</v>
      </c>
      <c r="J30" s="52">
        <v>109.774</v>
      </c>
      <c r="K30" s="52">
        <v>6.6222463965188938</v>
      </c>
      <c r="L30" s="52">
        <v>109.845</v>
      </c>
      <c r="M30" s="52">
        <v>4.8469460803497233</v>
      </c>
      <c r="N30" s="52">
        <v>124.283</v>
      </c>
      <c r="O30" s="52">
        <v>16.241418657288765</v>
      </c>
      <c r="P30" s="52">
        <v>99.272000000000006</v>
      </c>
      <c r="Q30" s="52">
        <v>-1.332829753610365</v>
      </c>
      <c r="R30" s="52">
        <v>107.502</v>
      </c>
      <c r="S30" s="52">
        <v>4.6614872364039828</v>
      </c>
      <c r="T30" s="52">
        <v>101.09</v>
      </c>
      <c r="U30" s="52">
        <v>3.1172858396066649</v>
      </c>
      <c r="V30" s="52">
        <v>113.414</v>
      </c>
      <c r="W30" s="52">
        <v>9.8834449148847536</v>
      </c>
      <c r="X30" s="52">
        <v>110.501</v>
      </c>
      <c r="Y30" s="52">
        <v>6.8065610531708121</v>
      </c>
      <c r="Z30" s="54"/>
      <c r="AA30" s="55"/>
      <c r="AB30" s="54"/>
      <c r="AC30" s="54"/>
      <c r="AD30" s="54"/>
      <c r="AE30" s="55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6"/>
      <c r="AS30" s="54"/>
    </row>
    <row r="31" spans="1:45" s="5" customFormat="1" ht="14.25" customHeight="1">
      <c r="A31" s="51" t="s">
        <v>266</v>
      </c>
      <c r="B31" s="52">
        <v>129.66499999999999</v>
      </c>
      <c r="C31" s="52">
        <v>11.192577156920747</v>
      </c>
      <c r="D31" s="52">
        <v>122.88500000000001</v>
      </c>
      <c r="E31" s="52">
        <v>5.4146328909781882</v>
      </c>
      <c r="F31" s="52">
        <v>101.093</v>
      </c>
      <c r="G31" s="52">
        <v>0.80067803370225121</v>
      </c>
      <c r="H31" s="52">
        <v>121.033</v>
      </c>
      <c r="I31" s="52">
        <v>9.0701823949246538</v>
      </c>
      <c r="J31" s="52">
        <v>117.289</v>
      </c>
      <c r="K31" s="52">
        <v>6.8458833603585623</v>
      </c>
      <c r="L31" s="52">
        <v>115.548</v>
      </c>
      <c r="M31" s="52">
        <v>5.1918612590468483</v>
      </c>
      <c r="N31" s="52">
        <v>131.59200000000001</v>
      </c>
      <c r="O31" s="52">
        <v>5.8809330318708275</v>
      </c>
      <c r="P31" s="52">
        <v>98.12</v>
      </c>
      <c r="Q31" s="52">
        <v>-1.1604480618905622</v>
      </c>
      <c r="R31" s="52">
        <v>109.43300000000001</v>
      </c>
      <c r="S31" s="52">
        <v>1.7962456512436997</v>
      </c>
      <c r="T31" s="52">
        <v>109.875</v>
      </c>
      <c r="U31" s="52">
        <v>8.6902759916905659</v>
      </c>
      <c r="V31" s="52">
        <v>124.158</v>
      </c>
      <c r="W31" s="52">
        <v>9.4732572698255968</v>
      </c>
      <c r="X31" s="52">
        <v>122.09</v>
      </c>
      <c r="Y31" s="52">
        <v>10.487687894227204</v>
      </c>
      <c r="Z31" s="54"/>
      <c r="AA31" s="55"/>
      <c r="AB31" s="54"/>
      <c r="AC31" s="54"/>
      <c r="AD31" s="54"/>
      <c r="AE31" s="55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6"/>
      <c r="AS31" s="54"/>
    </row>
    <row r="32" spans="1:45" s="5" customFormat="1" ht="14.25" customHeight="1">
      <c r="A32" s="51" t="s">
        <v>312</v>
      </c>
      <c r="B32" s="52">
        <v>137.58279999999999</v>
      </c>
      <c r="C32" s="52">
        <v>6.106350981375086</v>
      </c>
      <c r="D32" s="52">
        <v>125.7608</v>
      </c>
      <c r="E32" s="52">
        <v>2.340236806770557</v>
      </c>
      <c r="F32" s="52">
        <v>99.884399999999999</v>
      </c>
      <c r="G32" s="52">
        <v>-1.1955328262095333</v>
      </c>
      <c r="H32" s="52">
        <v>121.17449999999999</v>
      </c>
      <c r="I32" s="52">
        <v>0.11691026414282213</v>
      </c>
      <c r="J32" s="52">
        <v>119.87350000000001</v>
      </c>
      <c r="K32" s="52">
        <v>2.2035314479618817</v>
      </c>
      <c r="L32" s="52">
        <v>121.1387</v>
      </c>
      <c r="M32" s="52">
        <v>4.8384221276006389</v>
      </c>
      <c r="N32" s="52">
        <v>133.04050000000001</v>
      </c>
      <c r="O32" s="52">
        <v>1.1007508055200788</v>
      </c>
      <c r="P32" s="52">
        <v>95.404799999999994</v>
      </c>
      <c r="Q32" s="52">
        <v>-2.7672238075825639</v>
      </c>
      <c r="R32" s="52">
        <v>111.7002</v>
      </c>
      <c r="S32" s="52">
        <v>2.0717699414253277</v>
      </c>
      <c r="T32" s="52">
        <v>116.8471</v>
      </c>
      <c r="U32" s="52">
        <v>6.3454835039817858</v>
      </c>
      <c r="V32" s="52">
        <v>133.0068</v>
      </c>
      <c r="W32" s="52">
        <v>7.1270477939399779</v>
      </c>
      <c r="X32" s="52">
        <v>130.7045</v>
      </c>
      <c r="Y32" s="52">
        <v>7.0558604308297079</v>
      </c>
      <c r="Z32" s="54"/>
      <c r="AA32" s="55"/>
      <c r="AB32" s="54"/>
      <c r="AC32" s="54"/>
      <c r="AD32" s="54"/>
      <c r="AE32" s="55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6"/>
      <c r="AS32" s="54"/>
    </row>
    <row r="33" spans="1:45" s="5" customFormat="1" ht="14.25" customHeight="1">
      <c r="A33" s="51" t="s">
        <v>341</v>
      </c>
      <c r="B33" s="52">
        <v>141.8382</v>
      </c>
      <c r="C33" s="52">
        <v>3.0929738310312205</v>
      </c>
      <c r="D33" s="52">
        <v>133.221</v>
      </c>
      <c r="E33" s="52">
        <v>5.9320551395983578</v>
      </c>
      <c r="F33" s="52">
        <v>98.392099999999999</v>
      </c>
      <c r="G33" s="52">
        <v>-1.4940270953221924</v>
      </c>
      <c r="H33" s="52">
        <v>123.2454</v>
      </c>
      <c r="I33" s="52">
        <v>1.7090229379943978</v>
      </c>
      <c r="J33" s="52">
        <v>122.59610000000001</v>
      </c>
      <c r="K33" s="52">
        <v>2.2712275857466491</v>
      </c>
      <c r="L33" s="52">
        <v>127.5579</v>
      </c>
      <c r="M33" s="52">
        <v>5.2990497669200609</v>
      </c>
      <c r="N33" s="52">
        <v>135.9691</v>
      </c>
      <c r="O33" s="52">
        <v>2.2012845712395812</v>
      </c>
      <c r="P33" s="52">
        <v>97.522300000000001</v>
      </c>
      <c r="Q33" s="52">
        <v>2.2194900046957899</v>
      </c>
      <c r="R33" s="52">
        <v>118.20140000000001</v>
      </c>
      <c r="S33" s="52">
        <v>5.8202223451703894</v>
      </c>
      <c r="T33" s="52">
        <v>123.1768</v>
      </c>
      <c r="U33" s="52">
        <v>5.4170792428738013</v>
      </c>
      <c r="V33" s="52">
        <v>140.69470000000001</v>
      </c>
      <c r="W33" s="52">
        <v>5.7800804169410913</v>
      </c>
      <c r="X33" s="52">
        <v>137.93690000000001</v>
      </c>
      <c r="Y33" s="52">
        <v>5.5333978554678698</v>
      </c>
      <c r="Z33" s="54"/>
      <c r="AA33" s="55"/>
      <c r="AB33" s="54"/>
      <c r="AC33" s="54"/>
      <c r="AD33" s="54"/>
      <c r="AE33" s="55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6"/>
      <c r="AS33" s="54"/>
    </row>
    <row r="34" spans="1:45" s="5" customFormat="1" ht="15" customHeight="1">
      <c r="A34" s="51" t="s">
        <v>359</v>
      </c>
      <c r="B34" s="52">
        <v>153.45599999999999</v>
      </c>
      <c r="C34" s="52">
        <v>8.190882287000246</v>
      </c>
      <c r="D34" s="52">
        <v>140.0258</v>
      </c>
      <c r="E34" s="52">
        <v>5.1079034086217723</v>
      </c>
      <c r="F34" s="52">
        <v>96.993899999999996</v>
      </c>
      <c r="G34" s="52">
        <v>-1.4210490476369575</v>
      </c>
      <c r="H34" s="52">
        <v>126.28579999999999</v>
      </c>
      <c r="I34" s="52">
        <v>2.466948056479179</v>
      </c>
      <c r="J34" s="52">
        <v>124.848</v>
      </c>
      <c r="K34" s="52">
        <v>1.8368447283396483</v>
      </c>
      <c r="L34" s="52">
        <v>134.06270000000001</v>
      </c>
      <c r="M34" s="52">
        <v>5.099488154006937</v>
      </c>
      <c r="N34" s="52">
        <v>140.65690000000001</v>
      </c>
      <c r="O34" s="52">
        <v>3.4476951013134638</v>
      </c>
      <c r="P34" s="52">
        <v>98.292000000000002</v>
      </c>
      <c r="Q34" s="52">
        <v>0.7892553805642466</v>
      </c>
      <c r="R34" s="52">
        <v>121.4089</v>
      </c>
      <c r="S34" s="52">
        <v>2.71358884074131</v>
      </c>
      <c r="T34" s="52">
        <v>130.3631</v>
      </c>
      <c r="U34" s="52">
        <v>5.8341343499749954</v>
      </c>
      <c r="V34" s="52">
        <v>149.8664</v>
      </c>
      <c r="W34" s="52">
        <v>6.5188667376951503</v>
      </c>
      <c r="X34" s="52">
        <v>146.2414</v>
      </c>
      <c r="Y34" s="52">
        <v>6.0205064779620177</v>
      </c>
      <c r="Z34" s="54"/>
      <c r="AA34" s="55"/>
      <c r="AB34" s="54"/>
      <c r="AC34" s="54"/>
      <c r="AD34" s="54"/>
      <c r="AE34" s="55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6"/>
      <c r="AS34" s="54"/>
    </row>
    <row r="35" spans="1:45" s="5" customFormat="1" ht="1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3"/>
      <c r="W35" s="52"/>
      <c r="X35" s="53"/>
    </row>
    <row r="36" spans="1:45" ht="14.45" customHeight="1">
      <c r="A36" s="51">
        <v>1999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3"/>
      <c r="W36" s="52"/>
      <c r="X36" s="53"/>
      <c r="Y36" s="52"/>
    </row>
    <row r="37" spans="1:45" ht="14.45" customHeight="1">
      <c r="A37" s="51" t="s">
        <v>3</v>
      </c>
      <c r="B37" s="52">
        <v>20.990538395410546</v>
      </c>
      <c r="C37" s="52" t="s">
        <v>2</v>
      </c>
      <c r="D37" s="52">
        <v>11.470000489380183</v>
      </c>
      <c r="E37" s="52" t="s">
        <v>2</v>
      </c>
      <c r="F37" s="52">
        <v>47.036946305540809</v>
      </c>
      <c r="G37" s="52" t="s">
        <v>2</v>
      </c>
      <c r="H37" s="52">
        <v>20.854287641856438</v>
      </c>
      <c r="I37" s="52" t="s">
        <v>2</v>
      </c>
      <c r="J37" s="52">
        <v>33.481246545160708</v>
      </c>
      <c r="K37" s="52" t="s">
        <v>2</v>
      </c>
      <c r="L37" s="52">
        <v>20.145281505143775</v>
      </c>
      <c r="M37" s="52" t="s">
        <v>2</v>
      </c>
      <c r="N37" s="52">
        <v>14.166693290249098</v>
      </c>
      <c r="O37" s="52" t="s">
        <v>2</v>
      </c>
      <c r="P37" s="52">
        <v>29.309866343618385</v>
      </c>
      <c r="Q37" s="52" t="s">
        <v>2</v>
      </c>
      <c r="R37" s="52">
        <v>35.596498272650763</v>
      </c>
      <c r="S37" s="52" t="s">
        <v>2</v>
      </c>
      <c r="T37" s="52">
        <v>14.18090071759296</v>
      </c>
      <c r="U37" s="52" t="s">
        <v>2</v>
      </c>
      <c r="V37" s="53">
        <v>23.193543781874993</v>
      </c>
      <c r="W37" s="52" t="s">
        <v>2</v>
      </c>
      <c r="X37" s="53">
        <v>27.693205701005088</v>
      </c>
      <c r="Y37" s="52" t="s">
        <v>2</v>
      </c>
    </row>
    <row r="38" spans="1:45" ht="14.45" customHeight="1">
      <c r="A38" s="51" t="s">
        <v>4</v>
      </c>
      <c r="B38" s="52">
        <v>20.647565528533171</v>
      </c>
      <c r="C38" s="52">
        <v>-1.6339403040389056</v>
      </c>
      <c r="D38" s="52">
        <v>11.479012998882713</v>
      </c>
      <c r="E38" s="52">
        <v>7.8574621778559894E-2</v>
      </c>
      <c r="F38" s="52">
        <v>47.241177345649817</v>
      </c>
      <c r="G38" s="52">
        <v>0.43419281256562581</v>
      </c>
      <c r="H38" s="52">
        <v>20.922089940214804</v>
      </c>
      <c r="I38" s="52">
        <v>0.32512402016686703</v>
      </c>
      <c r="J38" s="52">
        <v>33.687586144940141</v>
      </c>
      <c r="K38" s="52">
        <v>0.61628410250829102</v>
      </c>
      <c r="L38" s="52">
        <v>20.472894882762045</v>
      </c>
      <c r="M38" s="52">
        <v>1.6262536591241883</v>
      </c>
      <c r="N38" s="52">
        <v>14.166693290249098</v>
      </c>
      <c r="O38" s="52">
        <v>0</v>
      </c>
      <c r="P38" s="52">
        <v>29.309985527683146</v>
      </c>
      <c r="Q38" s="52">
        <v>4.0663462386181237E-4</v>
      </c>
      <c r="R38" s="52">
        <v>35.935497323092278</v>
      </c>
      <c r="S38" s="52">
        <v>0.95233819867606151</v>
      </c>
      <c r="T38" s="52">
        <v>14.18090071759296</v>
      </c>
      <c r="U38" s="52">
        <v>0</v>
      </c>
      <c r="V38" s="53">
        <v>23.16285581515282</v>
      </c>
      <c r="W38" s="52">
        <v>-0.13231253925997111</v>
      </c>
      <c r="X38" s="53">
        <v>27.946961443167396</v>
      </c>
      <c r="Y38" s="52">
        <v>0.91631046583060538</v>
      </c>
    </row>
    <row r="39" spans="1:45" ht="14.45" customHeight="1">
      <c r="A39" s="51" t="s">
        <v>5</v>
      </c>
      <c r="B39" s="52">
        <v>20.877047503962331</v>
      </c>
      <c r="C39" s="52">
        <v>1.1114238872957483</v>
      </c>
      <c r="D39" s="52">
        <v>11.759388592538144</v>
      </c>
      <c r="E39" s="52">
        <v>2.4425061081708055</v>
      </c>
      <c r="F39" s="52">
        <v>47.351899629912786</v>
      </c>
      <c r="G39" s="52">
        <v>0.23437664021970228</v>
      </c>
      <c r="H39" s="52">
        <v>20.979713176108426</v>
      </c>
      <c r="I39" s="52">
        <v>0.27541816356912996</v>
      </c>
      <c r="J39" s="52">
        <v>33.791018501722689</v>
      </c>
      <c r="K39" s="52">
        <v>0.30703404018777025</v>
      </c>
      <c r="L39" s="52">
        <v>20.573368791812523</v>
      </c>
      <c r="M39" s="52">
        <v>0.49076552009787999</v>
      </c>
      <c r="N39" s="52">
        <v>14.166693290249098</v>
      </c>
      <c r="O39" s="52">
        <v>0</v>
      </c>
      <c r="P39" s="52">
        <v>29.309985527683146</v>
      </c>
      <c r="Q39" s="52">
        <v>0</v>
      </c>
      <c r="R39" s="52">
        <v>36.027895469559631</v>
      </c>
      <c r="S39" s="52">
        <v>0.25712221438487504</v>
      </c>
      <c r="T39" s="52">
        <v>14.18090071759296</v>
      </c>
      <c r="U39" s="52">
        <v>0</v>
      </c>
      <c r="V39" s="53">
        <v>23.161654523430929</v>
      </c>
      <c r="W39" s="52">
        <v>-5.1862850223516332E-3</v>
      </c>
      <c r="X39" s="53">
        <v>28.103150050322075</v>
      </c>
      <c r="Y39" s="52">
        <v>0.55887509442591465</v>
      </c>
    </row>
    <row r="40" spans="1:45" ht="14.45" customHeight="1">
      <c r="A40" s="51" t="s">
        <v>6</v>
      </c>
      <c r="B40" s="52">
        <v>20.93666759888351</v>
      </c>
      <c r="C40" s="52">
        <v>0.2855772345675911</v>
      </c>
      <c r="D40" s="52">
        <v>12.042752802294965</v>
      </c>
      <c r="E40" s="52">
        <v>2.4096848873301768</v>
      </c>
      <c r="F40" s="52">
        <v>47.437485241719514</v>
      </c>
      <c r="G40" s="52">
        <v>0.18074377686141396</v>
      </c>
      <c r="H40" s="52">
        <v>21.036860944086982</v>
      </c>
      <c r="I40" s="52">
        <v>0.2723953730865869</v>
      </c>
      <c r="J40" s="52">
        <v>33.912368664691023</v>
      </c>
      <c r="K40" s="52">
        <v>0.35911957777226</v>
      </c>
      <c r="L40" s="52">
        <v>20.683236662815343</v>
      </c>
      <c r="M40" s="52">
        <v>0.53402956081038955</v>
      </c>
      <c r="N40" s="52">
        <v>14.166693290249098</v>
      </c>
      <c r="O40" s="52">
        <v>0</v>
      </c>
      <c r="P40" s="52">
        <v>29.309985527683146</v>
      </c>
      <c r="Q40" s="52">
        <v>0</v>
      </c>
      <c r="R40" s="52">
        <v>36.158951803876313</v>
      </c>
      <c r="S40" s="52">
        <v>0.36376350216573705</v>
      </c>
      <c r="T40" s="52">
        <v>14.18090071759296</v>
      </c>
      <c r="U40" s="52">
        <v>0</v>
      </c>
      <c r="V40" s="53">
        <v>23.155566495630485</v>
      </c>
      <c r="W40" s="52">
        <v>-2.6284943479693013E-2</v>
      </c>
      <c r="X40" s="53">
        <v>28.211058983712562</v>
      </c>
      <c r="Y40" s="52">
        <v>0.38397451245595349</v>
      </c>
    </row>
    <row r="41" spans="1:45" ht="14.45" customHeight="1">
      <c r="A41" s="51" t="s">
        <v>7</v>
      </c>
      <c r="B41" s="52">
        <v>20.791454698814377</v>
      </c>
      <c r="C41" s="52">
        <v>-0.69358172394577977</v>
      </c>
      <c r="D41" s="52">
        <v>12.08192554596573</v>
      </c>
      <c r="E41" s="52">
        <v>0.32528064234034204</v>
      </c>
      <c r="F41" s="52">
        <v>47.534531815786195</v>
      </c>
      <c r="G41" s="52">
        <v>0.20457782188953999</v>
      </c>
      <c r="H41" s="52">
        <v>21.08357412129682</v>
      </c>
      <c r="I41" s="52">
        <v>0.22205393349319369</v>
      </c>
      <c r="J41" s="52">
        <v>34.007992765237624</v>
      </c>
      <c r="K41" s="52">
        <v>0.2819741124310271</v>
      </c>
      <c r="L41" s="52">
        <v>20.797511634380474</v>
      </c>
      <c r="M41" s="52">
        <v>0.55250043031502827</v>
      </c>
      <c r="N41" s="52">
        <v>14.178647546122109</v>
      </c>
      <c r="O41" s="52">
        <v>8.438282405138775E-2</v>
      </c>
      <c r="P41" s="52">
        <v>29.309985527683146</v>
      </c>
      <c r="Q41" s="52">
        <v>0</v>
      </c>
      <c r="R41" s="52">
        <v>36.300465631198605</v>
      </c>
      <c r="S41" s="52">
        <v>0.3913659557662541</v>
      </c>
      <c r="T41" s="52">
        <v>14.18090071759296</v>
      </c>
      <c r="U41" s="52">
        <v>0</v>
      </c>
      <c r="V41" s="53">
        <v>23.286540068278242</v>
      </c>
      <c r="W41" s="52">
        <v>0.565624566656453</v>
      </c>
      <c r="X41" s="53">
        <v>28.277919809796341</v>
      </c>
      <c r="Y41" s="52">
        <v>0.23700218457727296</v>
      </c>
    </row>
    <row r="42" spans="1:45" ht="14.45" customHeight="1">
      <c r="A42" s="51" t="s">
        <v>8</v>
      </c>
      <c r="B42" s="52">
        <v>20.352031185547037</v>
      </c>
      <c r="C42" s="52">
        <v>-2.1134813298676836</v>
      </c>
      <c r="D42" s="52">
        <v>12.1289667002006</v>
      </c>
      <c r="E42" s="52">
        <v>0.38935146600516113</v>
      </c>
      <c r="F42" s="52">
        <v>47.599836844188033</v>
      </c>
      <c r="G42" s="52">
        <v>0.13738439384429757</v>
      </c>
      <c r="H42" s="52">
        <v>21.14125869228846</v>
      </c>
      <c r="I42" s="52">
        <v>0.27359958354200575</v>
      </c>
      <c r="J42" s="52">
        <v>34.060452708573806</v>
      </c>
      <c r="K42" s="52">
        <v>0.15425768788626115</v>
      </c>
      <c r="L42" s="52">
        <v>20.867734958189537</v>
      </c>
      <c r="M42" s="52">
        <v>0.33765252806963186</v>
      </c>
      <c r="N42" s="52">
        <v>14.178647546122109</v>
      </c>
      <c r="O42" s="52">
        <v>0</v>
      </c>
      <c r="P42" s="52">
        <v>29.309985527683146</v>
      </c>
      <c r="Q42" s="52">
        <v>0</v>
      </c>
      <c r="R42" s="52">
        <v>36.349640003577754</v>
      </c>
      <c r="S42" s="52">
        <v>0.13546485292705857</v>
      </c>
      <c r="T42" s="52">
        <v>14.18090071759296</v>
      </c>
      <c r="U42" s="52">
        <v>0</v>
      </c>
      <c r="V42" s="53">
        <v>23.289765759012955</v>
      </c>
      <c r="W42" s="52">
        <v>1.385216835672054E-2</v>
      </c>
      <c r="X42" s="53">
        <v>28.353224555016141</v>
      </c>
      <c r="Y42" s="52">
        <v>0.26630228010517953</v>
      </c>
    </row>
    <row r="43" spans="1:45" ht="14.45" customHeight="1">
      <c r="A43" s="51" t="s">
        <v>9</v>
      </c>
      <c r="B43" s="52">
        <v>20.095291921409384</v>
      </c>
      <c r="C43" s="52">
        <v>-1.2614920928382678</v>
      </c>
      <c r="D43" s="52">
        <v>12.144463900834298</v>
      </c>
      <c r="E43" s="52">
        <v>0.12777016391216645</v>
      </c>
      <c r="F43" s="52">
        <v>47.705546446658019</v>
      </c>
      <c r="G43" s="52">
        <v>0.22207975799584112</v>
      </c>
      <c r="H43" s="52">
        <v>21.223328857191294</v>
      </c>
      <c r="I43" s="52">
        <v>0.38819904764124669</v>
      </c>
      <c r="J43" s="52">
        <v>34.126127330472364</v>
      </c>
      <c r="K43" s="52">
        <v>0.19281781854305624</v>
      </c>
      <c r="L43" s="52">
        <v>20.904303632132549</v>
      </c>
      <c r="M43" s="52">
        <v>0.17524026453412667</v>
      </c>
      <c r="N43" s="52">
        <v>14.178647546122109</v>
      </c>
      <c r="O43" s="52">
        <v>0</v>
      </c>
      <c r="P43" s="52">
        <v>29.309985527683146</v>
      </c>
      <c r="Q43" s="52">
        <v>0</v>
      </c>
      <c r="R43" s="52">
        <v>36.369312819601191</v>
      </c>
      <c r="S43" s="52">
        <v>5.4121075261015505E-2</v>
      </c>
      <c r="T43" s="52">
        <v>14.18090071759296</v>
      </c>
      <c r="U43" s="52">
        <v>0</v>
      </c>
      <c r="V43" s="53">
        <v>23.414121495143576</v>
      </c>
      <c r="W43" s="52">
        <v>0.53395013679988779</v>
      </c>
      <c r="X43" s="53">
        <v>28.45943385360928</v>
      </c>
      <c r="Y43" s="52">
        <v>0.37459336728016268</v>
      </c>
    </row>
    <row r="44" spans="1:45" ht="14.45" customHeight="1">
      <c r="A44" s="51" t="s">
        <v>10</v>
      </c>
      <c r="B44" s="52">
        <v>20.018844841512287</v>
      </c>
      <c r="C44" s="52">
        <v>-0.38042283832488977</v>
      </c>
      <c r="D44" s="52">
        <v>12.179081941362551</v>
      </c>
      <c r="E44" s="52">
        <v>0.28505202708761779</v>
      </c>
      <c r="F44" s="52">
        <v>47.805290940439058</v>
      </c>
      <c r="G44" s="52">
        <v>0.20908364165279636</v>
      </c>
      <c r="H44" s="52">
        <v>21.71694281777085</v>
      </c>
      <c r="I44" s="52">
        <v>2.3258083776631411</v>
      </c>
      <c r="J44" s="52">
        <v>34.185823784281588</v>
      </c>
      <c r="K44" s="52">
        <v>0.17492888434462728</v>
      </c>
      <c r="L44" s="52">
        <v>20.997484392176908</v>
      </c>
      <c r="M44" s="52">
        <v>0.44574917052548901</v>
      </c>
      <c r="N44" s="52">
        <v>14.189977290972786</v>
      </c>
      <c r="O44" s="52">
        <v>7.9907091376818506E-2</v>
      </c>
      <c r="P44" s="52">
        <v>29.309985527683146</v>
      </c>
      <c r="Q44" s="52">
        <v>0</v>
      </c>
      <c r="R44" s="52">
        <v>36.669781628679814</v>
      </c>
      <c r="S44" s="52">
        <v>0.82616025925210668</v>
      </c>
      <c r="T44" s="52">
        <v>14.18090071759296</v>
      </c>
      <c r="U44" s="52">
        <v>0</v>
      </c>
      <c r="V44" s="53">
        <v>23.598369698164845</v>
      </c>
      <c r="W44" s="52">
        <v>0.78691059606692537</v>
      </c>
      <c r="X44" s="53">
        <v>28.522355081050293</v>
      </c>
      <c r="Y44" s="52">
        <v>0.22109093162101523</v>
      </c>
    </row>
    <row r="45" spans="1:45" ht="14.45" customHeight="1">
      <c r="A45" s="51" t="s">
        <v>11</v>
      </c>
      <c r="B45" s="52">
        <v>19.904947160591661</v>
      </c>
      <c r="C45" s="52">
        <v>-0.56895231379405775</v>
      </c>
      <c r="D45" s="52">
        <v>12.210174435041539</v>
      </c>
      <c r="E45" s="52">
        <v>0.25529423177121924</v>
      </c>
      <c r="F45" s="52">
        <v>47.915175786488341</v>
      </c>
      <c r="G45" s="52">
        <v>0.22985917225395447</v>
      </c>
      <c r="H45" s="52">
        <v>21.791679855782313</v>
      </c>
      <c r="I45" s="52">
        <v>0.34414161624216622</v>
      </c>
      <c r="J45" s="52">
        <v>34.25840142633642</v>
      </c>
      <c r="K45" s="52">
        <v>0.2123033293355947</v>
      </c>
      <c r="L45" s="52">
        <v>21.072490386025596</v>
      </c>
      <c r="M45" s="52">
        <v>0.35721419027048285</v>
      </c>
      <c r="N45" s="52">
        <v>14.185674277454156</v>
      </c>
      <c r="O45" s="52">
        <v>-3.03243157504407E-2</v>
      </c>
      <c r="P45" s="52">
        <v>29.309985527683146</v>
      </c>
      <c r="Q45" s="52">
        <v>0</v>
      </c>
      <c r="R45" s="52">
        <v>37.22055882876797</v>
      </c>
      <c r="S45" s="52">
        <v>1.5019920371093232</v>
      </c>
      <c r="T45" s="52">
        <v>15.411000958030526</v>
      </c>
      <c r="U45" s="52">
        <v>8.6743449159861328</v>
      </c>
      <c r="V45" s="53">
        <v>23.595826027305161</v>
      </c>
      <c r="W45" s="52">
        <v>-1.0779010974992786E-2</v>
      </c>
      <c r="X45" s="53">
        <v>28.628742857909781</v>
      </c>
      <c r="Y45" s="52">
        <v>0.37299786976627836</v>
      </c>
    </row>
    <row r="46" spans="1:45" ht="14.45" customHeight="1">
      <c r="A46" s="51" t="s">
        <v>12</v>
      </c>
      <c r="B46" s="52">
        <v>20.467522971494205</v>
      </c>
      <c r="C46" s="52">
        <v>2.826311501174672</v>
      </c>
      <c r="D46" s="52">
        <v>12.400692407431363</v>
      </c>
      <c r="E46" s="52">
        <v>1.5603214630829809</v>
      </c>
      <c r="F46" s="52">
        <v>48.104349046828013</v>
      </c>
      <c r="G46" s="52">
        <v>0.39480865348930916</v>
      </c>
      <c r="H46" s="52">
        <v>21.882142721476278</v>
      </c>
      <c r="I46" s="52">
        <v>0.41512570987023434</v>
      </c>
      <c r="J46" s="52">
        <v>34.419439997445195</v>
      </c>
      <c r="K46" s="52">
        <v>0.47007030218571</v>
      </c>
      <c r="L46" s="52">
        <v>21.337345465306161</v>
      </c>
      <c r="M46" s="52">
        <v>1.2568760238049759</v>
      </c>
      <c r="N46" s="52">
        <v>16.257794846141202</v>
      </c>
      <c r="O46" s="52">
        <v>14.607134833064283</v>
      </c>
      <c r="P46" s="52">
        <v>29.309985527683146</v>
      </c>
      <c r="Q46" s="52">
        <v>0</v>
      </c>
      <c r="R46" s="52">
        <v>37.421962556216826</v>
      </c>
      <c r="S46" s="52">
        <v>0.54110882207709654</v>
      </c>
      <c r="T46" s="52">
        <v>15.411000958030526</v>
      </c>
      <c r="U46" s="52">
        <v>0</v>
      </c>
      <c r="V46" s="53">
        <v>23.851857845509315</v>
      </c>
      <c r="W46" s="52">
        <v>1.0850724950585366</v>
      </c>
      <c r="X46" s="53">
        <v>29.00363726667581</v>
      </c>
      <c r="Y46" s="52">
        <v>1.3095035664915766</v>
      </c>
    </row>
    <row r="47" spans="1:45" ht="14.45" customHeight="1">
      <c r="A47" s="51" t="s">
        <v>13</v>
      </c>
      <c r="B47" s="52">
        <v>20.644187621033865</v>
      </c>
      <c r="C47" s="52">
        <v>0.86314621356822219</v>
      </c>
      <c r="D47" s="52">
        <v>12.698599750319383</v>
      </c>
      <c r="E47" s="52">
        <v>2.402344426424885</v>
      </c>
      <c r="F47" s="52">
        <v>48.260040427933895</v>
      </c>
      <c r="G47" s="52">
        <v>0.32365344130178553</v>
      </c>
      <c r="H47" s="52">
        <v>21.97271345292739</v>
      </c>
      <c r="I47" s="52">
        <v>0.41390248022750153</v>
      </c>
      <c r="J47" s="52">
        <v>34.866788858254708</v>
      </c>
      <c r="K47" s="52">
        <v>1.2996982543664881</v>
      </c>
      <c r="L47" s="52">
        <v>21.7626130804139</v>
      </c>
      <c r="M47" s="52">
        <v>1.9930671123041588</v>
      </c>
      <c r="N47" s="52">
        <v>16.798300994627521</v>
      </c>
      <c r="O47" s="52">
        <v>3.3245969308968615</v>
      </c>
      <c r="P47" s="52">
        <v>30.571309645642579</v>
      </c>
      <c r="Q47" s="52">
        <v>4.3033938613450173</v>
      </c>
      <c r="R47" s="52">
        <v>37.554327959318066</v>
      </c>
      <c r="S47" s="52">
        <v>0.35371047924703802</v>
      </c>
      <c r="T47" s="52">
        <v>15.558356725696964</v>
      </c>
      <c r="U47" s="52">
        <v>0.95617259428988355</v>
      </c>
      <c r="V47" s="53">
        <v>24.107727696392988</v>
      </c>
      <c r="W47" s="52">
        <v>1.0727459996658029</v>
      </c>
      <c r="X47" s="53">
        <v>29.312813654488519</v>
      </c>
      <c r="Y47" s="52">
        <v>1.0659917753417236</v>
      </c>
    </row>
    <row r="48" spans="1:45" ht="14.45" customHeight="1">
      <c r="A48" s="51" t="s">
        <v>14</v>
      </c>
      <c r="B48" s="52">
        <v>20.702328843621967</v>
      </c>
      <c r="C48" s="52">
        <v>0.28163482940284368</v>
      </c>
      <c r="D48" s="52">
        <v>12.722032699961174</v>
      </c>
      <c r="E48" s="52">
        <v>0.18453176021395734</v>
      </c>
      <c r="F48" s="52">
        <v>48.352444550247085</v>
      </c>
      <c r="G48" s="52">
        <v>0.19147129072794034</v>
      </c>
      <c r="H48" s="52">
        <v>22.064941647715695</v>
      </c>
      <c r="I48" s="52">
        <v>0.41973966932162821</v>
      </c>
      <c r="J48" s="52">
        <v>35.054434035608566</v>
      </c>
      <c r="K48" s="52">
        <v>0.53817739889010507</v>
      </c>
      <c r="L48" s="52">
        <v>22.061375396070119</v>
      </c>
      <c r="M48" s="52">
        <v>1.3728237254978515</v>
      </c>
      <c r="N48" s="52">
        <v>16.809434335808323</v>
      </c>
      <c r="O48" s="52">
        <v>6.6276590616887177E-2</v>
      </c>
      <c r="P48" s="52">
        <v>30.571309645642579</v>
      </c>
      <c r="Q48" s="52">
        <v>0</v>
      </c>
      <c r="R48" s="52">
        <v>37.736285663036789</v>
      </c>
      <c r="S48" s="52">
        <v>0.48451859907023831</v>
      </c>
      <c r="T48" s="52">
        <v>15.558356725696964</v>
      </c>
      <c r="U48" s="52">
        <v>0</v>
      </c>
      <c r="V48" s="53">
        <v>24.114452471074785</v>
      </c>
      <c r="W48" s="52">
        <v>2.7894684917995072E-2</v>
      </c>
      <c r="X48" s="53">
        <v>29.535325497573307</v>
      </c>
      <c r="Y48" s="52">
        <v>0.75909411395147508</v>
      </c>
    </row>
    <row r="49" spans="1:25" ht="5.0999999999999996" customHeight="1">
      <c r="A49" s="5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3"/>
      <c r="W49" s="52"/>
      <c r="X49" s="53"/>
      <c r="Y49" s="52"/>
    </row>
    <row r="50" spans="1:25" ht="14.1" customHeight="1">
      <c r="A50" s="51">
        <v>2000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3"/>
      <c r="W50" s="52"/>
      <c r="X50" s="53"/>
      <c r="Y50" s="52"/>
    </row>
    <row r="51" spans="1:25" ht="14.45" customHeight="1">
      <c r="A51" s="51" t="s">
        <v>3</v>
      </c>
      <c r="B51" s="52">
        <v>20.674613403887875</v>
      </c>
      <c r="C51" s="52">
        <v>-0.1338759515581267</v>
      </c>
      <c r="D51" s="52">
        <v>12.733513519303678</v>
      </c>
      <c r="E51" s="52">
        <v>9.0243592460970135E-2</v>
      </c>
      <c r="F51" s="52">
        <v>48.522226740341928</v>
      </c>
      <c r="G51" s="52">
        <v>0.35113465652891751</v>
      </c>
      <c r="H51" s="52">
        <v>22.501227685033019</v>
      </c>
      <c r="I51" s="52">
        <v>1.977281627492955</v>
      </c>
      <c r="J51" s="52">
        <v>35.278321578603688</v>
      </c>
      <c r="K51" s="52">
        <v>0.63868537363260813</v>
      </c>
      <c r="L51" s="52">
        <v>22.380862458308094</v>
      </c>
      <c r="M51" s="52">
        <v>1.4481738173717229</v>
      </c>
      <c r="N51" s="52">
        <v>16.813711238689496</v>
      </c>
      <c r="O51" s="52">
        <v>2.5443467018182453E-2</v>
      </c>
      <c r="P51" s="52">
        <v>30.571309645642579</v>
      </c>
      <c r="Q51" s="52">
        <v>0</v>
      </c>
      <c r="R51" s="52">
        <v>37.76177369285363</v>
      </c>
      <c r="S51" s="52">
        <v>6.7542497543171542E-2</v>
      </c>
      <c r="T51" s="52">
        <v>15.558356725696964</v>
      </c>
      <c r="U51" s="52">
        <v>0</v>
      </c>
      <c r="V51" s="53">
        <v>24.127088280297638</v>
      </c>
      <c r="W51" s="52">
        <v>5.2399320440765784E-2</v>
      </c>
      <c r="X51" s="53">
        <v>29.653339351287226</v>
      </c>
      <c r="Y51" s="52">
        <v>0.39956848866831152</v>
      </c>
    </row>
    <row r="52" spans="1:25" ht="14.45" customHeight="1">
      <c r="A52" s="51" t="s">
        <v>4</v>
      </c>
      <c r="B52" s="52">
        <v>20.550854963095546</v>
      </c>
      <c r="C52" s="52">
        <v>-0.59860099134456668</v>
      </c>
      <c r="D52" s="52">
        <v>12.744359032481286</v>
      </c>
      <c r="E52" s="52">
        <v>8.5172981998771213E-2</v>
      </c>
      <c r="F52" s="52">
        <v>48.674064589060379</v>
      </c>
      <c r="G52" s="52">
        <v>0.31292432132388193</v>
      </c>
      <c r="H52" s="52">
        <v>22.563225201404311</v>
      </c>
      <c r="I52" s="52">
        <v>0.27552948327584925</v>
      </c>
      <c r="J52" s="52">
        <v>35.471537179410142</v>
      </c>
      <c r="K52" s="52">
        <v>0.54768932352959876</v>
      </c>
      <c r="L52" s="52">
        <v>22.733280102845942</v>
      </c>
      <c r="M52" s="52">
        <v>1.5746383554000376</v>
      </c>
      <c r="N52" s="52">
        <v>16.834337503646847</v>
      </c>
      <c r="O52" s="52">
        <v>0.12267526582643296</v>
      </c>
      <c r="P52" s="52">
        <v>30.571309645642579</v>
      </c>
      <c r="Q52" s="52">
        <v>0</v>
      </c>
      <c r="R52" s="52">
        <v>37.799033738701382</v>
      </c>
      <c r="S52" s="52">
        <v>9.8671334007827127E-2</v>
      </c>
      <c r="T52" s="52">
        <v>15.558356725696964</v>
      </c>
      <c r="U52" s="52">
        <v>0</v>
      </c>
      <c r="V52" s="53">
        <v>24.211110005264384</v>
      </c>
      <c r="W52" s="52">
        <v>0.34824643566857549</v>
      </c>
      <c r="X52" s="53">
        <v>29.76634186071874</v>
      </c>
      <c r="Y52" s="52">
        <v>0.38107852910875817</v>
      </c>
    </row>
    <row r="53" spans="1:25" ht="14.45" customHeight="1">
      <c r="A53" s="51" t="s">
        <v>5</v>
      </c>
      <c r="B53" s="52">
        <v>20.371031242133366</v>
      </c>
      <c r="C53" s="52">
        <v>-0.87501819892700228</v>
      </c>
      <c r="D53" s="52">
        <v>12.686643326492023</v>
      </c>
      <c r="E53" s="52">
        <v>-0.45287256771536777</v>
      </c>
      <c r="F53" s="52">
        <v>48.7963926948402</v>
      </c>
      <c r="G53" s="52">
        <v>0.25132091764392683</v>
      </c>
      <c r="H53" s="52">
        <v>22.646125324819895</v>
      </c>
      <c r="I53" s="52">
        <v>0.36741256037466918</v>
      </c>
      <c r="J53" s="52">
        <v>35.652832513708574</v>
      </c>
      <c r="K53" s="52">
        <v>0.51110086766599228</v>
      </c>
      <c r="L53" s="52">
        <v>23.074351707674722</v>
      </c>
      <c r="M53" s="52">
        <v>1.5003184902740108</v>
      </c>
      <c r="N53" s="52">
        <v>16.839400164408946</v>
      </c>
      <c r="O53" s="52">
        <v>3.0073418457976508E-2</v>
      </c>
      <c r="P53" s="52">
        <v>30.571309645642579</v>
      </c>
      <c r="Q53" s="52">
        <v>0</v>
      </c>
      <c r="R53" s="52">
        <v>37.90248536533251</v>
      </c>
      <c r="S53" s="52">
        <v>0.27368854808902388</v>
      </c>
      <c r="T53" s="52">
        <v>15.558356725696964</v>
      </c>
      <c r="U53" s="52">
        <v>0</v>
      </c>
      <c r="V53" s="53">
        <v>24.283557102540726</v>
      </c>
      <c r="W53" s="52">
        <v>0.29923079635998384</v>
      </c>
      <c r="X53" s="53">
        <v>29.928820002568887</v>
      </c>
      <c r="Y53" s="52">
        <v>0.54584517845830405</v>
      </c>
    </row>
    <row r="54" spans="1:25" ht="14.45" customHeight="1">
      <c r="A54" s="51" t="s">
        <v>6</v>
      </c>
      <c r="B54" s="52">
        <v>20.237266571649268</v>
      </c>
      <c r="C54" s="52">
        <v>-0.65664162454098784</v>
      </c>
      <c r="D54" s="52">
        <v>12.675356370638397</v>
      </c>
      <c r="E54" s="52">
        <v>-8.8967235565429181E-2</v>
      </c>
      <c r="F54" s="52">
        <v>48.893549291079708</v>
      </c>
      <c r="G54" s="52">
        <v>0.19910610369724413</v>
      </c>
      <c r="H54" s="52">
        <v>22.706242410567693</v>
      </c>
      <c r="I54" s="52">
        <v>0.26546300917054122</v>
      </c>
      <c r="J54" s="52">
        <v>35.7982972759349</v>
      </c>
      <c r="K54" s="52">
        <v>0.4080033814154671</v>
      </c>
      <c r="L54" s="52">
        <v>23.345665301999528</v>
      </c>
      <c r="M54" s="52">
        <v>1.1758232593575446</v>
      </c>
      <c r="N54" s="52">
        <v>16.849326339007895</v>
      </c>
      <c r="O54" s="52">
        <v>5.8946129327863694E-2</v>
      </c>
      <c r="P54" s="52">
        <v>30.571309645642579</v>
      </c>
      <c r="Q54" s="52">
        <v>0</v>
      </c>
      <c r="R54" s="52">
        <v>37.967522452329931</v>
      </c>
      <c r="S54" s="52">
        <v>0.17159056027735708</v>
      </c>
      <c r="T54" s="52">
        <v>15.558356725696964</v>
      </c>
      <c r="U54" s="52">
        <v>0</v>
      </c>
      <c r="V54" s="53">
        <v>24.595366046357814</v>
      </c>
      <c r="W54" s="52">
        <v>1.2840332349187245</v>
      </c>
      <c r="X54" s="53">
        <v>30.08035050057406</v>
      </c>
      <c r="Y54" s="52">
        <v>0.50630294810207754</v>
      </c>
    </row>
    <row r="55" spans="1:25" ht="14.45" customHeight="1">
      <c r="A55" s="51" t="s">
        <v>7</v>
      </c>
      <c r="B55" s="52">
        <v>20.177077350466615</v>
      </c>
      <c r="C55" s="52">
        <v>-0.29741774151936795</v>
      </c>
      <c r="D55" s="52">
        <v>12.701082659489726</v>
      </c>
      <c r="E55" s="52">
        <v>0.2029630418196593</v>
      </c>
      <c r="F55" s="52">
        <v>49.029583803173452</v>
      </c>
      <c r="G55" s="52">
        <v>0.27822588882611132</v>
      </c>
      <c r="H55" s="52">
        <v>22.778092734196633</v>
      </c>
      <c r="I55" s="52">
        <v>0.316434231299767</v>
      </c>
      <c r="J55" s="52">
        <v>35.93160130795431</v>
      </c>
      <c r="K55" s="52">
        <v>0.37237534230161184</v>
      </c>
      <c r="L55" s="52">
        <v>23.400727321237074</v>
      </c>
      <c r="M55" s="52">
        <v>0.23585542979933649</v>
      </c>
      <c r="N55" s="52">
        <v>16.898026633133973</v>
      </c>
      <c r="O55" s="52">
        <v>0.28903407261648972</v>
      </c>
      <c r="P55" s="52">
        <v>30.571309645642579</v>
      </c>
      <c r="Q55" s="52">
        <v>0</v>
      </c>
      <c r="R55" s="52">
        <v>38.028404624083969</v>
      </c>
      <c r="S55" s="52">
        <v>0.16035329097514595</v>
      </c>
      <c r="T55" s="52">
        <v>15.558356725696964</v>
      </c>
      <c r="U55" s="52">
        <v>0</v>
      </c>
      <c r="V55" s="53">
        <v>24.565530848450567</v>
      </c>
      <c r="W55" s="52">
        <v>-0.12130414262188083</v>
      </c>
      <c r="X55" s="53">
        <v>30.241076167728618</v>
      </c>
      <c r="Y55" s="52">
        <v>0.53432112485354288</v>
      </c>
    </row>
    <row r="56" spans="1:25" ht="14.45" customHeight="1">
      <c r="A56" s="51" t="s">
        <v>8</v>
      </c>
      <c r="B56" s="52">
        <v>19.906145327824269</v>
      </c>
      <c r="C56" s="52">
        <v>-1.3427713931823737</v>
      </c>
      <c r="D56" s="52">
        <v>13.033671271958598</v>
      </c>
      <c r="E56" s="52">
        <v>2.6185847410446828</v>
      </c>
      <c r="F56" s="52">
        <v>49.144137052133757</v>
      </c>
      <c r="G56" s="52">
        <v>0.23364107967991377</v>
      </c>
      <c r="H56" s="52">
        <v>22.846250495182794</v>
      </c>
      <c r="I56" s="52">
        <v>0.29922505708230851</v>
      </c>
      <c r="J56" s="52">
        <v>36.102871072449993</v>
      </c>
      <c r="K56" s="52">
        <v>0.47665497295208414</v>
      </c>
      <c r="L56" s="52">
        <v>23.70045161882642</v>
      </c>
      <c r="M56" s="52">
        <v>1.2808332556284885</v>
      </c>
      <c r="N56" s="52">
        <v>16.909055716021694</v>
      </c>
      <c r="O56" s="52">
        <v>6.5268466710155515E-2</v>
      </c>
      <c r="P56" s="52">
        <v>42.283253918663938</v>
      </c>
      <c r="Q56" s="52">
        <v>38.310247119853756</v>
      </c>
      <c r="R56" s="52">
        <v>38.11890582026809</v>
      </c>
      <c r="S56" s="52">
        <v>0.23798315253751312</v>
      </c>
      <c r="T56" s="52">
        <v>15.558356725696964</v>
      </c>
      <c r="U56" s="52">
        <v>0</v>
      </c>
      <c r="V56" s="53">
        <v>24.575218652701423</v>
      </c>
      <c r="W56" s="52">
        <v>3.9436576032580994E-2</v>
      </c>
      <c r="X56" s="53">
        <v>30.36664531495601</v>
      </c>
      <c r="Y56" s="52">
        <v>0.41522711206087859</v>
      </c>
    </row>
    <row r="57" spans="1:25" ht="14.45" customHeight="1">
      <c r="A57" s="51" t="s">
        <v>9</v>
      </c>
      <c r="B57" s="52">
        <v>20.050692786420704</v>
      </c>
      <c r="C57" s="52">
        <v>0.72614489754774247</v>
      </c>
      <c r="D57" s="52">
        <v>13.106604811878867</v>
      </c>
      <c r="E57" s="52">
        <v>0.55957786872515847</v>
      </c>
      <c r="F57" s="52">
        <v>49.305822734455134</v>
      </c>
      <c r="G57" s="52">
        <v>0.32900299409033273</v>
      </c>
      <c r="H57" s="52">
        <v>22.91761330160141</v>
      </c>
      <c r="I57" s="52">
        <v>0.31236113091583917</v>
      </c>
      <c r="J57" s="52">
        <v>36.269287838763944</v>
      </c>
      <c r="K57" s="52">
        <v>0.46095161235235604</v>
      </c>
      <c r="L57" s="52">
        <v>23.810270433282952</v>
      </c>
      <c r="M57" s="52">
        <v>0.46336169547629424</v>
      </c>
      <c r="N57" s="52">
        <v>16.994557649570623</v>
      </c>
      <c r="O57" s="52">
        <v>0.50565764868770735</v>
      </c>
      <c r="P57" s="52">
        <v>42.283253918663938</v>
      </c>
      <c r="Q57" s="52">
        <v>0</v>
      </c>
      <c r="R57" s="52">
        <v>38.35032755990084</v>
      </c>
      <c r="S57" s="52">
        <v>0.60710488575907995</v>
      </c>
      <c r="T57" s="52">
        <v>15.558356725696964</v>
      </c>
      <c r="U57" s="52">
        <v>0</v>
      </c>
      <c r="V57" s="53">
        <v>24.588095851489651</v>
      </c>
      <c r="W57" s="52">
        <v>5.23991219374631E-2</v>
      </c>
      <c r="X57" s="53">
        <v>30.483080378224955</v>
      </c>
      <c r="Y57" s="52">
        <v>0.38343077432922978</v>
      </c>
    </row>
    <row r="58" spans="1:25" ht="14.45" customHeight="1">
      <c r="A58" s="51" t="s">
        <v>10</v>
      </c>
      <c r="B58" s="52">
        <v>20.376724218077655</v>
      </c>
      <c r="C58" s="52">
        <v>1.6260357441502116</v>
      </c>
      <c r="D58" s="52">
        <v>13.118250451590409</v>
      </c>
      <c r="E58" s="52">
        <v>8.8853214685991055E-2</v>
      </c>
      <c r="F58" s="52">
        <v>49.474556754699982</v>
      </c>
      <c r="G58" s="52">
        <v>0.34221925705122391</v>
      </c>
      <c r="H58" s="52">
        <v>23.034577693499028</v>
      </c>
      <c r="I58" s="52">
        <v>0.51036899156267079</v>
      </c>
      <c r="J58" s="52">
        <v>36.472853104763232</v>
      </c>
      <c r="K58" s="52">
        <v>0.56126071982511849</v>
      </c>
      <c r="L58" s="52">
        <v>23.968135968144779</v>
      </c>
      <c r="M58" s="52">
        <v>0.66301445548118121</v>
      </c>
      <c r="N58" s="52">
        <v>17.427154087613168</v>
      </c>
      <c r="O58" s="52">
        <v>2.5454998415535446</v>
      </c>
      <c r="P58" s="52">
        <v>42.283253918663938</v>
      </c>
      <c r="Q58" s="52">
        <v>0</v>
      </c>
      <c r="R58" s="52">
        <v>38.453457196543766</v>
      </c>
      <c r="S58" s="52">
        <v>0.26891461743541178</v>
      </c>
      <c r="T58" s="52">
        <v>15.558356725696964</v>
      </c>
      <c r="U58" s="52">
        <v>0</v>
      </c>
      <c r="V58" s="53">
        <v>24.87710445184484</v>
      </c>
      <c r="W58" s="52">
        <v>1.1754004950232044</v>
      </c>
      <c r="X58" s="53">
        <v>30.540334370447699</v>
      </c>
      <c r="Y58" s="52">
        <v>0.18782220009381234</v>
      </c>
    </row>
    <row r="59" spans="1:25" ht="14.45" customHeight="1">
      <c r="A59" s="51" t="s">
        <v>11</v>
      </c>
      <c r="B59" s="52">
        <v>20.704149468974318</v>
      </c>
      <c r="C59" s="52">
        <v>1.6068591172578195</v>
      </c>
      <c r="D59" s="52">
        <v>13.140400931674719</v>
      </c>
      <c r="E59" s="52">
        <v>0.1688523951120624</v>
      </c>
      <c r="F59" s="52">
        <v>49.678312256667127</v>
      </c>
      <c r="G59" s="52">
        <v>0.41183896396967956</v>
      </c>
      <c r="H59" s="52">
        <v>23.825242375056959</v>
      </c>
      <c r="I59" s="52">
        <v>3.4325121653134394</v>
      </c>
      <c r="J59" s="52">
        <v>36.674451851269389</v>
      </c>
      <c r="K59" s="52">
        <v>0.55273643092053071</v>
      </c>
      <c r="L59" s="52">
        <v>24.308942955506115</v>
      </c>
      <c r="M59" s="52">
        <v>1.421916947627011</v>
      </c>
      <c r="N59" s="52">
        <v>19.754079011533193</v>
      </c>
      <c r="O59" s="52">
        <v>13.352294426397204</v>
      </c>
      <c r="P59" s="52">
        <v>42.283253918663938</v>
      </c>
      <c r="Q59" s="52">
        <v>0</v>
      </c>
      <c r="R59" s="52">
        <v>38.49906289237029</v>
      </c>
      <c r="S59" s="52">
        <v>0.11859972848065059</v>
      </c>
      <c r="T59" s="52">
        <v>16.576620757022134</v>
      </c>
      <c r="U59" s="52">
        <v>6.5448045013864142</v>
      </c>
      <c r="V59" s="53">
        <v>25.510373262001799</v>
      </c>
      <c r="W59" s="52">
        <v>2.5455889023692224</v>
      </c>
      <c r="X59" s="53">
        <v>30.756808207827248</v>
      </c>
      <c r="Y59" s="52">
        <v>0.70881292507727345</v>
      </c>
    </row>
    <row r="60" spans="1:25" ht="14.45" customHeight="1">
      <c r="A60" s="51" t="s">
        <v>12</v>
      </c>
      <c r="B60" s="52">
        <v>20.79001898174181</v>
      </c>
      <c r="C60" s="52">
        <v>0.41474542528863179</v>
      </c>
      <c r="D60" s="52">
        <v>13.131210600227169</v>
      </c>
      <c r="E60" s="52">
        <v>-6.9939505615823627E-2</v>
      </c>
      <c r="F60" s="52">
        <v>49.868483009635447</v>
      </c>
      <c r="G60" s="52">
        <v>0.38280437545017421</v>
      </c>
      <c r="H60" s="52">
        <v>23.90302143120444</v>
      </c>
      <c r="I60" s="52">
        <v>0.32645651583762536</v>
      </c>
      <c r="J60" s="52">
        <v>36.838530756781118</v>
      </c>
      <c r="K60" s="52">
        <v>0.4473929322165171</v>
      </c>
      <c r="L60" s="52">
        <v>24.442377404686923</v>
      </c>
      <c r="M60" s="52">
        <v>0.54891094781470695</v>
      </c>
      <c r="N60" s="52">
        <v>19.785446099257324</v>
      </c>
      <c r="O60" s="52">
        <v>0.15878790251784292</v>
      </c>
      <c r="P60" s="52">
        <v>42.283253918663938</v>
      </c>
      <c r="Q60" s="52">
        <v>0</v>
      </c>
      <c r="R60" s="52">
        <v>38.513640326058834</v>
      </c>
      <c r="S60" s="52">
        <v>3.7864385762587105E-2</v>
      </c>
      <c r="T60" s="52">
        <v>16.576620757022134</v>
      </c>
      <c r="U60" s="52">
        <v>0</v>
      </c>
      <c r="V60" s="53">
        <v>25.518737616592116</v>
      </c>
      <c r="W60" s="52">
        <v>3.278805254791628E-2</v>
      </c>
      <c r="X60" s="53">
        <v>30.881504674003146</v>
      </c>
      <c r="Y60" s="52">
        <v>0.40542719951077721</v>
      </c>
    </row>
    <row r="61" spans="1:25" ht="14.45" customHeight="1">
      <c r="A61" s="51" t="s">
        <v>13</v>
      </c>
      <c r="B61" s="52">
        <v>21.030103165987612</v>
      </c>
      <c r="C61" s="52">
        <v>1.1548050266651844</v>
      </c>
      <c r="D61" s="52">
        <v>13.16695383033303</v>
      </c>
      <c r="E61" s="52">
        <v>0.27220057003154441</v>
      </c>
      <c r="F61" s="52">
        <v>50.008625608621571</v>
      </c>
      <c r="G61" s="52">
        <v>0.28102438760577719</v>
      </c>
      <c r="H61" s="52">
        <v>24.002005998828192</v>
      </c>
      <c r="I61" s="52">
        <v>0.41410901926621779</v>
      </c>
      <c r="J61" s="52">
        <v>37.015045705618434</v>
      </c>
      <c r="K61" s="52">
        <v>0.47915849305368852</v>
      </c>
      <c r="L61" s="52">
        <v>24.717139902497756</v>
      </c>
      <c r="M61" s="52">
        <v>1.1241234568211356</v>
      </c>
      <c r="N61" s="52">
        <v>19.781921179300308</v>
      </c>
      <c r="O61" s="52">
        <v>-1.7815721411251761E-2</v>
      </c>
      <c r="P61" s="52">
        <v>42.283253918663938</v>
      </c>
      <c r="Q61" s="52">
        <v>0</v>
      </c>
      <c r="R61" s="52">
        <v>38.525570881041801</v>
      </c>
      <c r="S61" s="52">
        <v>3.0977479360472238E-2</v>
      </c>
      <c r="T61" s="52">
        <v>16.576620757022134</v>
      </c>
      <c r="U61" s="52">
        <v>0</v>
      </c>
      <c r="V61" s="53">
        <v>25.515317954889923</v>
      </c>
      <c r="W61" s="52">
        <v>-1.3400591179590915E-2</v>
      </c>
      <c r="X61" s="53">
        <v>31.034760166447736</v>
      </c>
      <c r="Y61" s="52">
        <v>0.49626951167831557</v>
      </c>
    </row>
    <row r="62" spans="1:25" ht="14.45" customHeight="1">
      <c r="A62" s="51" t="s">
        <v>14</v>
      </c>
      <c r="B62" s="52">
        <v>21.322473019081919</v>
      </c>
      <c r="C62" s="52">
        <v>1.3902445023054488</v>
      </c>
      <c r="D62" s="52">
        <v>13.19794610116444</v>
      </c>
      <c r="E62" s="52">
        <v>0.23537920183187566</v>
      </c>
      <c r="F62" s="52">
        <v>50.20952088410997</v>
      </c>
      <c r="G62" s="52">
        <v>0.40172124917139396</v>
      </c>
      <c r="H62" s="52">
        <v>24.807003921958543</v>
      </c>
      <c r="I62" s="52">
        <v>3.3538776849303842</v>
      </c>
      <c r="J62" s="52">
        <v>37.209173009720281</v>
      </c>
      <c r="K62" s="52">
        <v>0.52445512466943178</v>
      </c>
      <c r="L62" s="52">
        <v>24.863882332667707</v>
      </c>
      <c r="M62" s="52">
        <v>0.5936869344463247</v>
      </c>
      <c r="N62" s="52">
        <v>19.993042727301901</v>
      </c>
      <c r="O62" s="52">
        <v>1.067244915637966</v>
      </c>
      <c r="P62" s="52">
        <v>42.283253918663938</v>
      </c>
      <c r="Q62" s="52">
        <v>0</v>
      </c>
      <c r="R62" s="52">
        <v>38.792028532504958</v>
      </c>
      <c r="S62" s="52">
        <v>0.69163842447894641</v>
      </c>
      <c r="T62" s="52">
        <v>16.576620757022134</v>
      </c>
      <c r="U62" s="52">
        <v>0</v>
      </c>
      <c r="V62" s="53">
        <v>25.754005983011744</v>
      </c>
      <c r="W62" s="52">
        <v>0.93546954242864633</v>
      </c>
      <c r="X62" s="53">
        <v>31.170871357643804</v>
      </c>
      <c r="Y62" s="52">
        <v>0.43857658466206484</v>
      </c>
    </row>
    <row r="63" spans="1:25" ht="5.0999999999999996" customHeight="1">
      <c r="A63" s="5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3"/>
      <c r="W63" s="52"/>
      <c r="X63" s="53"/>
      <c r="Y63" s="52"/>
    </row>
    <row r="64" spans="1:25" ht="14.1" customHeight="1">
      <c r="A64" s="51">
        <v>2001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3"/>
      <c r="W64" s="52"/>
      <c r="X64" s="53"/>
      <c r="Y64" s="52"/>
    </row>
    <row r="65" spans="1:25" ht="14.45" customHeight="1">
      <c r="A65" s="51" t="s">
        <v>3</v>
      </c>
      <c r="B65" s="52">
        <v>21.466008564907369</v>
      </c>
      <c r="C65" s="52">
        <v>0.67316556431797903</v>
      </c>
      <c r="D65" s="52">
        <v>15.783656996755086</v>
      </c>
      <c r="E65" s="52">
        <v>19.591767353577172</v>
      </c>
      <c r="F65" s="52">
        <v>50.438625209357845</v>
      </c>
      <c r="G65" s="52">
        <v>0.45629657725010375</v>
      </c>
      <c r="H65" s="52">
        <v>24.942477473078746</v>
      </c>
      <c r="I65" s="52">
        <v>0.54611008869267508</v>
      </c>
      <c r="J65" s="52">
        <v>37.484358805010743</v>
      </c>
      <c r="K65" s="52">
        <v>0.73956439509841321</v>
      </c>
      <c r="L65" s="52">
        <v>25.073554666524068</v>
      </c>
      <c r="M65" s="52">
        <v>0.84328075177897421</v>
      </c>
      <c r="N65" s="52">
        <v>20.781907031328672</v>
      </c>
      <c r="O65" s="52">
        <v>3.9456940836199994</v>
      </c>
      <c r="P65" s="52">
        <v>43.986427578848371</v>
      </c>
      <c r="Q65" s="52">
        <v>4.0280099148960025</v>
      </c>
      <c r="R65" s="52">
        <v>39.281290581001507</v>
      </c>
      <c r="S65" s="52">
        <v>1.2612437838526169</v>
      </c>
      <c r="T65" s="52">
        <v>16.81324599389729</v>
      </c>
      <c r="U65" s="52">
        <v>1.427463657060013</v>
      </c>
      <c r="V65" s="53">
        <v>27.625404285392946</v>
      </c>
      <c r="W65" s="52">
        <v>7.2664357677622693</v>
      </c>
      <c r="X65" s="53">
        <v>32.339841474952102</v>
      </c>
      <c r="Y65" s="52">
        <v>3.7502003197021239</v>
      </c>
    </row>
    <row r="66" spans="1:25" ht="14.45" customHeight="1">
      <c r="A66" s="51" t="s">
        <v>4</v>
      </c>
      <c r="B66" s="52">
        <v>21.405296032527851</v>
      </c>
      <c r="C66" s="52">
        <v>-0.28283102653173797</v>
      </c>
      <c r="D66" s="52">
        <v>16.033890016894421</v>
      </c>
      <c r="E66" s="52">
        <v>1.5853931708651459</v>
      </c>
      <c r="F66" s="52">
        <v>50.789977904859747</v>
      </c>
      <c r="G66" s="52">
        <v>0.69659451272416906</v>
      </c>
      <c r="H66" s="52">
        <v>24.591481624566072</v>
      </c>
      <c r="I66" s="52">
        <v>-1.407221270988479</v>
      </c>
      <c r="J66" s="52">
        <v>37.697610692717362</v>
      </c>
      <c r="K66" s="52">
        <v>0.56890899165684683</v>
      </c>
      <c r="L66" s="52">
        <v>25.217315881546693</v>
      </c>
      <c r="M66" s="52">
        <v>0.57335793402506496</v>
      </c>
      <c r="N66" s="52">
        <v>20.857163520272845</v>
      </c>
      <c r="O66" s="52">
        <v>0.36212503900976412</v>
      </c>
      <c r="P66" s="52">
        <v>43.986427578848371</v>
      </c>
      <c r="Q66" s="52">
        <v>0</v>
      </c>
      <c r="R66" s="52">
        <v>39.475473610328656</v>
      </c>
      <c r="S66" s="52">
        <v>0.49433973898269645</v>
      </c>
      <c r="T66" s="52">
        <v>16.81324599389729</v>
      </c>
      <c r="U66" s="52">
        <v>0</v>
      </c>
      <c r="V66" s="53">
        <v>27.880146803187792</v>
      </c>
      <c r="W66" s="52">
        <v>0.92213136561964948</v>
      </c>
      <c r="X66" s="53">
        <v>32.660747509826429</v>
      </c>
      <c r="Y66" s="52">
        <v>0.99229315988724753</v>
      </c>
    </row>
    <row r="67" spans="1:25" ht="14.45" customHeight="1">
      <c r="A67" s="51" t="s">
        <v>5</v>
      </c>
      <c r="B67" s="52">
        <v>21.340852269425987</v>
      </c>
      <c r="C67" s="52">
        <v>-0.30106457301003475</v>
      </c>
      <c r="D67" s="52">
        <v>16.058924097699649</v>
      </c>
      <c r="E67" s="52">
        <v>0.1561322971459278</v>
      </c>
      <c r="F67" s="52">
        <v>50.968816043320615</v>
      </c>
      <c r="G67" s="52">
        <v>0.3521130463885358</v>
      </c>
      <c r="H67" s="52">
        <v>23.938635872367506</v>
      </c>
      <c r="I67" s="52">
        <v>-2.6547638005934293</v>
      </c>
      <c r="J67" s="52">
        <v>37.921279227651709</v>
      </c>
      <c r="K67" s="52">
        <v>0.59332284148596592</v>
      </c>
      <c r="L67" s="52">
        <v>25.412051724856887</v>
      </c>
      <c r="M67" s="52">
        <v>0.77223065382900913</v>
      </c>
      <c r="N67" s="52">
        <v>20.603342782293737</v>
      </c>
      <c r="O67" s="52">
        <v>-1.2169475381079375</v>
      </c>
      <c r="P67" s="52">
        <v>43.986427578848371</v>
      </c>
      <c r="Q67" s="52">
        <v>0</v>
      </c>
      <c r="R67" s="52">
        <v>39.593286585684957</v>
      </c>
      <c r="S67" s="52">
        <v>0.29844600857549253</v>
      </c>
      <c r="T67" s="52">
        <v>16.831602040826294</v>
      </c>
      <c r="U67" s="52">
        <v>0.10917610398173405</v>
      </c>
      <c r="V67" s="53">
        <v>27.891395155456113</v>
      </c>
      <c r="W67" s="52">
        <v>4.0345383931184031E-2</v>
      </c>
      <c r="X67" s="53">
        <v>32.807551879047637</v>
      </c>
      <c r="Y67" s="52">
        <v>0.4494825759179033</v>
      </c>
    </row>
    <row r="68" spans="1:25" ht="14.45" customHeight="1">
      <c r="A68" s="51" t="s">
        <v>6</v>
      </c>
      <c r="B68" s="52">
        <v>21.262891346288868</v>
      </c>
      <c r="C68" s="52">
        <v>-0.36531307256557621</v>
      </c>
      <c r="D68" s="52">
        <v>16.088817141128541</v>
      </c>
      <c r="E68" s="52">
        <v>0.18614599114503694</v>
      </c>
      <c r="F68" s="52">
        <v>51.14897555483919</v>
      </c>
      <c r="G68" s="52">
        <v>0.35347007347679149</v>
      </c>
      <c r="H68" s="52">
        <v>24.160703853611082</v>
      </c>
      <c r="I68" s="52">
        <v>0.92765511964660874</v>
      </c>
      <c r="J68" s="52">
        <v>38.09131462323348</v>
      </c>
      <c r="K68" s="52">
        <v>0.44839045265587796</v>
      </c>
      <c r="L68" s="52">
        <v>25.426099507897725</v>
      </c>
      <c r="M68" s="52">
        <v>5.5280003334390315E-2</v>
      </c>
      <c r="N68" s="52">
        <v>21.183312555670703</v>
      </c>
      <c r="O68" s="52">
        <v>2.814930467862653</v>
      </c>
      <c r="P68" s="52">
        <v>43.986427578848371</v>
      </c>
      <c r="Q68" s="52">
        <v>0</v>
      </c>
      <c r="R68" s="52">
        <v>39.688156342498523</v>
      </c>
      <c r="S68" s="52">
        <v>0.2396107143271653</v>
      </c>
      <c r="T68" s="52">
        <v>16.831602040826294</v>
      </c>
      <c r="U68" s="52">
        <v>0</v>
      </c>
      <c r="V68" s="53">
        <v>27.896934445062605</v>
      </c>
      <c r="W68" s="52">
        <v>1.9860209844724253E-2</v>
      </c>
      <c r="X68" s="53">
        <v>32.859464707802211</v>
      </c>
      <c r="Y68" s="52">
        <v>0.15823438745432572</v>
      </c>
    </row>
    <row r="69" spans="1:25" ht="14.45" customHeight="1">
      <c r="A69" s="51" t="s">
        <v>7</v>
      </c>
      <c r="B69" s="52">
        <v>21.169344378198769</v>
      </c>
      <c r="C69" s="52">
        <v>-0.43995412743538242</v>
      </c>
      <c r="D69" s="52">
        <v>16.118480127031134</v>
      </c>
      <c r="E69" s="52">
        <v>0.18437020970774043</v>
      </c>
      <c r="F69" s="52">
        <v>51.339805075959489</v>
      </c>
      <c r="G69" s="52">
        <v>0.37308571491465603</v>
      </c>
      <c r="H69" s="52">
        <v>24.328820698481881</v>
      </c>
      <c r="I69" s="52">
        <v>0.69582759628781243</v>
      </c>
      <c r="J69" s="52">
        <v>38.238712274425211</v>
      </c>
      <c r="K69" s="52">
        <v>0.3869586876947162</v>
      </c>
      <c r="L69" s="52">
        <v>25.439206013430539</v>
      </c>
      <c r="M69" s="52">
        <v>5.1547448434807741E-2</v>
      </c>
      <c r="N69" s="52">
        <v>21.196969863789437</v>
      </c>
      <c r="O69" s="52">
        <v>6.4472013443794829E-2</v>
      </c>
      <c r="P69" s="52">
        <v>43.986427578848371</v>
      </c>
      <c r="Q69" s="52">
        <v>0</v>
      </c>
      <c r="R69" s="52">
        <v>39.727986540818385</v>
      </c>
      <c r="S69" s="52">
        <v>0.10035789512654603</v>
      </c>
      <c r="T69" s="52">
        <v>17.313004977518045</v>
      </c>
      <c r="U69" s="52">
        <v>2.8601135858848936</v>
      </c>
      <c r="V69" s="53">
        <v>28.224520194131866</v>
      </c>
      <c r="W69" s="52">
        <v>1.1742714946489041</v>
      </c>
      <c r="X69" s="53">
        <v>32.959930900858815</v>
      </c>
      <c r="Y69" s="52">
        <v>0.30574506903866538</v>
      </c>
    </row>
    <row r="70" spans="1:25" ht="14.45" customHeight="1">
      <c r="A70" s="51" t="s">
        <v>8</v>
      </c>
      <c r="B70" s="52">
        <v>21.142471708145294</v>
      </c>
      <c r="C70" s="52">
        <v>-0.12694143745495268</v>
      </c>
      <c r="D70" s="52">
        <v>16.119224680842027</v>
      </c>
      <c r="E70" s="52">
        <v>4.619255692994706E-3</v>
      </c>
      <c r="F70" s="52">
        <v>51.527003469565187</v>
      </c>
      <c r="G70" s="52">
        <v>0.36462622584703119</v>
      </c>
      <c r="H70" s="52">
        <v>24.402448554124966</v>
      </c>
      <c r="I70" s="52">
        <v>0.3026363528080056</v>
      </c>
      <c r="J70" s="52">
        <v>38.355101417928033</v>
      </c>
      <c r="K70" s="52">
        <v>0.30437516480037452</v>
      </c>
      <c r="L70" s="52">
        <v>25.451319137086124</v>
      </c>
      <c r="M70" s="52">
        <v>4.7615965880343225E-2</v>
      </c>
      <c r="N70" s="52">
        <v>20.546621742932714</v>
      </c>
      <c r="O70" s="52">
        <v>-3.0681183444417948</v>
      </c>
      <c r="P70" s="52">
        <v>43.986427578848371</v>
      </c>
      <c r="Q70" s="52">
        <v>0</v>
      </c>
      <c r="R70" s="52">
        <v>39.723006979997535</v>
      </c>
      <c r="S70" s="52">
        <v>-1.2534138410813522E-2</v>
      </c>
      <c r="T70" s="52">
        <v>17.313004977518045</v>
      </c>
      <c r="U70" s="52">
        <v>0</v>
      </c>
      <c r="V70" s="53">
        <v>28.223837979079924</v>
      </c>
      <c r="W70" s="52">
        <v>-2.4171006176576526E-3</v>
      </c>
      <c r="X70" s="53">
        <v>33.06416454191632</v>
      </c>
      <c r="Y70" s="52">
        <v>0.31624350600440998</v>
      </c>
    </row>
    <row r="71" spans="1:25" ht="14.45" customHeight="1">
      <c r="A71" s="51" t="s">
        <v>9</v>
      </c>
      <c r="B71" s="52">
        <v>21.271576836789453</v>
      </c>
      <c r="C71" s="52">
        <v>0.61064349725212796</v>
      </c>
      <c r="D71" s="52">
        <v>16.121186964312955</v>
      </c>
      <c r="E71" s="52">
        <v>1.2173559893735586E-2</v>
      </c>
      <c r="F71" s="52">
        <v>51.692420617725702</v>
      </c>
      <c r="G71" s="52">
        <v>0.32103001731551561</v>
      </c>
      <c r="H71" s="52">
        <v>24.469261511720923</v>
      </c>
      <c r="I71" s="52">
        <v>0.27379612110549623</v>
      </c>
      <c r="J71" s="52">
        <v>38.478702650721551</v>
      </c>
      <c r="K71" s="52">
        <v>0.32225500187503808</v>
      </c>
      <c r="L71" s="52">
        <v>25.512744636943665</v>
      </c>
      <c r="M71" s="52">
        <v>0.24134505377380044</v>
      </c>
      <c r="N71" s="52">
        <v>20.105873546068384</v>
      </c>
      <c r="O71" s="52">
        <v>-2.1451127215885601</v>
      </c>
      <c r="P71" s="52">
        <v>43.123682369885138</v>
      </c>
      <c r="Q71" s="52">
        <v>-1.9613895841318563</v>
      </c>
      <c r="R71" s="52">
        <v>39.752262369673296</v>
      </c>
      <c r="S71" s="52">
        <v>7.3648477041254878E-2</v>
      </c>
      <c r="T71" s="52">
        <v>17.313004977518045</v>
      </c>
      <c r="U71" s="52">
        <v>0</v>
      </c>
      <c r="V71" s="53">
        <v>28.221442615840228</v>
      </c>
      <c r="W71" s="52">
        <v>-8.4870216498278417E-3</v>
      </c>
      <c r="X71" s="53">
        <v>33.20444295680749</v>
      </c>
      <c r="Y71" s="52">
        <v>0.42426118075156172</v>
      </c>
    </row>
    <row r="72" spans="1:25" ht="14.45" customHeight="1">
      <c r="A72" s="51" t="s">
        <v>10</v>
      </c>
      <c r="B72" s="52">
        <v>21.398588997281891</v>
      </c>
      <c r="C72" s="52">
        <v>0.59709800296876558</v>
      </c>
      <c r="D72" s="52">
        <v>16.124347720550698</v>
      </c>
      <c r="E72" s="52">
        <v>1.9606225303014924E-2</v>
      </c>
      <c r="F72" s="52">
        <v>51.864992061707703</v>
      </c>
      <c r="G72" s="52">
        <v>0.33384283792434744</v>
      </c>
      <c r="H72" s="52">
        <v>24.938330172975352</v>
      </c>
      <c r="I72" s="52">
        <v>1.9169710578708754</v>
      </c>
      <c r="J72" s="52">
        <v>38.603995807658578</v>
      </c>
      <c r="K72" s="52">
        <v>0.32561689533645577</v>
      </c>
      <c r="L72" s="52">
        <v>25.513404311285953</v>
      </c>
      <c r="M72" s="52">
        <v>2.5856659158884909E-3</v>
      </c>
      <c r="N72" s="52">
        <v>20.474362459351081</v>
      </c>
      <c r="O72" s="52">
        <v>1.8327426184113982</v>
      </c>
      <c r="P72" s="52">
        <v>43.123682369885138</v>
      </c>
      <c r="Q72" s="52">
        <v>0</v>
      </c>
      <c r="R72" s="52">
        <v>39.762862168892809</v>
      </c>
      <c r="S72" s="52">
        <v>2.6664643941365362E-2</v>
      </c>
      <c r="T72" s="52">
        <v>17.313004977518045</v>
      </c>
      <c r="U72" s="52">
        <v>0</v>
      </c>
      <c r="V72" s="53">
        <v>28.215732772470748</v>
      </c>
      <c r="W72" s="52">
        <v>-2.0232287368171509E-2</v>
      </c>
      <c r="X72" s="53">
        <v>33.276112896634757</v>
      </c>
      <c r="Y72" s="52">
        <v>0.2158444275680127</v>
      </c>
    </row>
    <row r="73" spans="1:25" ht="14.45" customHeight="1">
      <c r="A73" s="51" t="s">
        <v>11</v>
      </c>
      <c r="B73" s="52">
        <v>21.530011770771171</v>
      </c>
      <c r="C73" s="52">
        <v>0.61416560459184311</v>
      </c>
      <c r="D73" s="52">
        <v>16.146531396337434</v>
      </c>
      <c r="E73" s="52">
        <v>0.13757874843185469</v>
      </c>
      <c r="F73" s="52">
        <v>52.087318074669582</v>
      </c>
      <c r="G73" s="52">
        <v>0.42866296537240611</v>
      </c>
      <c r="H73" s="52">
        <v>25.286573053409167</v>
      </c>
      <c r="I73" s="52">
        <v>1.3964161915347217</v>
      </c>
      <c r="J73" s="52">
        <v>38.696845575641298</v>
      </c>
      <c r="K73" s="52">
        <v>0.2405185422911682</v>
      </c>
      <c r="L73" s="52">
        <v>25.541054467232524</v>
      </c>
      <c r="M73" s="52">
        <v>0.10837501577294351</v>
      </c>
      <c r="N73" s="52">
        <v>20.698824590255448</v>
      </c>
      <c r="O73" s="52">
        <v>1.0963082799281487</v>
      </c>
      <c r="P73" s="52">
        <v>43.123682369885138</v>
      </c>
      <c r="Q73" s="52">
        <v>0</v>
      </c>
      <c r="R73" s="52">
        <v>39.8402939869788</v>
      </c>
      <c r="S73" s="52">
        <v>0.1947340152655519</v>
      </c>
      <c r="T73" s="52">
        <v>18.50894292577166</v>
      </c>
      <c r="U73" s="52">
        <v>6.9077433397992438</v>
      </c>
      <c r="V73" s="53">
        <v>28.209918918590368</v>
      </c>
      <c r="W73" s="52">
        <v>-2.0605007593677005E-2</v>
      </c>
      <c r="X73" s="53">
        <v>33.289139512388246</v>
      </c>
      <c r="Y73" s="52">
        <v>3.9147047595222695E-2</v>
      </c>
    </row>
    <row r="74" spans="1:25" ht="14.45" customHeight="1">
      <c r="A74" s="51" t="s">
        <v>12</v>
      </c>
      <c r="B74" s="52">
        <v>21.686997020488452</v>
      </c>
      <c r="C74" s="52">
        <v>0.72914613976384768</v>
      </c>
      <c r="D74" s="52">
        <v>16.151140893122566</v>
      </c>
      <c r="E74" s="52">
        <v>2.8547907113840587E-2</v>
      </c>
      <c r="F74" s="52">
        <v>52.23454890901143</v>
      </c>
      <c r="G74" s="52">
        <v>0.28266157633760614</v>
      </c>
      <c r="H74" s="52">
        <v>25.379690996134769</v>
      </c>
      <c r="I74" s="52">
        <v>0.36825054359450604</v>
      </c>
      <c r="J74" s="52">
        <v>38.765353706610945</v>
      </c>
      <c r="K74" s="52">
        <v>0.17703802454835937</v>
      </c>
      <c r="L74" s="52">
        <v>25.669040357032227</v>
      </c>
      <c r="M74" s="52">
        <v>0.50109869177052957</v>
      </c>
      <c r="N74" s="52">
        <v>19.888355340109381</v>
      </c>
      <c r="O74" s="52">
        <v>-3.915532723184767</v>
      </c>
      <c r="P74" s="52">
        <v>51.620101755811291</v>
      </c>
      <c r="Q74" s="52">
        <v>19.702444037709355</v>
      </c>
      <c r="R74" s="52">
        <v>39.923831197427546</v>
      </c>
      <c r="S74" s="52">
        <v>0.20968020586407121</v>
      </c>
      <c r="T74" s="52">
        <v>18.50894292577166</v>
      </c>
      <c r="U74" s="52">
        <v>0</v>
      </c>
      <c r="V74" s="53">
        <v>28.213314967911138</v>
      </c>
      <c r="W74" s="52">
        <v>1.2038493731836297E-2</v>
      </c>
      <c r="X74" s="53">
        <v>33.360774370910342</v>
      </c>
      <c r="Y74" s="52">
        <v>0.2151898774536809</v>
      </c>
    </row>
    <row r="75" spans="1:25" ht="14.45" customHeight="1">
      <c r="A75" s="51" t="s">
        <v>13</v>
      </c>
      <c r="B75" s="52">
        <v>21.596616115479794</v>
      </c>
      <c r="C75" s="52">
        <v>-0.41675159047271926</v>
      </c>
      <c r="D75" s="52">
        <v>16.177093657872888</v>
      </c>
      <c r="E75" s="52">
        <v>0.16068688225840955</v>
      </c>
      <c r="F75" s="52">
        <v>52.38442230312944</v>
      </c>
      <c r="G75" s="52">
        <v>0.28692387940227881</v>
      </c>
      <c r="H75" s="52">
        <v>25.416990826816463</v>
      </c>
      <c r="I75" s="52">
        <v>0.14696723725822203</v>
      </c>
      <c r="J75" s="52">
        <v>38.837276872320793</v>
      </c>
      <c r="K75" s="52">
        <v>0.18553465616277798</v>
      </c>
      <c r="L75" s="52">
        <v>25.679582200523686</v>
      </c>
      <c r="M75" s="52">
        <v>4.1068319441750489E-2</v>
      </c>
      <c r="N75" s="52">
        <v>19.82555989699534</v>
      </c>
      <c r="O75" s="52">
        <v>-0.3157397484114699</v>
      </c>
      <c r="P75" s="52">
        <v>51.620101755811291</v>
      </c>
      <c r="Q75" s="52">
        <v>0</v>
      </c>
      <c r="R75" s="52">
        <v>39.932059503000772</v>
      </c>
      <c r="S75" s="52">
        <v>2.0610009927501949E-2</v>
      </c>
      <c r="T75" s="52">
        <v>18.50894292577166</v>
      </c>
      <c r="U75" s="52">
        <v>0</v>
      </c>
      <c r="V75" s="53">
        <v>28.213848875343089</v>
      </c>
      <c r="W75" s="52">
        <v>1.8923952486815665E-3</v>
      </c>
      <c r="X75" s="53">
        <v>33.490152627053249</v>
      </c>
      <c r="Y75" s="52">
        <v>0.38781550663200548</v>
      </c>
    </row>
    <row r="76" spans="1:25" ht="14.45" customHeight="1">
      <c r="A76" s="57" t="s">
        <v>14</v>
      </c>
      <c r="B76" s="58">
        <v>21.743073213389874</v>
      </c>
      <c r="C76" s="58">
        <v>0.67814835957149544</v>
      </c>
      <c r="D76" s="58">
        <v>16.181784953120847</v>
      </c>
      <c r="E76" s="58">
        <v>2.8999617280911494E-2</v>
      </c>
      <c r="F76" s="58">
        <v>52.599420506321266</v>
      </c>
      <c r="G76" s="58">
        <v>0.41042392707455466</v>
      </c>
      <c r="H76" s="58">
        <v>25.443400844134558</v>
      </c>
      <c r="I76" s="58">
        <v>0.10390693964539288</v>
      </c>
      <c r="J76" s="58">
        <v>38.950138890712282</v>
      </c>
      <c r="K76" s="58">
        <v>0.29060229624884304</v>
      </c>
      <c r="L76" s="58">
        <v>25.723778802494792</v>
      </c>
      <c r="M76" s="58">
        <v>0.17210794796420625</v>
      </c>
      <c r="N76" s="58">
        <v>19.816681098615152</v>
      </c>
      <c r="O76" s="58">
        <v>-4.4784603442815651E-2</v>
      </c>
      <c r="P76" s="58">
        <v>51.620101755811291</v>
      </c>
      <c r="Q76" s="58">
        <v>0</v>
      </c>
      <c r="R76" s="58">
        <v>39.918255277681219</v>
      </c>
      <c r="S76" s="58">
        <v>-3.4569279649876439E-2</v>
      </c>
      <c r="T76" s="58">
        <v>18.50894292577166</v>
      </c>
      <c r="U76" s="58">
        <v>0</v>
      </c>
      <c r="V76" s="59">
        <v>28.228464591292756</v>
      </c>
      <c r="W76" s="58">
        <v>5.1803339609013399E-2</v>
      </c>
      <c r="X76" s="59">
        <v>33.528928817602534</v>
      </c>
      <c r="Y76" s="58">
        <v>0.1157838573657699</v>
      </c>
    </row>
    <row r="77" spans="1:25" ht="5.0999999999999996" customHeight="1">
      <c r="A77" s="5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3"/>
      <c r="W77" s="52"/>
      <c r="X77" s="53"/>
      <c r="Y77" s="52"/>
    </row>
    <row r="78" spans="1:25" ht="14.1" customHeight="1">
      <c r="A78" s="51">
        <v>2002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 t="s">
        <v>131</v>
      </c>
      <c r="M78" s="52"/>
      <c r="N78" s="52"/>
      <c r="O78" s="52"/>
      <c r="P78" s="52"/>
      <c r="Q78" s="52"/>
      <c r="R78" s="52"/>
      <c r="S78" s="52"/>
      <c r="T78" s="52"/>
      <c r="U78" s="52"/>
      <c r="V78" s="53"/>
      <c r="W78" s="52"/>
      <c r="X78" s="53"/>
      <c r="Y78" s="52"/>
    </row>
    <row r="79" spans="1:25" ht="14.45" customHeight="1">
      <c r="A79" s="51" t="s">
        <v>3</v>
      </c>
      <c r="B79" s="52">
        <v>21.81967207921836</v>
      </c>
      <c r="C79" s="52">
        <v>0.35229088858199642</v>
      </c>
      <c r="D79" s="52">
        <v>16.217826550441831</v>
      </c>
      <c r="E79" s="52">
        <v>0.22272942957404229</v>
      </c>
      <c r="F79" s="52">
        <v>52.739859594586541</v>
      </c>
      <c r="G79" s="52">
        <v>0.26699740589042342</v>
      </c>
      <c r="H79" s="52">
        <v>25.584126967352116</v>
      </c>
      <c r="I79" s="52">
        <v>0.55309478508647203</v>
      </c>
      <c r="J79" s="52">
        <v>39.033993158848773</v>
      </c>
      <c r="K79" s="52">
        <v>0.21528618517066</v>
      </c>
      <c r="L79" s="52">
        <v>25.752228961580307</v>
      </c>
      <c r="M79" s="52">
        <v>0.11059867721594507</v>
      </c>
      <c r="N79" s="52">
        <v>20.194366074283838</v>
      </c>
      <c r="O79" s="52">
        <v>1.9058941998873813</v>
      </c>
      <c r="P79" s="52">
        <v>51.620101755811291</v>
      </c>
      <c r="Q79" s="52">
        <v>0</v>
      </c>
      <c r="R79" s="52">
        <v>40.063128279335757</v>
      </c>
      <c r="S79" s="52">
        <v>0.36292418254948444</v>
      </c>
      <c r="T79" s="52">
        <v>18.50894292577166</v>
      </c>
      <c r="U79" s="52">
        <v>0</v>
      </c>
      <c r="V79" s="53">
        <v>28.24029953936768</v>
      </c>
      <c r="W79" s="52">
        <v>4.1925582018986773E-2</v>
      </c>
      <c r="X79" s="53">
        <v>33.570331127287417</v>
      </c>
      <c r="Y79" s="52">
        <v>0.12348235134533869</v>
      </c>
    </row>
    <row r="80" spans="1:25" ht="14.45" customHeight="1">
      <c r="A80" s="51" t="s">
        <v>4</v>
      </c>
      <c r="B80" s="52">
        <v>21.725801218489995</v>
      </c>
      <c r="C80" s="52">
        <v>-0.43021205995927847</v>
      </c>
      <c r="D80" s="52">
        <v>16.211315664989115</v>
      </c>
      <c r="E80" s="52">
        <v>-4.0146473588587028E-2</v>
      </c>
      <c r="F80" s="52">
        <v>52.899968026835779</v>
      </c>
      <c r="G80" s="52">
        <v>0.30358145334477005</v>
      </c>
      <c r="H80" s="52">
        <v>25.684977579948725</v>
      </c>
      <c r="I80" s="52">
        <v>0.39419212047104857</v>
      </c>
      <c r="J80" s="52">
        <v>39.149925208296921</v>
      </c>
      <c r="K80" s="52">
        <v>0.297002791839307</v>
      </c>
      <c r="L80" s="52">
        <v>25.773121861486249</v>
      </c>
      <c r="M80" s="52">
        <v>8.113045257989171E-2</v>
      </c>
      <c r="N80" s="52">
        <v>20.250266992726552</v>
      </c>
      <c r="O80" s="52">
        <v>0.27681442555356206</v>
      </c>
      <c r="P80" s="52">
        <v>51.620101755811291</v>
      </c>
      <c r="Q80" s="52">
        <v>0</v>
      </c>
      <c r="R80" s="52">
        <v>40.081956632783722</v>
      </c>
      <c r="S80" s="52">
        <v>4.6996713079128227E-2</v>
      </c>
      <c r="T80" s="52">
        <v>18.53156601043414</v>
      </c>
      <c r="U80" s="52">
        <v>0.12222785900419808</v>
      </c>
      <c r="V80" s="53">
        <v>28.246973382267068</v>
      </c>
      <c r="W80" s="52">
        <v>2.3632337504375656E-2</v>
      </c>
      <c r="X80" s="53">
        <v>33.603258392569487</v>
      </c>
      <c r="Y80" s="52">
        <v>9.8084422096467172E-2</v>
      </c>
    </row>
    <row r="81" spans="1:25" ht="14.45" customHeight="1">
      <c r="A81" s="51" t="s">
        <v>5</v>
      </c>
      <c r="B81" s="52">
        <v>22.108765369048754</v>
      </c>
      <c r="C81" s="52">
        <v>1.7627158911535767</v>
      </c>
      <c r="D81" s="52">
        <v>16.199832777531579</v>
      </c>
      <c r="E81" s="52">
        <v>-7.0832544963239652E-2</v>
      </c>
      <c r="F81" s="52">
        <v>53.13051351346715</v>
      </c>
      <c r="G81" s="52">
        <v>0.43581403775976302</v>
      </c>
      <c r="H81" s="52">
        <v>25.833261327790908</v>
      </c>
      <c r="I81" s="52">
        <v>0.57731702268621898</v>
      </c>
      <c r="J81" s="52">
        <v>39.27430799740857</v>
      </c>
      <c r="K81" s="52">
        <v>0.31770888054030166</v>
      </c>
      <c r="L81" s="52">
        <v>25.799132935382755</v>
      </c>
      <c r="M81" s="52">
        <v>0.10092325654726952</v>
      </c>
      <c r="N81" s="52">
        <v>20.831046880320745</v>
      </c>
      <c r="O81" s="52">
        <v>2.868011013399463</v>
      </c>
      <c r="P81" s="52">
        <v>51.620101755811291</v>
      </c>
      <c r="Q81" s="52">
        <v>0</v>
      </c>
      <c r="R81" s="52">
        <v>40.051502896887285</v>
      </c>
      <c r="S81" s="52">
        <v>-7.5978665850684468E-2</v>
      </c>
      <c r="T81" s="52">
        <v>18.53156601043414</v>
      </c>
      <c r="U81" s="52">
        <v>0</v>
      </c>
      <c r="V81" s="53">
        <v>28.306911707682133</v>
      </c>
      <c r="W81" s="52">
        <v>0.21219379720409659</v>
      </c>
      <c r="X81" s="53">
        <v>33.722793037975634</v>
      </c>
      <c r="Y81" s="52">
        <v>0.35572337661331499</v>
      </c>
    </row>
    <row r="82" spans="1:25" ht="14.45" customHeight="1">
      <c r="A82" s="51" t="s">
        <v>6</v>
      </c>
      <c r="B82" s="52">
        <v>22.164437041748467</v>
      </c>
      <c r="C82" s="52">
        <v>0.25180814835390475</v>
      </c>
      <c r="D82" s="52">
        <v>16.287201510565691</v>
      </c>
      <c r="E82" s="52">
        <v>0.53931873392722984</v>
      </c>
      <c r="F82" s="52">
        <v>53.230426984480367</v>
      </c>
      <c r="G82" s="52">
        <v>0.18805289918362167</v>
      </c>
      <c r="H82" s="52">
        <v>25.986514029798794</v>
      </c>
      <c r="I82" s="52">
        <v>0.59323791937575532</v>
      </c>
      <c r="J82" s="52">
        <v>39.335607131722369</v>
      </c>
      <c r="K82" s="52">
        <v>0.15607947648077491</v>
      </c>
      <c r="L82" s="52">
        <v>26.201228949507772</v>
      </c>
      <c r="M82" s="52">
        <v>1.5585640615602081</v>
      </c>
      <c r="N82" s="52">
        <v>21.280319520479267</v>
      </c>
      <c r="O82" s="52">
        <v>2.1567453750150012</v>
      </c>
      <c r="P82" s="52">
        <v>51.620101755811291</v>
      </c>
      <c r="Q82" s="52">
        <v>0</v>
      </c>
      <c r="R82" s="52">
        <v>40.195857348243905</v>
      </c>
      <c r="S82" s="52">
        <v>0.3604220588881768</v>
      </c>
      <c r="T82" s="52">
        <v>18.53156601043414</v>
      </c>
      <c r="U82" s="52">
        <v>0</v>
      </c>
      <c r="V82" s="53">
        <v>28.352191581453788</v>
      </c>
      <c r="W82" s="52">
        <v>0.1599604868211868</v>
      </c>
      <c r="X82" s="53">
        <v>33.829937715846292</v>
      </c>
      <c r="Y82" s="52">
        <v>0.31772183801621612</v>
      </c>
    </row>
    <row r="83" spans="1:25" ht="14.45" customHeight="1">
      <c r="A83" s="51" t="s">
        <v>7</v>
      </c>
      <c r="B83" s="52">
        <v>21.852041574928922</v>
      </c>
      <c r="C83" s="52">
        <v>-1.4094446262322147</v>
      </c>
      <c r="D83" s="52">
        <v>16.371712645497858</v>
      </c>
      <c r="E83" s="52">
        <v>0.51888063690588293</v>
      </c>
      <c r="F83" s="52">
        <v>53.310583309927232</v>
      </c>
      <c r="G83" s="52">
        <v>0.15058366048845695</v>
      </c>
      <c r="H83" s="52">
        <v>26.115222451776962</v>
      </c>
      <c r="I83" s="52">
        <v>0.49528929440314506</v>
      </c>
      <c r="J83" s="52">
        <v>39.372741784468069</v>
      </c>
      <c r="K83" s="52">
        <v>9.4404676712755986E-2</v>
      </c>
      <c r="L83" s="52">
        <v>26.356343357228582</v>
      </c>
      <c r="M83" s="52">
        <v>0.59201195493436831</v>
      </c>
      <c r="N83" s="52">
        <v>21.158002995032341</v>
      </c>
      <c r="O83" s="52">
        <v>-0.57478707182575528</v>
      </c>
      <c r="P83" s="52">
        <v>51.620101755811291</v>
      </c>
      <c r="Q83" s="52">
        <v>0</v>
      </c>
      <c r="R83" s="52">
        <v>40.201479054793985</v>
      </c>
      <c r="S83" s="52">
        <v>1.3985785901704517E-2</v>
      </c>
      <c r="T83" s="52">
        <v>18.53156601043414</v>
      </c>
      <c r="U83" s="52">
        <v>0</v>
      </c>
      <c r="V83" s="53">
        <v>28.391803568183871</v>
      </c>
      <c r="W83" s="52">
        <v>0.13971402040042769</v>
      </c>
      <c r="X83" s="53">
        <v>33.938987646415256</v>
      </c>
      <c r="Y83" s="52">
        <v>0.32234741750021279</v>
      </c>
    </row>
    <row r="84" spans="1:25" ht="14.45" customHeight="1">
      <c r="A84" s="51" t="s">
        <v>8</v>
      </c>
      <c r="B84" s="52">
        <v>21.907533227044166</v>
      </c>
      <c r="C84" s="52">
        <v>0.25394264387135213</v>
      </c>
      <c r="D84" s="52">
        <v>16.371712645497858</v>
      </c>
      <c r="E84" s="52">
        <v>0</v>
      </c>
      <c r="F84" s="52">
        <v>53.391334483330091</v>
      </c>
      <c r="G84" s="52">
        <v>0.15147306292524476</v>
      </c>
      <c r="H84" s="52">
        <v>26.245176411282344</v>
      </c>
      <c r="I84" s="52">
        <v>0.49761766243940908</v>
      </c>
      <c r="J84" s="52">
        <v>39.436101633256897</v>
      </c>
      <c r="K84" s="52">
        <v>0.16092313086975008</v>
      </c>
      <c r="L84" s="52">
        <v>26.541349853533383</v>
      </c>
      <c r="M84" s="52">
        <v>0.70194295846452981</v>
      </c>
      <c r="N84" s="52">
        <v>21.074593041710202</v>
      </c>
      <c r="O84" s="52">
        <v>-0.3942241304234706</v>
      </c>
      <c r="P84" s="52">
        <v>51.620101755811291</v>
      </c>
      <c r="Q84" s="52">
        <v>0</v>
      </c>
      <c r="R84" s="52">
        <v>40.239770890804714</v>
      </c>
      <c r="S84" s="52">
        <v>9.5249818939580067E-2</v>
      </c>
      <c r="T84" s="52">
        <v>18.53156601043414</v>
      </c>
      <c r="U84" s="52">
        <v>0</v>
      </c>
      <c r="V84" s="53">
        <v>28.392745126393869</v>
      </c>
      <c r="W84" s="52">
        <v>3.3163029172778025E-3</v>
      </c>
      <c r="X84" s="53">
        <v>34.133890740574081</v>
      </c>
      <c r="Y84" s="52">
        <v>0.57427492001049796</v>
      </c>
    </row>
    <row r="85" spans="1:25" ht="14.45" customHeight="1">
      <c r="A85" s="51" t="s">
        <v>9</v>
      </c>
      <c r="B85" s="52">
        <v>21.964356247319799</v>
      </c>
      <c r="C85" s="52">
        <v>0.25937662486568147</v>
      </c>
      <c r="D85" s="52">
        <v>16.386195460262865</v>
      </c>
      <c r="E85" s="52">
        <v>8.846242954911876E-2</v>
      </c>
      <c r="F85" s="52">
        <v>53.452889898813154</v>
      </c>
      <c r="G85" s="52">
        <v>0.11529102255776191</v>
      </c>
      <c r="H85" s="52">
        <v>26.38308560264117</v>
      </c>
      <c r="I85" s="52">
        <v>0.52546490523699418</v>
      </c>
      <c r="J85" s="52">
        <v>39.499454203736079</v>
      </c>
      <c r="K85" s="52">
        <v>0.16064612843413872</v>
      </c>
      <c r="L85" s="52">
        <v>26.719097867636357</v>
      </c>
      <c r="M85" s="52">
        <v>0.66970223852165223</v>
      </c>
      <c r="N85" s="52">
        <v>21.324515355899607</v>
      </c>
      <c r="O85" s="52">
        <v>1.185893904070956</v>
      </c>
      <c r="P85" s="52">
        <v>51.620101755811291</v>
      </c>
      <c r="Q85" s="52">
        <v>0</v>
      </c>
      <c r="R85" s="52">
        <v>40.171526560093376</v>
      </c>
      <c r="S85" s="52">
        <v>-0.16959423277166374</v>
      </c>
      <c r="T85" s="52">
        <v>18.53156601043414</v>
      </c>
      <c r="U85" s="52">
        <v>0</v>
      </c>
      <c r="V85" s="53">
        <v>28.403138172547333</v>
      </c>
      <c r="W85" s="52">
        <v>3.6604583696275839E-2</v>
      </c>
      <c r="X85" s="53">
        <v>34.214517453161442</v>
      </c>
      <c r="Y85" s="52">
        <v>0.23620721470090089</v>
      </c>
    </row>
    <row r="86" spans="1:25" ht="14.45" customHeight="1">
      <c r="A86" s="51" t="s">
        <v>10</v>
      </c>
      <c r="B86" s="52">
        <v>22.225384714051767</v>
      </c>
      <c r="C86" s="52">
        <v>1.188418471239383</v>
      </c>
      <c r="D86" s="52">
        <v>16.441150813173223</v>
      </c>
      <c r="E86" s="52">
        <v>0.33537591470593764</v>
      </c>
      <c r="F86" s="52">
        <v>53.510666366302054</v>
      </c>
      <c r="G86" s="52">
        <v>0.10808857593718191</v>
      </c>
      <c r="H86" s="52">
        <v>26.579379324396253</v>
      </c>
      <c r="I86" s="52">
        <v>0.74401351195794163</v>
      </c>
      <c r="J86" s="52">
        <v>39.577973544003356</v>
      </c>
      <c r="K86" s="52">
        <v>0.19878588666637498</v>
      </c>
      <c r="L86" s="52">
        <v>27.179914700405565</v>
      </c>
      <c r="M86" s="52">
        <v>1.7246721242313079</v>
      </c>
      <c r="N86" s="52">
        <v>21.458887517889615</v>
      </c>
      <c r="O86" s="52">
        <v>0.6301299689459583</v>
      </c>
      <c r="P86" s="52">
        <v>51.620101755811291</v>
      </c>
      <c r="Q86" s="52">
        <v>0</v>
      </c>
      <c r="R86" s="52">
        <v>40.418328453325024</v>
      </c>
      <c r="S86" s="52">
        <v>0.61437021284826976</v>
      </c>
      <c r="T86" s="52">
        <v>18.53156601043414</v>
      </c>
      <c r="U86" s="52">
        <v>0</v>
      </c>
      <c r="V86" s="53">
        <v>29.406087117229863</v>
      </c>
      <c r="W86" s="52">
        <v>3.5311201832335382</v>
      </c>
      <c r="X86" s="53">
        <v>34.235927345877506</v>
      </c>
      <c r="Y86" s="52">
        <v>6.2575463019087785E-2</v>
      </c>
    </row>
    <row r="87" spans="1:25" ht="14.45" customHeight="1">
      <c r="A87" s="51" t="s">
        <v>11</v>
      </c>
      <c r="B87" s="52">
        <v>22.78673164421264</v>
      </c>
      <c r="C87" s="52">
        <v>2.5257017477225752</v>
      </c>
      <c r="D87" s="52">
        <v>16.469082829635411</v>
      </c>
      <c r="E87" s="52">
        <v>0.16989088403598362</v>
      </c>
      <c r="F87" s="52">
        <v>53.578514735881889</v>
      </c>
      <c r="G87" s="52">
        <v>0.12679410328286789</v>
      </c>
      <c r="H87" s="52">
        <v>26.795653465448687</v>
      </c>
      <c r="I87" s="52">
        <v>0.81369146514991275</v>
      </c>
      <c r="J87" s="52">
        <v>39.660386560198667</v>
      </c>
      <c r="K87" s="52">
        <v>0.20822949943024582</v>
      </c>
      <c r="L87" s="52">
        <v>27.444060235390232</v>
      </c>
      <c r="M87" s="52">
        <v>0.97184092700897118</v>
      </c>
      <c r="N87" s="52">
        <v>21.668711296029624</v>
      </c>
      <c r="O87" s="52">
        <v>0.97779429602342649</v>
      </c>
      <c r="P87" s="52">
        <v>51.620101755811291</v>
      </c>
      <c r="Q87" s="52">
        <v>0</v>
      </c>
      <c r="R87" s="52">
        <v>40.554621239904961</v>
      </c>
      <c r="S87" s="52">
        <v>0.33720540110244723</v>
      </c>
      <c r="T87" s="52">
        <v>19.985326874970553</v>
      </c>
      <c r="U87" s="52">
        <v>7.8447815134343069</v>
      </c>
      <c r="V87" s="53">
        <v>29.413495082848197</v>
      </c>
      <c r="W87" s="52">
        <v>2.5191946105596053E-2</v>
      </c>
      <c r="X87" s="53">
        <v>34.273299815290734</v>
      </c>
      <c r="Y87" s="52">
        <v>0.10916155135995975</v>
      </c>
    </row>
    <row r="88" spans="1:25" ht="14.45" customHeight="1">
      <c r="A88" s="51" t="s">
        <v>12</v>
      </c>
      <c r="B88" s="52">
        <v>23.127765063126191</v>
      </c>
      <c r="C88" s="52">
        <v>1.4966315671697705</v>
      </c>
      <c r="D88" s="52">
        <v>16.469082829635411</v>
      </c>
      <c r="E88" s="52">
        <v>0</v>
      </c>
      <c r="F88" s="52">
        <v>53.672168095198266</v>
      </c>
      <c r="G88" s="52">
        <v>0.17479648284026705</v>
      </c>
      <c r="H88" s="52">
        <v>32.742873551857059</v>
      </c>
      <c r="I88" s="52">
        <v>22.194719356543914</v>
      </c>
      <c r="J88" s="52">
        <v>39.749465451489847</v>
      </c>
      <c r="K88" s="52">
        <v>0.22460419329490833</v>
      </c>
      <c r="L88" s="52">
        <v>27.568243557651449</v>
      </c>
      <c r="M88" s="52">
        <v>0.45249617292808519</v>
      </c>
      <c r="N88" s="52">
        <v>22.066288552895205</v>
      </c>
      <c r="O88" s="52">
        <v>1.8347988093709633</v>
      </c>
      <c r="P88" s="52">
        <v>51.620101755811291</v>
      </c>
      <c r="Q88" s="52">
        <v>0</v>
      </c>
      <c r="R88" s="52">
        <v>40.643868398093964</v>
      </c>
      <c r="S88" s="52">
        <v>0.22006655582123003</v>
      </c>
      <c r="T88" s="52">
        <v>19.985326874970553</v>
      </c>
      <c r="U88" s="52">
        <v>0</v>
      </c>
      <c r="V88" s="53">
        <v>29.430787751338617</v>
      </c>
      <c r="W88" s="52">
        <v>5.8791613991160396E-2</v>
      </c>
      <c r="X88" s="53">
        <v>34.302751725453774</v>
      </c>
      <c r="Y88" s="52">
        <v>8.5932519838372023E-2</v>
      </c>
    </row>
    <row r="89" spans="1:25" ht="14.45" customHeight="1">
      <c r="A89" s="51" t="s">
        <v>13</v>
      </c>
      <c r="B89" s="52">
        <v>23.289086444027465</v>
      </c>
      <c r="C89" s="52">
        <v>0.69752256848405469</v>
      </c>
      <c r="D89" s="52">
        <v>16.469082829635411</v>
      </c>
      <c r="E89" s="52">
        <v>0</v>
      </c>
      <c r="F89" s="52">
        <v>53.878820376621718</v>
      </c>
      <c r="G89" s="52">
        <v>0.38502689337407414</v>
      </c>
      <c r="H89" s="52">
        <v>33.796851581273444</v>
      </c>
      <c r="I89" s="52">
        <v>3.2189539740521855</v>
      </c>
      <c r="J89" s="52">
        <v>39.907089100909857</v>
      </c>
      <c r="K89" s="52">
        <v>0.39654281543075598</v>
      </c>
      <c r="L89" s="52">
        <v>27.885596774571837</v>
      </c>
      <c r="M89" s="52">
        <v>1.1511550101359624</v>
      </c>
      <c r="N89" s="52">
        <v>21.835311274214334</v>
      </c>
      <c r="O89" s="52">
        <v>-1.0467427638644167</v>
      </c>
      <c r="P89" s="52">
        <v>51.620101755811291</v>
      </c>
      <c r="Q89" s="52">
        <v>0</v>
      </c>
      <c r="R89" s="52">
        <v>40.81829400461092</v>
      </c>
      <c r="S89" s="52">
        <v>0.42915601637252276</v>
      </c>
      <c r="T89" s="52">
        <v>19.985326874970553</v>
      </c>
      <c r="U89" s="52">
        <v>0</v>
      </c>
      <c r="V89" s="53">
        <v>29.474377701633799</v>
      </c>
      <c r="W89" s="52">
        <v>0.14811003586949756</v>
      </c>
      <c r="X89" s="53">
        <v>34.329033324772134</v>
      </c>
      <c r="Y89" s="52">
        <v>7.661659195363768E-2</v>
      </c>
    </row>
    <row r="90" spans="1:25" ht="14.45" customHeight="1">
      <c r="A90" s="51" t="s">
        <v>14</v>
      </c>
      <c r="B90" s="52">
        <v>23.861003446229745</v>
      </c>
      <c r="C90" s="52">
        <v>2.4557296550760555</v>
      </c>
      <c r="D90" s="52">
        <v>16.514312952465222</v>
      </c>
      <c r="E90" s="52">
        <v>0.27463656171806683</v>
      </c>
      <c r="F90" s="52">
        <v>54.109649945199187</v>
      </c>
      <c r="G90" s="52">
        <v>0.42842357528234398</v>
      </c>
      <c r="H90" s="52">
        <v>34.178994837507275</v>
      </c>
      <c r="I90" s="52">
        <v>1.1307066734156157</v>
      </c>
      <c r="J90" s="52">
        <v>40.044263220176255</v>
      </c>
      <c r="K90" s="52">
        <v>0.34373371337492742</v>
      </c>
      <c r="L90" s="52">
        <v>28.57075217659834</v>
      </c>
      <c r="M90" s="52">
        <v>2.4570225538485868</v>
      </c>
      <c r="N90" s="52">
        <v>22.535423448730686</v>
      </c>
      <c r="O90" s="52">
        <v>3.2063301764931884</v>
      </c>
      <c r="P90" s="52">
        <v>51.620101755811291</v>
      </c>
      <c r="Q90" s="52">
        <v>0</v>
      </c>
      <c r="R90" s="52">
        <v>40.912703214474391</v>
      </c>
      <c r="S90" s="52">
        <v>0.2312914151992862</v>
      </c>
      <c r="T90" s="52">
        <v>19.985326874970553</v>
      </c>
      <c r="U90" s="52">
        <v>0</v>
      </c>
      <c r="V90" s="53">
        <v>30.350480906268992</v>
      </c>
      <c r="W90" s="52">
        <v>2.9724230771007276</v>
      </c>
      <c r="X90" s="53">
        <v>34.89601648080307</v>
      </c>
      <c r="Y90" s="52">
        <v>1.6516141036275522</v>
      </c>
    </row>
    <row r="91" spans="1:25" ht="5.0999999999999996" customHeight="1">
      <c r="A91" s="5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3"/>
      <c r="W91" s="52"/>
      <c r="X91" s="53"/>
      <c r="Y91" s="52"/>
    </row>
    <row r="92" spans="1:25" ht="14.1" customHeight="1">
      <c r="A92" s="51">
        <v>2003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3"/>
      <c r="W92" s="52"/>
      <c r="X92" s="53"/>
      <c r="Y92" s="52"/>
    </row>
    <row r="93" spans="1:25" ht="14.45" customHeight="1">
      <c r="A93" s="51" t="s">
        <v>3</v>
      </c>
      <c r="B93" s="52">
        <v>24.790191478196945</v>
      </c>
      <c r="C93" s="52">
        <v>3.8941699751274372</v>
      </c>
      <c r="D93" s="52">
        <v>16.62567130189451</v>
      </c>
      <c r="E93" s="52">
        <v>0.67431415251619775</v>
      </c>
      <c r="F93" s="52">
        <v>54.397325176870503</v>
      </c>
      <c r="G93" s="52">
        <v>0.53165236138592586</v>
      </c>
      <c r="H93" s="52">
        <v>34.12866554353301</v>
      </c>
      <c r="I93" s="52">
        <v>-0.14725211848253261</v>
      </c>
      <c r="J93" s="52">
        <v>40.1833346607077</v>
      </c>
      <c r="K93" s="52">
        <v>0.34729429223554487</v>
      </c>
      <c r="L93" s="52">
        <v>29.188876568104579</v>
      </c>
      <c r="M93" s="52">
        <v>2.1634865882618648</v>
      </c>
      <c r="N93" s="52">
        <v>23.293517385619914</v>
      </c>
      <c r="O93" s="52">
        <v>3.36401017098229</v>
      </c>
      <c r="P93" s="52">
        <v>62.461437556397513</v>
      </c>
      <c r="Q93" s="52">
        <v>21.00215891063355</v>
      </c>
      <c r="R93" s="52">
        <v>41.260769567090854</v>
      </c>
      <c r="S93" s="52">
        <v>0.85075373971701396</v>
      </c>
      <c r="T93" s="52">
        <v>20.475493709324343</v>
      </c>
      <c r="U93" s="52">
        <v>2.4526335617140793</v>
      </c>
      <c r="V93" s="53">
        <v>32.309248982834632</v>
      </c>
      <c r="W93" s="52">
        <v>6.4538287963702423</v>
      </c>
      <c r="X93" s="53">
        <v>35.240416795528667</v>
      </c>
      <c r="Y93" s="52">
        <v>0.98693303550867473</v>
      </c>
    </row>
    <row r="94" spans="1:25" ht="14.45" customHeight="1">
      <c r="A94" s="51" t="s">
        <v>4</v>
      </c>
      <c r="B94" s="52">
        <v>25.07205160745885</v>
      </c>
      <c r="C94" s="52">
        <v>1.1369824614295476</v>
      </c>
      <c r="D94" s="52">
        <v>16.779186719232278</v>
      </c>
      <c r="E94" s="52">
        <v>0.9233637219826063</v>
      </c>
      <c r="F94" s="52">
        <v>54.609273412235773</v>
      </c>
      <c r="G94" s="52">
        <v>0.38962988469768423</v>
      </c>
      <c r="H94" s="52">
        <v>36.04584796529614</v>
      </c>
      <c r="I94" s="52">
        <v>5.6175135805343945</v>
      </c>
      <c r="J94" s="52">
        <v>40.361410228661228</v>
      </c>
      <c r="K94" s="52">
        <v>0.44315776541974383</v>
      </c>
      <c r="L94" s="52">
        <v>29.658820125938931</v>
      </c>
      <c r="M94" s="52">
        <v>1.6100090619721508</v>
      </c>
      <c r="N94" s="52">
        <v>26.406489039475161</v>
      </c>
      <c r="O94" s="52">
        <v>13.364111578000749</v>
      </c>
      <c r="P94" s="52">
        <v>62.461437556397513</v>
      </c>
      <c r="Q94" s="52">
        <v>0</v>
      </c>
      <c r="R94" s="52">
        <v>41.619617646036147</v>
      </c>
      <c r="S94" s="52">
        <v>0.86970767319742848</v>
      </c>
      <c r="T94" s="52">
        <v>20.554572599856268</v>
      </c>
      <c r="U94" s="52">
        <v>0.38621237492266758</v>
      </c>
      <c r="V94" s="53">
        <v>33.517938637151332</v>
      </c>
      <c r="W94" s="52">
        <v>3.7410020114019282</v>
      </c>
      <c r="X94" s="53">
        <v>35.527275420839572</v>
      </c>
      <c r="Y94" s="52">
        <v>0.81400463273550994</v>
      </c>
    </row>
    <row r="95" spans="1:25" ht="14.45" customHeight="1">
      <c r="A95" s="51" t="s">
        <v>5</v>
      </c>
      <c r="B95" s="52">
        <v>25.305414869981451</v>
      </c>
      <c r="C95" s="52">
        <v>0.93077050963463748</v>
      </c>
      <c r="D95" s="52">
        <v>17.412444234038571</v>
      </c>
      <c r="E95" s="52">
        <v>3.7740656052206223</v>
      </c>
      <c r="F95" s="52">
        <v>54.798948768676759</v>
      </c>
      <c r="G95" s="52">
        <v>0.34733177094146139</v>
      </c>
      <c r="H95" s="52">
        <v>36.528415973684162</v>
      </c>
      <c r="I95" s="52">
        <v>1.3387617038517874</v>
      </c>
      <c r="J95" s="52">
        <v>40.605202351144399</v>
      </c>
      <c r="K95" s="52">
        <v>0.60402280569982203</v>
      </c>
      <c r="L95" s="52">
        <v>30.325485664531882</v>
      </c>
      <c r="M95" s="52">
        <v>2.2477817248363952</v>
      </c>
      <c r="N95" s="52">
        <v>27.131460660532152</v>
      </c>
      <c r="O95" s="52">
        <v>2.7454298069433891</v>
      </c>
      <c r="P95" s="52">
        <v>62.461437556397513</v>
      </c>
      <c r="Q95" s="52">
        <v>0</v>
      </c>
      <c r="R95" s="52">
        <v>41.743310368035402</v>
      </c>
      <c r="S95" s="52">
        <v>0.29719812193189643</v>
      </c>
      <c r="T95" s="52">
        <v>20.554572599856268</v>
      </c>
      <c r="U95" s="52">
        <v>0</v>
      </c>
      <c r="V95" s="53">
        <v>33.825026912267461</v>
      </c>
      <c r="W95" s="52">
        <v>0.91619081483653719</v>
      </c>
      <c r="X95" s="53">
        <v>41.065981175764257</v>
      </c>
      <c r="Y95" s="52">
        <v>15.590009898917812</v>
      </c>
    </row>
    <row r="96" spans="1:25" ht="14.45" customHeight="1">
      <c r="A96" s="51" t="s">
        <v>6</v>
      </c>
      <c r="B96" s="52">
        <v>25.495317939635036</v>
      </c>
      <c r="C96" s="52">
        <v>0.75044440341840435</v>
      </c>
      <c r="D96" s="52">
        <v>18.291354959652441</v>
      </c>
      <c r="E96" s="52">
        <v>5.0476010937955396</v>
      </c>
      <c r="F96" s="52">
        <v>54.972296013934347</v>
      </c>
      <c r="G96" s="52">
        <v>0.31633315812196194</v>
      </c>
      <c r="H96" s="52">
        <v>36.982063427067082</v>
      </c>
      <c r="I96" s="52">
        <v>1.2419028892732165</v>
      </c>
      <c r="J96" s="52">
        <v>41.461308009732029</v>
      </c>
      <c r="K96" s="52">
        <v>2.1083644681394009</v>
      </c>
      <c r="L96" s="52">
        <v>30.540579866145197</v>
      </c>
      <c r="M96" s="52">
        <v>0.70928526584121965</v>
      </c>
      <c r="N96" s="52">
        <v>26.590020452900944</v>
      </c>
      <c r="O96" s="52">
        <v>-1.9956176130938474</v>
      </c>
      <c r="P96" s="52">
        <v>62.461437556397513</v>
      </c>
      <c r="Q96" s="52">
        <v>0</v>
      </c>
      <c r="R96" s="52">
        <v>41.983086307840559</v>
      </c>
      <c r="S96" s="52">
        <v>0.57440566570101659</v>
      </c>
      <c r="T96" s="52">
        <v>20.554572599856268</v>
      </c>
      <c r="U96" s="52">
        <v>0</v>
      </c>
      <c r="V96" s="53">
        <v>33.945089336634531</v>
      </c>
      <c r="W96" s="52">
        <v>0.35495145259891725</v>
      </c>
      <c r="X96" s="53">
        <v>41.420342488957914</v>
      </c>
      <c r="Y96" s="52">
        <v>0.86290721187685104</v>
      </c>
    </row>
    <row r="97" spans="1:25" ht="14.45" customHeight="1">
      <c r="A97" s="51" t="s">
        <v>7</v>
      </c>
      <c r="B97" s="52">
        <v>25.822433960611153</v>
      </c>
      <c r="C97" s="52">
        <v>1.2830435052844757</v>
      </c>
      <c r="D97" s="52">
        <v>18.347841496707442</v>
      </c>
      <c r="E97" s="52">
        <v>0.30881548786079183</v>
      </c>
      <c r="F97" s="52">
        <v>55.559062699686891</v>
      </c>
      <c r="G97" s="52">
        <v>1.0673861713976995</v>
      </c>
      <c r="H97" s="52">
        <v>37.083827248959437</v>
      </c>
      <c r="I97" s="52">
        <v>0.27517075160785609</v>
      </c>
      <c r="J97" s="52">
        <v>41.905674247036153</v>
      </c>
      <c r="K97" s="52">
        <v>1.0717612604016713</v>
      </c>
      <c r="L97" s="52">
        <v>31.473053322804699</v>
      </c>
      <c r="M97" s="52">
        <v>3.0532277407514741</v>
      </c>
      <c r="N97" s="52">
        <v>27.176469944732801</v>
      </c>
      <c r="O97" s="52">
        <v>2.2055247865289784</v>
      </c>
      <c r="P97" s="52">
        <v>62.461437556397513</v>
      </c>
      <c r="Q97" s="52">
        <v>0</v>
      </c>
      <c r="R97" s="52">
        <v>42.557276601512648</v>
      </c>
      <c r="S97" s="52">
        <v>1.3676705172693815</v>
      </c>
      <c r="T97" s="52">
        <v>20.594927291416369</v>
      </c>
      <c r="U97" s="52">
        <v>0.19632950947559014</v>
      </c>
      <c r="V97" s="53">
        <v>33.994038266611071</v>
      </c>
      <c r="W97" s="52">
        <v>0.14420032744975053</v>
      </c>
      <c r="X97" s="53">
        <v>41.895465582675115</v>
      </c>
      <c r="Y97" s="52">
        <v>1.1470766902612173</v>
      </c>
    </row>
    <row r="98" spans="1:25" ht="14.45" customHeight="1">
      <c r="A98" s="51" t="s">
        <v>8</v>
      </c>
      <c r="B98" s="52">
        <v>27.1494360281479</v>
      </c>
      <c r="C98" s="52">
        <v>5.1389503776480439</v>
      </c>
      <c r="D98" s="52">
        <v>18.717666616927779</v>
      </c>
      <c r="E98" s="52">
        <v>2.0156328486198305</v>
      </c>
      <c r="F98" s="52">
        <v>56.6346093008937</v>
      </c>
      <c r="G98" s="52">
        <v>1.9358616739459045</v>
      </c>
      <c r="H98" s="52">
        <v>37.488525455646837</v>
      </c>
      <c r="I98" s="52">
        <v>1.0913064716068455</v>
      </c>
      <c r="J98" s="52">
        <v>43.191963962961054</v>
      </c>
      <c r="K98" s="52">
        <v>3.0694881756159198</v>
      </c>
      <c r="L98" s="52">
        <v>32.352868832539137</v>
      </c>
      <c r="M98" s="52">
        <v>2.7954564837118667</v>
      </c>
      <c r="N98" s="52">
        <v>30.071890793639927</v>
      </c>
      <c r="O98" s="52">
        <v>10.654146233103035</v>
      </c>
      <c r="P98" s="52">
        <v>62.461437556397513</v>
      </c>
      <c r="Q98" s="52">
        <v>0</v>
      </c>
      <c r="R98" s="52">
        <v>46.124106302187343</v>
      </c>
      <c r="S98" s="52">
        <v>8.3812451959106582</v>
      </c>
      <c r="T98" s="52">
        <v>20.594927291416369</v>
      </c>
      <c r="U98" s="52">
        <v>0</v>
      </c>
      <c r="V98" s="53">
        <v>36.679699020012457</v>
      </c>
      <c r="W98" s="52">
        <v>7.9003875101218535</v>
      </c>
      <c r="X98" s="53">
        <v>43.692374929237111</v>
      </c>
      <c r="Y98" s="52">
        <v>4.2890306183995808</v>
      </c>
    </row>
    <row r="99" spans="1:25" ht="14.45" customHeight="1">
      <c r="A99" s="51" t="s">
        <v>9</v>
      </c>
      <c r="B99" s="52">
        <v>28.162045556221692</v>
      </c>
      <c r="C99" s="52">
        <v>3.7297626625611757</v>
      </c>
      <c r="D99" s="52">
        <v>19.009066792214117</v>
      </c>
      <c r="E99" s="52">
        <v>1.5568189200613425</v>
      </c>
      <c r="F99" s="52">
        <v>57.71733232445969</v>
      </c>
      <c r="G99" s="52">
        <v>1.9117692113202356</v>
      </c>
      <c r="H99" s="52">
        <v>38.449956553414715</v>
      </c>
      <c r="I99" s="52">
        <v>2.5646009974581663</v>
      </c>
      <c r="J99" s="52">
        <v>45.716075354863548</v>
      </c>
      <c r="K99" s="52">
        <v>5.8439375298308338</v>
      </c>
      <c r="L99" s="52">
        <v>33.621486107923516</v>
      </c>
      <c r="M99" s="52">
        <v>3.9211894374833856</v>
      </c>
      <c r="N99" s="52">
        <v>32.109711535740466</v>
      </c>
      <c r="O99" s="52">
        <v>6.7764968823693872</v>
      </c>
      <c r="P99" s="52">
        <v>62.461437556397513</v>
      </c>
      <c r="Q99" s="52">
        <v>0</v>
      </c>
      <c r="R99" s="52">
        <v>48.303656202382705</v>
      </c>
      <c r="S99" s="52">
        <v>4.7254029940781761</v>
      </c>
      <c r="T99" s="52">
        <v>20.594927291416369</v>
      </c>
      <c r="U99" s="52">
        <v>0</v>
      </c>
      <c r="V99" s="53">
        <v>36.884126243401852</v>
      </c>
      <c r="W99" s="52">
        <v>0.55733070022701003</v>
      </c>
      <c r="X99" s="53">
        <v>44.487643879129287</v>
      </c>
      <c r="Y99" s="52">
        <v>1.8201550068637218</v>
      </c>
    </row>
    <row r="100" spans="1:25" ht="14.45" customHeight="1">
      <c r="A100" s="51" t="s">
        <v>10</v>
      </c>
      <c r="B100" s="52">
        <v>29.338374814994296</v>
      </c>
      <c r="C100" s="52">
        <v>4.1770021869477647</v>
      </c>
      <c r="D100" s="52">
        <v>19.082976023554167</v>
      </c>
      <c r="E100" s="52">
        <v>0.38881041425096186</v>
      </c>
      <c r="F100" s="52">
        <v>58.25360810885676</v>
      </c>
      <c r="G100" s="52">
        <v>0.9291416681948883</v>
      </c>
      <c r="H100" s="52">
        <v>39.461741665615435</v>
      </c>
      <c r="I100" s="52">
        <v>2.6314336943271899</v>
      </c>
      <c r="J100" s="52">
        <v>46.4230001146665</v>
      </c>
      <c r="K100" s="52">
        <v>1.5463373754539544</v>
      </c>
      <c r="L100" s="52">
        <v>34.050159885742048</v>
      </c>
      <c r="M100" s="52">
        <v>1.2749994941999576</v>
      </c>
      <c r="N100" s="52">
        <v>33.215220603721924</v>
      </c>
      <c r="O100" s="52">
        <v>3.4429118640662448</v>
      </c>
      <c r="P100" s="52">
        <v>63.228323418205768</v>
      </c>
      <c r="Q100" s="52">
        <v>1.2277749149078199</v>
      </c>
      <c r="R100" s="52">
        <v>51.930158080183233</v>
      </c>
      <c r="S100" s="52">
        <v>7.5077171438249213</v>
      </c>
      <c r="T100" s="52">
        <v>20.594927291416369</v>
      </c>
      <c r="U100" s="52">
        <v>0</v>
      </c>
      <c r="V100" s="53">
        <v>38.744312289167738</v>
      </c>
      <c r="W100" s="52">
        <v>5.0433241484164171</v>
      </c>
      <c r="X100" s="53">
        <v>45.220642993439313</v>
      </c>
      <c r="Y100" s="52">
        <v>1.647646515741652</v>
      </c>
    </row>
    <row r="101" spans="1:25" ht="14.45" customHeight="1">
      <c r="A101" s="51" t="s">
        <v>11</v>
      </c>
      <c r="B101" s="52">
        <v>30.238275528552059</v>
      </c>
      <c r="C101" s="52">
        <v>3.0673161660537573</v>
      </c>
      <c r="D101" s="52">
        <v>19.314884207120752</v>
      </c>
      <c r="E101" s="52">
        <v>1.2152621440195688</v>
      </c>
      <c r="F101" s="52">
        <v>58.776029183893336</v>
      </c>
      <c r="G101" s="52">
        <v>0.89680466497517042</v>
      </c>
      <c r="H101" s="52">
        <v>40.085593807854515</v>
      </c>
      <c r="I101" s="52">
        <v>1.5809037206856669</v>
      </c>
      <c r="J101" s="52">
        <v>46.970276483548488</v>
      </c>
      <c r="K101" s="52">
        <v>1.1788905661637372</v>
      </c>
      <c r="L101" s="52">
        <v>35.537435074592437</v>
      </c>
      <c r="M101" s="52">
        <v>4.3678948757981173</v>
      </c>
      <c r="N101" s="52">
        <v>32.323870337611289</v>
      </c>
      <c r="O101" s="52">
        <v>-2.683559675080871</v>
      </c>
      <c r="P101" s="52">
        <v>63.228323418205768</v>
      </c>
      <c r="Q101" s="52">
        <v>0</v>
      </c>
      <c r="R101" s="52">
        <v>54.565136460560254</v>
      </c>
      <c r="S101" s="52">
        <v>5.07408118478756</v>
      </c>
      <c r="T101" s="52">
        <v>23.486543768118267</v>
      </c>
      <c r="U101" s="52">
        <v>14.040430615684073</v>
      </c>
      <c r="V101" s="53">
        <v>38.850558686329705</v>
      </c>
      <c r="W101" s="52">
        <v>0.27422450131260323</v>
      </c>
      <c r="X101" s="53">
        <v>45.589239425771481</v>
      </c>
      <c r="Y101" s="52">
        <v>0.8151065706554439</v>
      </c>
    </row>
    <row r="102" spans="1:25" ht="14.45" customHeight="1">
      <c r="A102" s="51" t="s">
        <v>12</v>
      </c>
      <c r="B102" s="52">
        <v>31.668982684170558</v>
      </c>
      <c r="C102" s="52">
        <v>4.7314442725663097</v>
      </c>
      <c r="D102" s="52">
        <v>19.481206852818577</v>
      </c>
      <c r="E102" s="52">
        <v>0.86111127519215014</v>
      </c>
      <c r="F102" s="52">
        <v>60.486245476734538</v>
      </c>
      <c r="G102" s="52">
        <v>2.9097173058262094</v>
      </c>
      <c r="H102" s="52">
        <v>40.569841668666136</v>
      </c>
      <c r="I102" s="52">
        <v>1.208034644897138</v>
      </c>
      <c r="J102" s="52">
        <v>47.602650709187856</v>
      </c>
      <c r="K102" s="52">
        <v>1.3463285145039805</v>
      </c>
      <c r="L102" s="52">
        <v>35.924885405322584</v>
      </c>
      <c r="M102" s="52">
        <v>1.090259693522877</v>
      </c>
      <c r="N102" s="52">
        <v>33.394496457751671</v>
      </c>
      <c r="O102" s="52">
        <v>3.3121841814054864</v>
      </c>
      <c r="P102" s="52">
        <v>63.228323418205768</v>
      </c>
      <c r="Q102" s="52">
        <v>0</v>
      </c>
      <c r="R102" s="52">
        <v>56.071343447282366</v>
      </c>
      <c r="S102" s="52">
        <v>2.7603834323969734</v>
      </c>
      <c r="T102" s="52">
        <v>23.486543768118267</v>
      </c>
      <c r="U102" s="52">
        <v>0</v>
      </c>
      <c r="V102" s="53">
        <v>39.105241300913249</v>
      </c>
      <c r="W102" s="52">
        <v>0.65554427837135609</v>
      </c>
      <c r="X102" s="53">
        <v>46.021417381364685</v>
      </c>
      <c r="Y102" s="52">
        <v>0.94798237706263944</v>
      </c>
    </row>
    <row r="103" spans="1:25" ht="14.45" customHeight="1">
      <c r="A103" s="51" t="s">
        <v>13</v>
      </c>
      <c r="B103" s="52">
        <v>34.049534408945789</v>
      </c>
      <c r="C103" s="52">
        <v>7.5169819899681523</v>
      </c>
      <c r="D103" s="52">
        <v>20.753176496154559</v>
      </c>
      <c r="E103" s="52">
        <v>6.5292137850892606</v>
      </c>
      <c r="F103" s="52">
        <v>62.010894958514015</v>
      </c>
      <c r="G103" s="52">
        <v>2.5206548526241601</v>
      </c>
      <c r="H103" s="52">
        <v>41.003837361044539</v>
      </c>
      <c r="I103" s="52">
        <v>1.0697495344518471</v>
      </c>
      <c r="J103" s="52">
        <v>49.026268583344418</v>
      </c>
      <c r="K103" s="52">
        <v>2.9906273137050077</v>
      </c>
      <c r="L103" s="52">
        <v>36.593356242529232</v>
      </c>
      <c r="M103" s="52">
        <v>1.8607459137715443</v>
      </c>
      <c r="N103" s="52">
        <v>36.869076418973215</v>
      </c>
      <c r="O103" s="52">
        <v>10.404648459417064</v>
      </c>
      <c r="P103" s="52">
        <v>63.228323418205768</v>
      </c>
      <c r="Q103" s="52">
        <v>0</v>
      </c>
      <c r="R103" s="52">
        <v>57.503862895504867</v>
      </c>
      <c r="S103" s="52">
        <v>2.554815633353491</v>
      </c>
      <c r="T103" s="52">
        <v>23.486543768118267</v>
      </c>
      <c r="U103" s="52">
        <v>0</v>
      </c>
      <c r="V103" s="53">
        <v>44.158815504589441</v>
      </c>
      <c r="W103" s="52">
        <v>12.923009897290093</v>
      </c>
      <c r="X103" s="53">
        <v>46.579192075321359</v>
      </c>
      <c r="Y103" s="52">
        <v>1.2119893860168984</v>
      </c>
    </row>
    <row r="104" spans="1:25" ht="14.45" customHeight="1">
      <c r="A104" s="51" t="s">
        <v>14</v>
      </c>
      <c r="B104" s="52">
        <v>36.493892891266164</v>
      </c>
      <c r="C104" s="52">
        <v>7.1788308555496005</v>
      </c>
      <c r="D104" s="52">
        <v>21.878129393441931</v>
      </c>
      <c r="E104" s="52">
        <v>5.4206299334264241</v>
      </c>
      <c r="F104" s="52">
        <v>64.127992640393657</v>
      </c>
      <c r="G104" s="52">
        <v>3.4140737418739242</v>
      </c>
      <c r="H104" s="52">
        <v>41.676835029712741</v>
      </c>
      <c r="I104" s="52">
        <v>1.6413041119599736</v>
      </c>
      <c r="J104" s="52">
        <v>50.953769607853047</v>
      </c>
      <c r="K104" s="52">
        <v>3.9315678720926561</v>
      </c>
      <c r="L104" s="52">
        <v>37.375838747992468</v>
      </c>
      <c r="M104" s="52">
        <v>2.1383184976999425</v>
      </c>
      <c r="N104" s="52">
        <v>37.532248894734963</v>
      </c>
      <c r="O104" s="52">
        <v>1.7987227784758808</v>
      </c>
      <c r="P104" s="52">
        <v>63.228323418205768</v>
      </c>
      <c r="Q104" s="52">
        <v>0</v>
      </c>
      <c r="R104" s="52">
        <v>58.43550111110082</v>
      </c>
      <c r="S104" s="52">
        <v>1.6201315332309063</v>
      </c>
      <c r="T104" s="52">
        <v>23.486543768118267</v>
      </c>
      <c r="U104" s="52">
        <v>0</v>
      </c>
      <c r="V104" s="53">
        <v>46.572680692601963</v>
      </c>
      <c r="W104" s="52">
        <v>5.466326848739067</v>
      </c>
      <c r="X104" s="53">
        <v>47.629900574558008</v>
      </c>
      <c r="Y104" s="52">
        <v>2.2557465091657125</v>
      </c>
    </row>
    <row r="105" spans="1:25" ht="5.0999999999999996" customHeight="1">
      <c r="A105" s="5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3"/>
      <c r="W105" s="52"/>
      <c r="X105" s="53"/>
      <c r="Y105" s="52"/>
    </row>
    <row r="106" spans="1:25" ht="14.1" customHeight="1">
      <c r="A106" s="51">
        <v>2004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3"/>
      <c r="W106" s="52"/>
      <c r="X106" s="53"/>
      <c r="Y106" s="52"/>
    </row>
    <row r="107" spans="1:25" ht="14.45" customHeight="1">
      <c r="A107" s="51" t="s">
        <v>3</v>
      </c>
      <c r="B107" s="52">
        <v>39.89530996208434</v>
      </c>
      <c r="C107" s="52">
        <v>9.3205103685505044</v>
      </c>
      <c r="D107" s="52">
        <v>23.465276533171824</v>
      </c>
      <c r="E107" s="52">
        <v>7.2544919686124976</v>
      </c>
      <c r="F107" s="52">
        <v>68.326851275606373</v>
      </c>
      <c r="G107" s="52">
        <v>6.5476221262037226</v>
      </c>
      <c r="H107" s="52">
        <v>42.85891238803903</v>
      </c>
      <c r="I107" s="52">
        <v>2.83629348889749</v>
      </c>
      <c r="J107" s="52">
        <v>54.869502094414464</v>
      </c>
      <c r="K107" s="52">
        <v>7.6848730068401538</v>
      </c>
      <c r="L107" s="52">
        <v>38.666619635707505</v>
      </c>
      <c r="M107" s="52">
        <v>3.4535168465867905</v>
      </c>
      <c r="N107" s="52">
        <v>44.064079158450483</v>
      </c>
      <c r="O107" s="52">
        <v>17.403247756442887</v>
      </c>
      <c r="P107" s="52">
        <v>74.20558140353738</v>
      </c>
      <c r="Q107" s="52">
        <v>17.361298531871007</v>
      </c>
      <c r="R107" s="52">
        <v>63.10934677572498</v>
      </c>
      <c r="S107" s="52">
        <v>7.9982982532108116</v>
      </c>
      <c r="T107" s="52">
        <v>23.826297661202585</v>
      </c>
      <c r="U107" s="52">
        <v>1.4465895724747435</v>
      </c>
      <c r="V107" s="53">
        <v>48.26197816182556</v>
      </c>
      <c r="W107" s="52">
        <v>3.6272283323642629</v>
      </c>
      <c r="X107" s="53">
        <v>49.152836238567893</v>
      </c>
      <c r="Y107" s="52">
        <v>3.1974361601404988</v>
      </c>
    </row>
    <row r="108" spans="1:25" ht="14.45" customHeight="1">
      <c r="A108" s="51" t="s">
        <v>4</v>
      </c>
      <c r="B108" s="52">
        <v>47.2224562092319</v>
      </c>
      <c r="C108" s="52">
        <v>18.365933875714035</v>
      </c>
      <c r="D108" s="52">
        <v>25.354315646769752</v>
      </c>
      <c r="E108" s="52">
        <v>8.0503594787279642</v>
      </c>
      <c r="F108" s="52">
        <v>73.419009934614024</v>
      </c>
      <c r="G108" s="52">
        <v>7.452646454419054</v>
      </c>
      <c r="H108" s="52">
        <v>44.344957643966254</v>
      </c>
      <c r="I108" s="52">
        <v>3.4672957691337603</v>
      </c>
      <c r="J108" s="52">
        <v>62.705442991469909</v>
      </c>
      <c r="K108" s="52">
        <v>14.28104975979565</v>
      </c>
      <c r="L108" s="52">
        <v>41.553359908796736</v>
      </c>
      <c r="M108" s="52">
        <v>7.4657166835018884</v>
      </c>
      <c r="N108" s="52">
        <v>49.432772733392831</v>
      </c>
      <c r="O108" s="52">
        <v>12.183832449186127</v>
      </c>
      <c r="P108" s="52">
        <v>74.20558140353738</v>
      </c>
      <c r="Q108" s="52">
        <v>0</v>
      </c>
      <c r="R108" s="52">
        <v>67.226487018373433</v>
      </c>
      <c r="S108" s="52">
        <v>6.5238200884565556</v>
      </c>
      <c r="T108" s="52">
        <v>24.052732319400949</v>
      </c>
      <c r="U108" s="52">
        <v>0.95035603692250614</v>
      </c>
      <c r="V108" s="53">
        <v>53.348136701888315</v>
      </c>
      <c r="W108" s="52">
        <v>10.538644982616606</v>
      </c>
      <c r="X108" s="53">
        <v>50.537076149137974</v>
      </c>
      <c r="Y108" s="52">
        <v>2.8161953948121043</v>
      </c>
    </row>
    <row r="109" spans="1:25" ht="14.45" customHeight="1">
      <c r="A109" s="51" t="s">
        <v>5</v>
      </c>
      <c r="B109" s="52">
        <v>49.228778048249715</v>
      </c>
      <c r="C109" s="52">
        <v>4.2486604892559177</v>
      </c>
      <c r="D109" s="52">
        <v>26.472718690487653</v>
      </c>
      <c r="E109" s="52">
        <v>4.4110953705050582</v>
      </c>
      <c r="F109" s="52">
        <v>75.245590966802453</v>
      </c>
      <c r="G109" s="52">
        <v>2.4878856767683866</v>
      </c>
      <c r="H109" s="52">
        <v>46.061703456931518</v>
      </c>
      <c r="I109" s="52">
        <v>3.8713439005817918</v>
      </c>
      <c r="J109" s="52">
        <v>64.066756994749596</v>
      </c>
      <c r="K109" s="52">
        <v>2.1709662484401537</v>
      </c>
      <c r="L109" s="52">
        <v>43.605334108572876</v>
      </c>
      <c r="M109" s="52">
        <v>4.9381667433870735</v>
      </c>
      <c r="N109" s="52">
        <v>48.906081574492838</v>
      </c>
      <c r="O109" s="52">
        <v>-1.0654695858163032</v>
      </c>
      <c r="P109" s="52">
        <v>75.164185959655626</v>
      </c>
      <c r="Q109" s="52">
        <v>1.2918227146624606</v>
      </c>
      <c r="R109" s="52">
        <v>70.546071799611923</v>
      </c>
      <c r="S109" s="52">
        <v>4.9379120172250435</v>
      </c>
      <c r="T109" s="52">
        <v>24.052732319400949</v>
      </c>
      <c r="U109" s="52">
        <v>0</v>
      </c>
      <c r="V109" s="53">
        <v>54.231980187313539</v>
      </c>
      <c r="W109" s="52">
        <v>1.6567466833268707</v>
      </c>
      <c r="X109" s="53">
        <v>52.93469871742964</v>
      </c>
      <c r="Y109" s="52">
        <v>4.7442842977621691</v>
      </c>
    </row>
    <row r="110" spans="1:25" ht="14.45" customHeight="1">
      <c r="A110" s="51" t="s">
        <v>6</v>
      </c>
      <c r="B110" s="52">
        <v>49.456932606284788</v>
      </c>
      <c r="C110" s="52">
        <v>0.46345769096980405</v>
      </c>
      <c r="D110" s="52">
        <v>27.064691150744807</v>
      </c>
      <c r="E110" s="52">
        <v>2.2361604305864757</v>
      </c>
      <c r="F110" s="52">
        <v>77.061000724243343</v>
      </c>
      <c r="G110" s="52">
        <v>2.4126460223321544</v>
      </c>
      <c r="H110" s="52">
        <v>47.110486436728117</v>
      </c>
      <c r="I110" s="52">
        <v>2.2769088007724925</v>
      </c>
      <c r="J110" s="52">
        <v>65.738666477854778</v>
      </c>
      <c r="K110" s="52">
        <v>2.6096365128052357</v>
      </c>
      <c r="L110" s="52">
        <v>44.730073378399162</v>
      </c>
      <c r="M110" s="52">
        <v>2.5793616602634017</v>
      </c>
      <c r="N110" s="52">
        <v>48.356796949397172</v>
      </c>
      <c r="O110" s="52">
        <v>-1.1231417594946835</v>
      </c>
      <c r="P110" s="52">
        <v>75.164185959655626</v>
      </c>
      <c r="Q110" s="52">
        <v>0</v>
      </c>
      <c r="R110" s="52">
        <v>72.571129476355239</v>
      </c>
      <c r="S110" s="52">
        <v>2.8705463324670166</v>
      </c>
      <c r="T110" s="52">
        <v>24.052732319400949</v>
      </c>
      <c r="U110" s="52">
        <v>0</v>
      </c>
      <c r="V110" s="53">
        <v>54.237056012252943</v>
      </c>
      <c r="W110" s="52">
        <v>9.3594681991548967E-3</v>
      </c>
      <c r="X110" s="53">
        <v>54.590311895802046</v>
      </c>
      <c r="Y110" s="52">
        <v>3.1276520287953691</v>
      </c>
    </row>
    <row r="111" spans="1:25" ht="14.45" customHeight="1">
      <c r="A111" s="51" t="s">
        <v>7</v>
      </c>
      <c r="B111" s="52">
        <v>49.794913859312324</v>
      </c>
      <c r="C111" s="52">
        <v>0.68338498814337623</v>
      </c>
      <c r="D111" s="52">
        <v>27.253725934810181</v>
      </c>
      <c r="E111" s="52">
        <v>0.69845535281554127</v>
      </c>
      <c r="F111" s="52">
        <v>78.922774799657574</v>
      </c>
      <c r="G111" s="52">
        <v>2.4159744331331057</v>
      </c>
      <c r="H111" s="52">
        <v>47.562455156503781</v>
      </c>
      <c r="I111" s="52">
        <v>0.95938028655824237</v>
      </c>
      <c r="J111" s="52">
        <v>67.19344672898994</v>
      </c>
      <c r="K111" s="52">
        <v>2.212974994899275</v>
      </c>
      <c r="L111" s="52">
        <v>45.487423149416131</v>
      </c>
      <c r="M111" s="52">
        <v>1.6931556642218792</v>
      </c>
      <c r="N111" s="52">
        <v>50.357611779645261</v>
      </c>
      <c r="O111" s="52">
        <v>4.1376082711636952</v>
      </c>
      <c r="P111" s="52">
        <v>75.906985054423188</v>
      </c>
      <c r="Q111" s="52">
        <v>0.98823540132033649</v>
      </c>
      <c r="R111" s="52">
        <v>72.992844422237539</v>
      </c>
      <c r="S111" s="52">
        <v>0.58110566684745901</v>
      </c>
      <c r="T111" s="52">
        <v>24.052732319400949</v>
      </c>
      <c r="U111" s="52">
        <v>0</v>
      </c>
      <c r="V111" s="53">
        <v>61.596200797524816</v>
      </c>
      <c r="W111" s="52">
        <v>13.568481267879529</v>
      </c>
      <c r="X111" s="53">
        <v>55.153748488334067</v>
      </c>
      <c r="Y111" s="52">
        <v>1.0321182879619029</v>
      </c>
    </row>
    <row r="112" spans="1:25" ht="14.45" customHeight="1">
      <c r="A112" s="51" t="s">
        <v>8</v>
      </c>
      <c r="B112" s="52">
        <v>50.504715212314657</v>
      </c>
      <c r="C112" s="52">
        <v>1.4254495047581806</v>
      </c>
      <c r="D112" s="52">
        <v>27.436935105627004</v>
      </c>
      <c r="E112" s="52">
        <v>0.6722353165767192</v>
      </c>
      <c r="F112" s="52">
        <v>81.079884453535044</v>
      </c>
      <c r="G112" s="52">
        <v>2.7331903361902832</v>
      </c>
      <c r="H112" s="52">
        <v>48.308331693731176</v>
      </c>
      <c r="I112" s="52">
        <v>1.5682044477584256</v>
      </c>
      <c r="J112" s="52">
        <v>68.455070320681415</v>
      </c>
      <c r="K112" s="52">
        <v>1.8775991604954578</v>
      </c>
      <c r="L112" s="52">
        <v>46.182250024753756</v>
      </c>
      <c r="M112" s="52">
        <v>1.5275142604918912</v>
      </c>
      <c r="N112" s="52">
        <v>52.449384627158501</v>
      </c>
      <c r="O112" s="52">
        <v>4.1538364779219794</v>
      </c>
      <c r="P112" s="52">
        <v>77.083079926282394</v>
      </c>
      <c r="Q112" s="52">
        <v>1.5493895206297292</v>
      </c>
      <c r="R112" s="52">
        <v>73.130049538738987</v>
      </c>
      <c r="S112" s="52">
        <v>0.1879706395708558</v>
      </c>
      <c r="T112" s="52">
        <v>24.113060545167571</v>
      </c>
      <c r="U112" s="52">
        <v>0.25081651832943308</v>
      </c>
      <c r="V112" s="53">
        <v>61.894017504268788</v>
      </c>
      <c r="W112" s="52">
        <v>0.48349849972555425</v>
      </c>
      <c r="X112" s="53">
        <v>55.537760067638956</v>
      </c>
      <c r="Y112" s="52">
        <v>0.69625653709850521</v>
      </c>
    </row>
    <row r="113" spans="1:25" ht="14.45" customHeight="1">
      <c r="A113" s="51" t="s">
        <v>9</v>
      </c>
      <c r="B113" s="52">
        <v>51.870441503419812</v>
      </c>
      <c r="C113" s="52">
        <v>2.7041560087287531</v>
      </c>
      <c r="D113" s="52">
        <v>27.50104896736249</v>
      </c>
      <c r="E113" s="52">
        <v>0.23367720005409431</v>
      </c>
      <c r="F113" s="52">
        <v>83.080793816121073</v>
      </c>
      <c r="G113" s="52">
        <v>2.4678246350150035</v>
      </c>
      <c r="H113" s="52">
        <v>48.905442084636633</v>
      </c>
      <c r="I113" s="52">
        <v>1.2360401818283906</v>
      </c>
      <c r="J113" s="52">
        <v>69.31244468971127</v>
      </c>
      <c r="K113" s="52">
        <v>1.2524629147460331</v>
      </c>
      <c r="L113" s="52">
        <v>47.241899890036912</v>
      </c>
      <c r="M113" s="52">
        <v>2.294495969155208</v>
      </c>
      <c r="N113" s="52">
        <v>50.835520076723824</v>
      </c>
      <c r="O113" s="52">
        <v>-3.0769942524721428</v>
      </c>
      <c r="P113" s="52">
        <v>77.083079926282394</v>
      </c>
      <c r="Q113" s="52">
        <v>0</v>
      </c>
      <c r="R113" s="52">
        <v>74.241840141308273</v>
      </c>
      <c r="S113" s="52">
        <v>1.5202924236778159</v>
      </c>
      <c r="T113" s="52">
        <v>24.113060545167571</v>
      </c>
      <c r="U113" s="52">
        <v>0</v>
      </c>
      <c r="V113" s="53">
        <v>62.323494090718441</v>
      </c>
      <c r="W113" s="52">
        <v>0.69389030437396748</v>
      </c>
      <c r="X113" s="53">
        <v>56.261211269769895</v>
      </c>
      <c r="Y113" s="52">
        <v>1.3026294205057187</v>
      </c>
    </row>
    <row r="114" spans="1:25" ht="14.45" customHeight="1">
      <c r="A114" s="51" t="s">
        <v>10</v>
      </c>
      <c r="B114" s="52">
        <v>52.325766163239216</v>
      </c>
      <c r="C114" s="52">
        <v>0.87781142134559786</v>
      </c>
      <c r="D114" s="52">
        <v>27.848783825198979</v>
      </c>
      <c r="E114" s="52">
        <v>1.2644421609123713</v>
      </c>
      <c r="F114" s="52">
        <v>84.930281841160308</v>
      </c>
      <c r="G114" s="52">
        <v>2.2261318652450734</v>
      </c>
      <c r="H114" s="52">
        <v>49.399863877764822</v>
      </c>
      <c r="I114" s="52">
        <v>1.0109750000266482</v>
      </c>
      <c r="J114" s="52">
        <v>69.934817537365305</v>
      </c>
      <c r="K114" s="52">
        <v>0.89792367076386714</v>
      </c>
      <c r="L114" s="52">
        <v>48.073422573027678</v>
      </c>
      <c r="M114" s="52">
        <v>1.7601381081757239</v>
      </c>
      <c r="N114" s="52">
        <v>49.34410670145121</v>
      </c>
      <c r="O114" s="52">
        <v>-2.9338017453577558</v>
      </c>
      <c r="P114" s="52">
        <v>77.083079926282394</v>
      </c>
      <c r="Q114" s="52">
        <v>0</v>
      </c>
      <c r="R114" s="52">
        <v>75.305782423408786</v>
      </c>
      <c r="S114" s="52">
        <v>1.4330763893721565</v>
      </c>
      <c r="T114" s="52">
        <v>24.113060545167571</v>
      </c>
      <c r="U114" s="52">
        <v>0</v>
      </c>
      <c r="V114" s="53">
        <v>66.439629922795561</v>
      </c>
      <c r="W114" s="52">
        <v>6.6044689761547204</v>
      </c>
      <c r="X114" s="53">
        <v>56.879440824271143</v>
      </c>
      <c r="Y114" s="52">
        <v>1.0988557490112738</v>
      </c>
    </row>
    <row r="115" spans="1:25" ht="14.45" customHeight="1">
      <c r="A115" s="51" t="s">
        <v>11</v>
      </c>
      <c r="B115" s="52">
        <v>50.328147001440144</v>
      </c>
      <c r="C115" s="52">
        <v>-3.8176586952729075</v>
      </c>
      <c r="D115" s="52">
        <v>28.064520770403639</v>
      </c>
      <c r="E115" s="52">
        <v>0.77467277048361982</v>
      </c>
      <c r="F115" s="52">
        <v>86.244409454433764</v>
      </c>
      <c r="G115" s="52">
        <v>1.5473016040747245</v>
      </c>
      <c r="H115" s="52">
        <v>49.615334548538009</v>
      </c>
      <c r="I115" s="52">
        <v>0.43617664879875839</v>
      </c>
      <c r="J115" s="52">
        <v>70.090257572575865</v>
      </c>
      <c r="K115" s="52">
        <v>0.22226416066291055</v>
      </c>
      <c r="L115" s="52">
        <v>48.319605971133143</v>
      </c>
      <c r="M115" s="52">
        <v>0.51209875421598383</v>
      </c>
      <c r="N115" s="52">
        <v>47.14019329837388</v>
      </c>
      <c r="O115" s="52">
        <v>-4.4664166612879637</v>
      </c>
      <c r="P115" s="52">
        <v>77.083079926282394</v>
      </c>
      <c r="Q115" s="52">
        <v>0</v>
      </c>
      <c r="R115" s="52">
        <v>74.837387841883327</v>
      </c>
      <c r="S115" s="52">
        <v>-0.62199019311941495</v>
      </c>
      <c r="T115" s="52">
        <v>30.368298168939027</v>
      </c>
      <c r="U115" s="52">
        <v>25.94128444232291</v>
      </c>
      <c r="V115" s="53">
        <v>66.66685688667198</v>
      </c>
      <c r="W115" s="52">
        <v>0.34200516188975794</v>
      </c>
      <c r="X115" s="53">
        <v>56.947680178786271</v>
      </c>
      <c r="Y115" s="52">
        <v>0.11997191520563</v>
      </c>
    </row>
    <row r="116" spans="1:25" ht="14.45" customHeight="1">
      <c r="A116" s="51" t="s">
        <v>12</v>
      </c>
      <c r="B116" s="52">
        <v>49.971169311164751</v>
      </c>
      <c r="C116" s="52">
        <v>-0.70930028531585032</v>
      </c>
      <c r="D116" s="52">
        <v>31.435188021216856</v>
      </c>
      <c r="E116" s="52">
        <v>12.010421551070504</v>
      </c>
      <c r="F116" s="52">
        <v>86.342378006198956</v>
      </c>
      <c r="G116" s="52">
        <v>0.11359408961684192</v>
      </c>
      <c r="H116" s="52">
        <v>50.278917981301881</v>
      </c>
      <c r="I116" s="52">
        <v>1.3374563303905518</v>
      </c>
      <c r="J116" s="52">
        <v>70.180569887006783</v>
      </c>
      <c r="K116" s="52">
        <v>0.12885145176904089</v>
      </c>
      <c r="L116" s="52">
        <v>48.521695377080142</v>
      </c>
      <c r="M116" s="52">
        <v>0.41823479700502375</v>
      </c>
      <c r="N116" s="52">
        <v>47.924064418892826</v>
      </c>
      <c r="O116" s="52">
        <v>1.6628508830191624</v>
      </c>
      <c r="P116" s="52">
        <v>87.681336789389675</v>
      </c>
      <c r="Q116" s="52">
        <v>13.749135184067395</v>
      </c>
      <c r="R116" s="52">
        <v>75.089734771311839</v>
      </c>
      <c r="S116" s="52">
        <v>0.33719366309479248</v>
      </c>
      <c r="T116" s="52">
        <v>30.368298168939027</v>
      </c>
      <c r="U116" s="52">
        <v>0</v>
      </c>
      <c r="V116" s="53">
        <v>68.978125603705791</v>
      </c>
      <c r="W116" s="52">
        <v>3.4668931834641148</v>
      </c>
      <c r="X116" s="53">
        <v>57.685190696441282</v>
      </c>
      <c r="Y116" s="52">
        <v>1.2950668321160874</v>
      </c>
    </row>
    <row r="117" spans="1:25" ht="14.45" customHeight="1">
      <c r="A117" s="51" t="s">
        <v>13</v>
      </c>
      <c r="B117" s="52">
        <v>49.010283335984205</v>
      </c>
      <c r="C117" s="52">
        <v>-1.9228807098693568</v>
      </c>
      <c r="D117" s="52">
        <v>31.392799487408308</v>
      </c>
      <c r="E117" s="52">
        <v>-0.13484421909593092</v>
      </c>
      <c r="F117" s="52">
        <v>86.642144465004151</v>
      </c>
      <c r="G117" s="52">
        <v>0.34718346393431965</v>
      </c>
      <c r="H117" s="52">
        <v>50.288617310484113</v>
      </c>
      <c r="I117" s="52">
        <v>1.9291045972469334E-2</v>
      </c>
      <c r="J117" s="52">
        <v>69.542638304083212</v>
      </c>
      <c r="K117" s="52">
        <v>-0.90898603979799875</v>
      </c>
      <c r="L117" s="52">
        <v>48.163818480197563</v>
      </c>
      <c r="M117" s="52">
        <v>-0.73756057800822283</v>
      </c>
      <c r="N117" s="52">
        <v>46.215074828260491</v>
      </c>
      <c r="O117" s="52">
        <v>-3.5660364189782912</v>
      </c>
      <c r="P117" s="52">
        <v>87.681336789389675</v>
      </c>
      <c r="Q117" s="52">
        <v>0</v>
      </c>
      <c r="R117" s="52">
        <v>74.573027685823931</v>
      </c>
      <c r="S117" s="52">
        <v>-0.68811947073932345</v>
      </c>
      <c r="T117" s="52">
        <v>30.368298168939027</v>
      </c>
      <c r="U117" s="52">
        <v>0</v>
      </c>
      <c r="V117" s="53">
        <v>67.267915226827753</v>
      </c>
      <c r="W117" s="52">
        <v>-2.4793517682744293</v>
      </c>
      <c r="X117" s="53">
        <v>57.240554803296426</v>
      </c>
      <c r="Y117" s="52">
        <v>-0.77079730131200952</v>
      </c>
    </row>
    <row r="118" spans="1:25" ht="14.45" customHeight="1">
      <c r="A118" s="51" t="s">
        <v>14</v>
      </c>
      <c r="B118" s="52">
        <v>48.519190798739011</v>
      </c>
      <c r="C118" s="52">
        <v>-1.0020193800524879</v>
      </c>
      <c r="D118" s="52">
        <v>31.028208316852623</v>
      </c>
      <c r="E118" s="52">
        <v>-1.1613847012972633</v>
      </c>
      <c r="F118" s="52">
        <v>85.761024868335625</v>
      </c>
      <c r="G118" s="52">
        <v>-1.0169642061715334</v>
      </c>
      <c r="H118" s="52">
        <v>50.850020990089178</v>
      </c>
      <c r="I118" s="52">
        <v>1.1163633236104475</v>
      </c>
      <c r="J118" s="52">
        <v>66.149183389869648</v>
      </c>
      <c r="K118" s="52">
        <v>-4.8796752567472179</v>
      </c>
      <c r="L118" s="52">
        <v>47.586547380555068</v>
      </c>
      <c r="M118" s="52">
        <v>-1.1985575850466224</v>
      </c>
      <c r="N118" s="52">
        <v>44.341133491327277</v>
      </c>
      <c r="O118" s="52">
        <v>-4.0548270102276245</v>
      </c>
      <c r="P118" s="52">
        <v>87.681336789389675</v>
      </c>
      <c r="Q118" s="52">
        <v>0</v>
      </c>
      <c r="R118" s="52">
        <v>74.363670106865158</v>
      </c>
      <c r="S118" s="52">
        <v>-0.28074169100494872</v>
      </c>
      <c r="T118" s="52">
        <v>30.368298168939027</v>
      </c>
      <c r="U118" s="52">
        <v>0</v>
      </c>
      <c r="V118" s="53">
        <v>67.241595696196285</v>
      </c>
      <c r="W118" s="52">
        <v>-3.9126425343671833E-2</v>
      </c>
      <c r="X118" s="53">
        <v>57.390152416690086</v>
      </c>
      <c r="Y118" s="52">
        <v>0.26134899269887324</v>
      </c>
    </row>
    <row r="119" spans="1:25" ht="5.0999999999999996" customHeight="1">
      <c r="A119" s="5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3"/>
      <c r="W119" s="52"/>
      <c r="X119" s="53"/>
      <c r="Y119" s="52"/>
    </row>
    <row r="120" spans="1:25" ht="14.1" customHeight="1">
      <c r="A120" s="51">
        <v>2005</v>
      </c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3"/>
      <c r="W120" s="52"/>
      <c r="X120" s="53"/>
      <c r="Y120" s="52"/>
    </row>
    <row r="121" spans="1:25" ht="14.45" customHeight="1">
      <c r="A121" s="51" t="s">
        <v>3</v>
      </c>
      <c r="B121" s="52">
        <v>48.499583536823863</v>
      </c>
      <c r="C121" s="52">
        <v>-4.0411353924840743E-2</v>
      </c>
      <c r="D121" s="52">
        <v>31.025220381725141</v>
      </c>
      <c r="E121" s="52">
        <v>-9.629737872618449E-3</v>
      </c>
      <c r="F121" s="52">
        <v>86.038086593159136</v>
      </c>
      <c r="G121" s="52">
        <v>0.32306251615914494</v>
      </c>
      <c r="H121" s="52">
        <v>50.607771328555081</v>
      </c>
      <c r="I121" s="52">
        <v>-0.47640031767403057</v>
      </c>
      <c r="J121" s="52">
        <v>65.450275760738052</v>
      </c>
      <c r="K121" s="52">
        <v>-1.0565627469841576</v>
      </c>
      <c r="L121" s="52">
        <v>47.97902581295088</v>
      </c>
      <c r="M121" s="52">
        <v>0.82476761605989601</v>
      </c>
      <c r="N121" s="52">
        <v>46.060522253997831</v>
      </c>
      <c r="O121" s="52">
        <v>3.8776382723884284</v>
      </c>
      <c r="P121" s="52">
        <v>87.680937055782536</v>
      </c>
      <c r="Q121" s="52">
        <v>-4.5589360493369924E-4</v>
      </c>
      <c r="R121" s="52">
        <v>74.933725759279582</v>
      </c>
      <c r="S121" s="52">
        <v>0.76657815784941796</v>
      </c>
      <c r="T121" s="52">
        <v>30.613280352677002</v>
      </c>
      <c r="U121" s="52">
        <v>0.80670369598960789</v>
      </c>
      <c r="V121" s="53">
        <v>67.182894386226636</v>
      </c>
      <c r="W121" s="52">
        <v>-8.7299103124893751E-2</v>
      </c>
      <c r="X121" s="53">
        <v>57.53963487223804</v>
      </c>
      <c r="Y121" s="52">
        <v>0.26046708233602445</v>
      </c>
    </row>
    <row r="122" spans="1:25" ht="14.45" customHeight="1">
      <c r="A122" s="51" t="s">
        <v>4</v>
      </c>
      <c r="B122" s="52">
        <v>48.244113991174842</v>
      </c>
      <c r="C122" s="52">
        <v>-0.52674585433306609</v>
      </c>
      <c r="D122" s="52">
        <v>31.058902038162209</v>
      </c>
      <c r="E122" s="52">
        <v>0.10856218271024787</v>
      </c>
      <c r="F122" s="52">
        <v>86.204724382835778</v>
      </c>
      <c r="G122" s="52">
        <v>0.19367909756595747</v>
      </c>
      <c r="H122" s="52">
        <v>50.845750031980124</v>
      </c>
      <c r="I122" s="52">
        <v>0.47024142177698458</v>
      </c>
      <c r="J122" s="52">
        <v>65.067454535865323</v>
      </c>
      <c r="K122" s="52">
        <v>-0.58490391434282696</v>
      </c>
      <c r="L122" s="52">
        <v>48.149795349741829</v>
      </c>
      <c r="M122" s="52">
        <v>0.35592539426854142</v>
      </c>
      <c r="N122" s="52">
        <v>46.396531377350335</v>
      </c>
      <c r="O122" s="52">
        <v>0.72949481879429623</v>
      </c>
      <c r="P122" s="52">
        <v>87.680937055782536</v>
      </c>
      <c r="Q122" s="52">
        <v>0</v>
      </c>
      <c r="R122" s="52">
        <v>74.525291538099182</v>
      </c>
      <c r="S122" s="52">
        <v>-0.54506060794637934</v>
      </c>
      <c r="T122" s="52">
        <v>30.817091093970394</v>
      </c>
      <c r="U122" s="52">
        <v>0.66575923568272799</v>
      </c>
      <c r="V122" s="53">
        <v>67.06043711376708</v>
      </c>
      <c r="W122" s="52">
        <v>-0.18227448158986137</v>
      </c>
      <c r="X122" s="53">
        <v>57.7073346626823</v>
      </c>
      <c r="Y122" s="52">
        <v>0.29145091173523596</v>
      </c>
    </row>
    <row r="123" spans="1:25" ht="14.45" customHeight="1">
      <c r="A123" s="51" t="s">
        <v>5</v>
      </c>
      <c r="B123" s="52">
        <v>47.514008490382629</v>
      </c>
      <c r="C123" s="52">
        <v>-1.5133566364712747</v>
      </c>
      <c r="D123" s="52">
        <v>31.216862296901756</v>
      </c>
      <c r="E123" s="52">
        <v>0.5085828808290227</v>
      </c>
      <c r="F123" s="52">
        <v>86.550140198030533</v>
      </c>
      <c r="G123" s="52">
        <v>0.40069244193712272</v>
      </c>
      <c r="H123" s="52">
        <v>51.025415976301019</v>
      </c>
      <c r="I123" s="52">
        <v>0.35335489044392432</v>
      </c>
      <c r="J123" s="52">
        <v>65.261180376500278</v>
      </c>
      <c r="K123" s="52">
        <v>0.29773078110528761</v>
      </c>
      <c r="L123" s="52">
        <v>48.572719346076376</v>
      </c>
      <c r="M123" s="52">
        <v>0.87835055842415688</v>
      </c>
      <c r="N123" s="52">
        <v>47.010518484593284</v>
      </c>
      <c r="O123" s="52">
        <v>1.3233470024931249</v>
      </c>
      <c r="P123" s="52">
        <v>87.680937055782536</v>
      </c>
      <c r="Q123" s="52">
        <v>0</v>
      </c>
      <c r="R123" s="52">
        <v>73.722426758158861</v>
      </c>
      <c r="S123" s="52">
        <v>-1.0773051179945758</v>
      </c>
      <c r="T123" s="52">
        <v>30.817091093970394</v>
      </c>
      <c r="U123" s="52">
        <v>0</v>
      </c>
      <c r="V123" s="53">
        <v>66.951680267619508</v>
      </c>
      <c r="W123" s="52">
        <v>-0.16217735945124323</v>
      </c>
      <c r="X123" s="53">
        <v>57.846645333961199</v>
      </c>
      <c r="Y123" s="52">
        <v>0.24140895103406113</v>
      </c>
    </row>
    <row r="124" spans="1:25" ht="14.45" customHeight="1">
      <c r="A124" s="51" t="s">
        <v>6</v>
      </c>
      <c r="B124" s="52">
        <v>47.200987086561071</v>
      </c>
      <c r="C124" s="52">
        <v>-0.65879813925806552</v>
      </c>
      <c r="D124" s="52">
        <v>31.357132373886529</v>
      </c>
      <c r="E124" s="52">
        <v>0.4493407301818797</v>
      </c>
      <c r="F124" s="52">
        <v>86.981929957726123</v>
      </c>
      <c r="G124" s="52">
        <v>0.49888972878338045</v>
      </c>
      <c r="H124" s="52">
        <v>51.383644673126526</v>
      </c>
      <c r="I124" s="52">
        <v>0.70205933645282048</v>
      </c>
      <c r="J124" s="52">
        <v>65.128303353336506</v>
      </c>
      <c r="K124" s="52">
        <v>-0.20360805979479091</v>
      </c>
      <c r="L124" s="52">
        <v>48.572872450215812</v>
      </c>
      <c r="M124" s="52">
        <v>3.1520602818968513E-4</v>
      </c>
      <c r="N124" s="52">
        <v>48.035684753784452</v>
      </c>
      <c r="O124" s="52">
        <v>2.1807167890036006</v>
      </c>
      <c r="P124" s="52">
        <v>87.680937055782536</v>
      </c>
      <c r="Q124" s="52">
        <v>0</v>
      </c>
      <c r="R124" s="52">
        <v>72.98966928156652</v>
      </c>
      <c r="S124" s="52">
        <v>-0.99394106897228163</v>
      </c>
      <c r="T124" s="52">
        <v>30.817091093970394</v>
      </c>
      <c r="U124" s="52">
        <v>0</v>
      </c>
      <c r="V124" s="53">
        <v>66.738550155099091</v>
      </c>
      <c r="W124" s="52">
        <v>-0.31833422502391961</v>
      </c>
      <c r="X124" s="53">
        <v>57.807005279320776</v>
      </c>
      <c r="Y124" s="52">
        <v>-6.8526107973199135E-2</v>
      </c>
    </row>
    <row r="125" spans="1:25" ht="14.45" customHeight="1">
      <c r="A125" s="51" t="s">
        <v>7</v>
      </c>
      <c r="B125" s="52">
        <v>46.855373673772959</v>
      </c>
      <c r="C125" s="52">
        <v>-0.73221649402013256</v>
      </c>
      <c r="D125" s="52">
        <v>31.335487335963023</v>
      </c>
      <c r="E125" s="52">
        <v>-6.902747886963212E-2</v>
      </c>
      <c r="F125" s="52">
        <v>87.409072467126748</v>
      </c>
      <c r="G125" s="52">
        <v>0.49107039773459427</v>
      </c>
      <c r="H125" s="52">
        <v>51.682419881313876</v>
      </c>
      <c r="I125" s="52">
        <v>0.58145974285783719</v>
      </c>
      <c r="J125" s="52">
        <v>64.810773907351503</v>
      </c>
      <c r="K125" s="52">
        <v>-0.48754447703378556</v>
      </c>
      <c r="L125" s="52">
        <v>48.718752491707157</v>
      </c>
      <c r="M125" s="52">
        <v>0.30033233393982339</v>
      </c>
      <c r="N125" s="52">
        <v>47.789298557849072</v>
      </c>
      <c r="O125" s="52">
        <v>-0.51292325111690351</v>
      </c>
      <c r="P125" s="52">
        <v>87.680937055782536</v>
      </c>
      <c r="Q125" s="52">
        <v>0</v>
      </c>
      <c r="R125" s="52">
        <v>72.089789805233906</v>
      </c>
      <c r="S125" s="52">
        <v>-1.2328860853735524</v>
      </c>
      <c r="T125" s="52">
        <v>30.817091093970394</v>
      </c>
      <c r="U125" s="52">
        <v>0</v>
      </c>
      <c r="V125" s="53">
        <v>66.636192407680909</v>
      </c>
      <c r="W125" s="52">
        <v>-0.15337124822205617</v>
      </c>
      <c r="X125" s="53">
        <v>57.920500344245205</v>
      </c>
      <c r="Y125" s="52">
        <v>0.19633444835280844</v>
      </c>
    </row>
    <row r="126" spans="1:25" ht="14.45" customHeight="1">
      <c r="A126" s="51" t="s">
        <v>8</v>
      </c>
      <c r="B126" s="52">
        <v>46.636950329337999</v>
      </c>
      <c r="C126" s="52">
        <v>-0.46616498238967186</v>
      </c>
      <c r="D126" s="52">
        <v>31.543663256845075</v>
      </c>
      <c r="E126" s="52">
        <v>0.66434556657790633</v>
      </c>
      <c r="F126" s="52">
        <v>87.741407307553899</v>
      </c>
      <c r="G126" s="52">
        <v>0.38020634591693359</v>
      </c>
      <c r="H126" s="52">
        <v>51.874429478489979</v>
      </c>
      <c r="I126" s="52">
        <v>0.37151820216050346</v>
      </c>
      <c r="J126" s="52">
        <v>64.642771708437195</v>
      </c>
      <c r="K126" s="52">
        <v>-0.25921955376504435</v>
      </c>
      <c r="L126" s="52">
        <v>48.69958425635501</v>
      </c>
      <c r="M126" s="52">
        <v>-3.9344676067820661E-2</v>
      </c>
      <c r="N126" s="52">
        <v>48.123882509063328</v>
      </c>
      <c r="O126" s="52">
        <v>0.70012316838934385</v>
      </c>
      <c r="P126" s="52">
        <v>87.680937055782536</v>
      </c>
      <c r="Q126" s="52">
        <v>0</v>
      </c>
      <c r="R126" s="52">
        <v>71.045470417860344</v>
      </c>
      <c r="S126" s="52">
        <v>-1.4486370264013892</v>
      </c>
      <c r="T126" s="52">
        <v>30.817091093970394</v>
      </c>
      <c r="U126" s="52">
        <v>0</v>
      </c>
      <c r="V126" s="53">
        <v>66.70722727422168</v>
      </c>
      <c r="W126" s="52">
        <v>0.10660102862147802</v>
      </c>
      <c r="X126" s="53">
        <v>58.21012973606917</v>
      </c>
      <c r="Y126" s="52">
        <v>0.50004642588130643</v>
      </c>
    </row>
    <row r="127" spans="1:25" ht="14.45" customHeight="1">
      <c r="A127" s="51" t="s">
        <v>9</v>
      </c>
      <c r="B127" s="52">
        <v>46.98858592759175</v>
      </c>
      <c r="C127" s="52">
        <v>0.75398497494065797</v>
      </c>
      <c r="D127" s="52">
        <v>31.59178220289812</v>
      </c>
      <c r="E127" s="52">
        <v>0.1525471079919738</v>
      </c>
      <c r="F127" s="52">
        <v>88.045717535372248</v>
      </c>
      <c r="G127" s="52">
        <v>0.34682624447961441</v>
      </c>
      <c r="H127" s="52">
        <v>52.25006107835263</v>
      </c>
      <c r="I127" s="52">
        <v>0.72411707201214259</v>
      </c>
      <c r="J127" s="52">
        <v>64.935856496319573</v>
      </c>
      <c r="K127" s="52">
        <v>0.45339143130231907</v>
      </c>
      <c r="L127" s="52">
        <v>48.800983516283004</v>
      </c>
      <c r="M127" s="52">
        <v>0.20821381019235918</v>
      </c>
      <c r="N127" s="52">
        <v>48.706374162054388</v>
      </c>
      <c r="O127" s="52">
        <v>1.2104003721673084</v>
      </c>
      <c r="P127" s="52">
        <v>87.680937055782536</v>
      </c>
      <c r="Q127" s="52">
        <v>0</v>
      </c>
      <c r="R127" s="52">
        <v>70.620900304012977</v>
      </c>
      <c r="S127" s="52">
        <v>-0.59760335366946249</v>
      </c>
      <c r="T127" s="52">
        <v>30.817091093970394</v>
      </c>
      <c r="U127" s="52">
        <v>0</v>
      </c>
      <c r="V127" s="53">
        <v>66.745981366526806</v>
      </c>
      <c r="W127" s="52">
        <v>5.8095792448109584E-2</v>
      </c>
      <c r="X127" s="53">
        <v>58.336646146314216</v>
      </c>
      <c r="Y127" s="52">
        <v>0.21734431931124121</v>
      </c>
    </row>
    <row r="128" spans="1:25" ht="14.45" customHeight="1">
      <c r="A128" s="51" t="s">
        <v>10</v>
      </c>
      <c r="B128" s="52">
        <v>47.163143244887991</v>
      </c>
      <c r="C128" s="52">
        <v>0.37148876445276535</v>
      </c>
      <c r="D128" s="52">
        <v>31.536695231547778</v>
      </c>
      <c r="E128" s="52">
        <v>-0.17437120513349447</v>
      </c>
      <c r="F128" s="52">
        <v>88.686478336419469</v>
      </c>
      <c r="G128" s="52">
        <v>0.72775919032042058</v>
      </c>
      <c r="H128" s="52">
        <v>52.664022858900999</v>
      </c>
      <c r="I128" s="52">
        <v>0.79227042419645066</v>
      </c>
      <c r="J128" s="52">
        <v>64.839266448161439</v>
      </c>
      <c r="K128" s="52">
        <v>-0.14874686093284684</v>
      </c>
      <c r="L128" s="52">
        <v>49.199944700267174</v>
      </c>
      <c r="M128" s="52">
        <v>0.81752693334766757</v>
      </c>
      <c r="N128" s="52">
        <v>50.827517638963457</v>
      </c>
      <c r="O128" s="52">
        <v>4.3549607487752384</v>
      </c>
      <c r="P128" s="52">
        <v>87.680937055782536</v>
      </c>
      <c r="Q128" s="52">
        <v>0</v>
      </c>
      <c r="R128" s="52">
        <v>69.947482190041129</v>
      </c>
      <c r="S128" s="52">
        <v>-0.9535677272207943</v>
      </c>
      <c r="T128" s="52">
        <v>31.482332745623467</v>
      </c>
      <c r="U128" s="52">
        <v>2.1586776299701738</v>
      </c>
      <c r="V128" s="53">
        <v>67.162500303179229</v>
      </c>
      <c r="W128" s="52">
        <v>0.62403597658586829</v>
      </c>
      <c r="X128" s="53">
        <v>58.671121915450385</v>
      </c>
      <c r="Y128" s="52">
        <v>0.57335447138540108</v>
      </c>
    </row>
    <row r="129" spans="1:25" ht="14.45" customHeight="1">
      <c r="A129" s="51" t="s">
        <v>11</v>
      </c>
      <c r="B129" s="52">
        <v>47.808629588246774</v>
      </c>
      <c r="C129" s="52">
        <v>1.36862452107398</v>
      </c>
      <c r="D129" s="52">
        <v>31.7258974776203</v>
      </c>
      <c r="E129" s="52">
        <v>0.59994316044647</v>
      </c>
      <c r="F129" s="52">
        <v>89.437493739606893</v>
      </c>
      <c r="G129" s="52">
        <v>0.84682063971301957</v>
      </c>
      <c r="H129" s="52">
        <v>53.979384112194701</v>
      </c>
      <c r="I129" s="52">
        <v>2.4976467460867013</v>
      </c>
      <c r="J129" s="52">
        <v>65.420775434407091</v>
      </c>
      <c r="K129" s="52">
        <v>0.89684695416867299</v>
      </c>
      <c r="L129" s="52">
        <v>49.591319171236499</v>
      </c>
      <c r="M129" s="52">
        <v>0.79547746111023887</v>
      </c>
      <c r="N129" s="52">
        <v>55.514598550451687</v>
      </c>
      <c r="O129" s="52">
        <v>9.2215420488983355</v>
      </c>
      <c r="P129" s="52">
        <v>87.680937055782536</v>
      </c>
      <c r="Q129" s="52">
        <v>0</v>
      </c>
      <c r="R129" s="52">
        <v>70.302290286573793</v>
      </c>
      <c r="S129" s="52">
        <v>0.50724927534728792</v>
      </c>
      <c r="T129" s="52">
        <v>33.999305068259261</v>
      </c>
      <c r="U129" s="52">
        <v>7.994872371665962</v>
      </c>
      <c r="V129" s="53">
        <v>67.193387145433562</v>
      </c>
      <c r="W129" s="52">
        <v>4.5988225743398559E-2</v>
      </c>
      <c r="X129" s="53">
        <v>59.358126654519197</v>
      </c>
      <c r="Y129" s="52">
        <v>1.1709418818662387</v>
      </c>
    </row>
    <row r="130" spans="1:25" ht="14.45" customHeight="1">
      <c r="A130" s="51" t="s">
        <v>12</v>
      </c>
      <c r="B130" s="52">
        <v>48.006354162770023</v>
      </c>
      <c r="C130" s="52">
        <v>0.41357507258867887</v>
      </c>
      <c r="D130" s="52">
        <v>31.765166171295743</v>
      </c>
      <c r="E130" s="52">
        <v>0.1237748867566113</v>
      </c>
      <c r="F130" s="52">
        <v>89.956711071400591</v>
      </c>
      <c r="G130" s="52">
        <v>0.58053654019574186</v>
      </c>
      <c r="H130" s="52">
        <v>54.96474711784365</v>
      </c>
      <c r="I130" s="52">
        <v>1.8254432166193268</v>
      </c>
      <c r="J130" s="52">
        <v>65.646321851758572</v>
      </c>
      <c r="K130" s="52">
        <v>0.34476267799306015</v>
      </c>
      <c r="L130" s="52">
        <v>49.995074932218891</v>
      </c>
      <c r="M130" s="52">
        <v>0.81416620434766607</v>
      </c>
      <c r="N130" s="52">
        <v>57.049330442653492</v>
      </c>
      <c r="O130" s="52">
        <v>2.7645555084164775</v>
      </c>
      <c r="P130" s="52">
        <v>87.680937055782536</v>
      </c>
      <c r="Q130" s="52">
        <v>0</v>
      </c>
      <c r="R130" s="52">
        <v>70.577305272578457</v>
      </c>
      <c r="S130" s="52">
        <v>0.39118922709862058</v>
      </c>
      <c r="T130" s="52">
        <v>33.999305068259261</v>
      </c>
      <c r="U130" s="52">
        <v>0</v>
      </c>
      <c r="V130" s="53">
        <v>67.590996385840612</v>
      </c>
      <c r="W130" s="52">
        <v>0.59173864765362794</v>
      </c>
      <c r="X130" s="53">
        <v>59.658921946881804</v>
      </c>
      <c r="Y130" s="52">
        <v>0.50674660626222057</v>
      </c>
    </row>
    <row r="131" spans="1:25" ht="14.45" customHeight="1">
      <c r="A131" s="51" t="s">
        <v>13</v>
      </c>
      <c r="B131" s="52">
        <v>48.06416630361867</v>
      </c>
      <c r="C131" s="52">
        <v>0.12042601829880262</v>
      </c>
      <c r="D131" s="52">
        <v>31.796716701641877</v>
      </c>
      <c r="E131" s="52">
        <v>9.932430441570439E-2</v>
      </c>
      <c r="F131" s="52">
        <v>90.468515380456552</v>
      </c>
      <c r="G131" s="52">
        <v>0.56894511033172002</v>
      </c>
      <c r="H131" s="52">
        <v>55.223717747208987</v>
      </c>
      <c r="I131" s="52">
        <v>0.47115768368788391</v>
      </c>
      <c r="J131" s="52">
        <v>66.271202444778837</v>
      </c>
      <c r="K131" s="52">
        <v>0.95188972572044506</v>
      </c>
      <c r="L131" s="52">
        <v>50.482177766372516</v>
      </c>
      <c r="M131" s="52">
        <v>0.9743016383394032</v>
      </c>
      <c r="N131" s="52">
        <v>54.585496816741866</v>
      </c>
      <c r="O131" s="52">
        <v>-4.3187774629332321</v>
      </c>
      <c r="P131" s="52">
        <v>87.680937055782536</v>
      </c>
      <c r="Q131" s="52">
        <v>0</v>
      </c>
      <c r="R131" s="52">
        <v>70.89973479428231</v>
      </c>
      <c r="S131" s="52">
        <v>0.45684589466625791</v>
      </c>
      <c r="T131" s="52">
        <v>33.999305068259261</v>
      </c>
      <c r="U131" s="52">
        <v>0</v>
      </c>
      <c r="V131" s="53">
        <v>67.584620480654976</v>
      </c>
      <c r="W131" s="52">
        <v>-9.4330687910537669E-3</v>
      </c>
      <c r="X131" s="53">
        <v>59.829276701751546</v>
      </c>
      <c r="Y131" s="52">
        <v>0.2855478263945388</v>
      </c>
    </row>
    <row r="132" spans="1:25" ht="14.45" customHeight="1">
      <c r="A132" s="57" t="s">
        <v>14</v>
      </c>
      <c r="B132" s="58">
        <v>48.670841141484345</v>
      </c>
      <c r="C132" s="58">
        <v>1.2622185809556097</v>
      </c>
      <c r="D132" s="58">
        <v>31.777023857801666</v>
      </c>
      <c r="E132" s="58">
        <v>-6.1933576428641057E-2</v>
      </c>
      <c r="F132" s="58">
        <v>91.466615862586977</v>
      </c>
      <c r="G132" s="58">
        <v>1.1032572800968588</v>
      </c>
      <c r="H132" s="58">
        <v>55.568366131922126</v>
      </c>
      <c r="I132" s="58">
        <v>0.62409486136154602</v>
      </c>
      <c r="J132" s="58">
        <v>66.655289260770957</v>
      </c>
      <c r="K132" s="58">
        <v>0.57956820130458109</v>
      </c>
      <c r="L132" s="58">
        <v>50.601975711899158</v>
      </c>
      <c r="M132" s="58">
        <v>0.2373074039734524</v>
      </c>
      <c r="N132" s="58">
        <v>55.286165840110698</v>
      </c>
      <c r="O132" s="58">
        <v>1.2836175618611056</v>
      </c>
      <c r="P132" s="58">
        <v>87.680937055782536</v>
      </c>
      <c r="Q132" s="58">
        <v>0</v>
      </c>
      <c r="R132" s="58">
        <v>71.575516515739437</v>
      </c>
      <c r="S132" s="58">
        <v>0.95315126836219566</v>
      </c>
      <c r="T132" s="58">
        <v>33.999305068259261</v>
      </c>
      <c r="U132" s="58">
        <v>0</v>
      </c>
      <c r="V132" s="59">
        <v>68.498842715259528</v>
      </c>
      <c r="W132" s="58">
        <v>1.3527075066822825</v>
      </c>
      <c r="X132" s="59">
        <v>60.151520381929579</v>
      </c>
      <c r="Y132" s="58">
        <v>0.53860534163636675</v>
      </c>
    </row>
    <row r="133" spans="1:25" ht="5.0999999999999996" customHeight="1">
      <c r="A133" s="5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3"/>
      <c r="W133" s="52"/>
      <c r="X133" s="53"/>
      <c r="Y133" s="52"/>
    </row>
    <row r="134" spans="1:25" ht="14.1" customHeight="1">
      <c r="A134" s="51">
        <v>2006</v>
      </c>
      <c r="B134" s="52"/>
      <c r="C134" s="52"/>
      <c r="D134" s="52"/>
      <c r="E134" s="52"/>
      <c r="F134" s="52"/>
      <c r="G134" s="52"/>
      <c r="H134" s="52" t="s">
        <v>131</v>
      </c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3"/>
      <c r="W134" s="52"/>
      <c r="X134" s="53"/>
      <c r="Y134" s="52"/>
    </row>
    <row r="135" spans="1:25" ht="14.45" customHeight="1">
      <c r="A135" s="51" t="s">
        <v>3</v>
      </c>
      <c r="B135" s="52">
        <v>48.9405128854117</v>
      </c>
      <c r="C135" s="52">
        <v>0.55407249515870838</v>
      </c>
      <c r="D135" s="52">
        <v>35.014047250912824</v>
      </c>
      <c r="E135" s="52">
        <v>10.186678927505755</v>
      </c>
      <c r="F135" s="52">
        <v>92.325957353116053</v>
      </c>
      <c r="G135" s="52">
        <v>0.93951381323660321</v>
      </c>
      <c r="H135" s="52">
        <v>57.700479304422828</v>
      </c>
      <c r="I135" s="52">
        <v>3.8369189539223747</v>
      </c>
      <c r="J135" s="52">
        <v>66.875140518085104</v>
      </c>
      <c r="K135" s="52">
        <v>0.32983317565997705</v>
      </c>
      <c r="L135" s="52">
        <v>50.661083982363394</v>
      </c>
      <c r="M135" s="52">
        <v>0.11681020282838794</v>
      </c>
      <c r="N135" s="52">
        <v>56.804039918962928</v>
      </c>
      <c r="O135" s="52">
        <v>2.7454862455862372</v>
      </c>
      <c r="P135" s="52">
        <v>87.680937055782536</v>
      </c>
      <c r="Q135" s="52">
        <v>0</v>
      </c>
      <c r="R135" s="52">
        <v>72.076693853519402</v>
      </c>
      <c r="S135" s="52">
        <v>0.70020778357884339</v>
      </c>
      <c r="T135" s="52">
        <v>33.999305068259261</v>
      </c>
      <c r="U135" s="52">
        <v>0</v>
      </c>
      <c r="V135" s="53">
        <v>68.530580760570643</v>
      </c>
      <c r="W135" s="52">
        <v>4.6333695655342844E-2</v>
      </c>
      <c r="X135" s="53">
        <v>60.578292067026062</v>
      </c>
      <c r="Y135" s="52">
        <v>0.70949442738390545</v>
      </c>
    </row>
    <row r="136" spans="1:25" ht="14.45" customHeight="1">
      <c r="A136" s="51" t="s">
        <v>4</v>
      </c>
      <c r="B136" s="52">
        <v>48.641450189623086</v>
      </c>
      <c r="C136" s="52">
        <v>-0.61107388982382105</v>
      </c>
      <c r="D136" s="52">
        <v>35.214399484461076</v>
      </c>
      <c r="E136" s="52">
        <v>0.57220529838357681</v>
      </c>
      <c r="F136" s="52">
        <v>93.275666224887331</v>
      </c>
      <c r="G136" s="52">
        <v>1.0286477378609327</v>
      </c>
      <c r="H136" s="52">
        <v>57.862854958859849</v>
      </c>
      <c r="I136" s="52">
        <v>0.2814112749052633</v>
      </c>
      <c r="J136" s="52">
        <v>67.668073531889476</v>
      </c>
      <c r="K136" s="52">
        <v>1.1856917348681106</v>
      </c>
      <c r="L136" s="52">
        <v>50.994184197522799</v>
      </c>
      <c r="M136" s="52">
        <v>0.65750708231069321</v>
      </c>
      <c r="N136" s="52">
        <v>56.408660259256038</v>
      </c>
      <c r="O136" s="52">
        <v>-0.69604144400811085</v>
      </c>
      <c r="P136" s="52">
        <v>87.680937055782536</v>
      </c>
      <c r="Q136" s="52">
        <v>0</v>
      </c>
      <c r="R136" s="52">
        <v>72.173537686719968</v>
      </c>
      <c r="S136" s="52">
        <v>0.13436220229161577</v>
      </c>
      <c r="T136" s="52">
        <v>33.999305068259261</v>
      </c>
      <c r="U136" s="52">
        <v>0</v>
      </c>
      <c r="V136" s="53">
        <v>68.541317051987278</v>
      </c>
      <c r="W136" s="52">
        <v>1.5666424094873399E-2</v>
      </c>
      <c r="X136" s="53">
        <v>60.880904033682647</v>
      </c>
      <c r="Y136" s="52">
        <v>0.49953862403675497</v>
      </c>
    </row>
    <row r="137" spans="1:25" ht="14.45" customHeight="1">
      <c r="A137" s="51" t="s">
        <v>5</v>
      </c>
      <c r="B137" s="52">
        <v>48.55103134643101</v>
      </c>
      <c r="C137" s="52">
        <v>-0.1858884610544842</v>
      </c>
      <c r="D137" s="52">
        <v>35.312377375641411</v>
      </c>
      <c r="E137" s="52">
        <v>0.27823246346587727</v>
      </c>
      <c r="F137" s="52">
        <v>93.792997375134192</v>
      </c>
      <c r="G137" s="52">
        <v>0.55462605756100292</v>
      </c>
      <c r="H137" s="52">
        <v>57.811868311004275</v>
      </c>
      <c r="I137" s="52">
        <v>-8.8116370842439284E-2</v>
      </c>
      <c r="J137" s="52">
        <v>67.737071684769745</v>
      </c>
      <c r="K137" s="52">
        <v>0.1019655936381092</v>
      </c>
      <c r="L137" s="52">
        <v>51.202274882830181</v>
      </c>
      <c r="M137" s="52">
        <v>0.40806748569868212</v>
      </c>
      <c r="N137" s="52">
        <v>56.560522961319521</v>
      </c>
      <c r="O137" s="52">
        <v>0.26921877131191874</v>
      </c>
      <c r="P137" s="52">
        <v>87.680937055782536</v>
      </c>
      <c r="Q137" s="52">
        <v>0</v>
      </c>
      <c r="R137" s="52">
        <v>72.67787599354655</v>
      </c>
      <c r="S137" s="52">
        <v>0.69878562557890156</v>
      </c>
      <c r="T137" s="52">
        <v>33.999305068259261</v>
      </c>
      <c r="U137" s="52">
        <v>0</v>
      </c>
      <c r="V137" s="53">
        <v>68.526227332402783</v>
      </c>
      <c r="W137" s="52">
        <v>-2.2015508650130577E-2</v>
      </c>
      <c r="X137" s="53">
        <v>61.049779971367947</v>
      </c>
      <c r="Y137" s="52">
        <v>0.27738736861047109</v>
      </c>
    </row>
    <row r="138" spans="1:25" ht="14.45" customHeight="1">
      <c r="A138" s="51" t="s">
        <v>6</v>
      </c>
      <c r="B138" s="52">
        <v>48.074105323548899</v>
      </c>
      <c r="C138" s="52">
        <v>-0.9823190355711553</v>
      </c>
      <c r="D138" s="52">
        <v>35.38717324883266</v>
      </c>
      <c r="E138" s="52">
        <v>0.21181205783908919</v>
      </c>
      <c r="F138" s="52">
        <v>94.193516972925877</v>
      </c>
      <c r="G138" s="52">
        <v>0.42702505410907587</v>
      </c>
      <c r="H138" s="52">
        <v>58.247072268944649</v>
      </c>
      <c r="I138" s="52">
        <v>0.75279344995244912</v>
      </c>
      <c r="J138" s="52">
        <v>68.228757182784051</v>
      </c>
      <c r="K138" s="52">
        <v>0.72587356640168021</v>
      </c>
      <c r="L138" s="52">
        <v>51.529867378026076</v>
      </c>
      <c r="M138" s="52">
        <v>0.63980066500082255</v>
      </c>
      <c r="N138" s="52">
        <v>58.121045144021608</v>
      </c>
      <c r="O138" s="52">
        <v>2.7590306825297395</v>
      </c>
      <c r="P138" s="52">
        <v>87.680937055782536</v>
      </c>
      <c r="Q138" s="52">
        <v>0</v>
      </c>
      <c r="R138" s="52">
        <v>73.090567555920344</v>
      </c>
      <c r="S138" s="52">
        <v>0.56783657575578683</v>
      </c>
      <c r="T138" s="52">
        <v>33.999305068259261</v>
      </c>
      <c r="U138" s="52">
        <v>0</v>
      </c>
      <c r="V138" s="53">
        <v>68.528133841701646</v>
      </c>
      <c r="W138" s="52">
        <v>2.7821600182553752E-3</v>
      </c>
      <c r="X138" s="53">
        <v>61.20377358030953</v>
      </c>
      <c r="Y138" s="52">
        <v>0.25224269278907308</v>
      </c>
    </row>
    <row r="139" spans="1:25" ht="14.45" customHeight="1">
      <c r="A139" s="51" t="s">
        <v>7</v>
      </c>
      <c r="B139" s="52">
        <v>48.164807539009303</v>
      </c>
      <c r="C139" s="52">
        <v>0.18867166606628683</v>
      </c>
      <c r="D139" s="52">
        <v>35.393808644115765</v>
      </c>
      <c r="E139" s="52">
        <v>1.8750848609605519E-2</v>
      </c>
      <c r="F139" s="52">
        <v>94.720782326232467</v>
      </c>
      <c r="G139" s="52">
        <v>0.55976819875844797</v>
      </c>
      <c r="H139" s="52">
        <v>58.643722905321525</v>
      </c>
      <c r="I139" s="52">
        <v>0.68097952553807239</v>
      </c>
      <c r="J139" s="52">
        <v>68.672939488200072</v>
      </c>
      <c r="K139" s="52">
        <v>0.65101919448138368</v>
      </c>
      <c r="L139" s="52">
        <v>51.681700350202199</v>
      </c>
      <c r="M139" s="52">
        <v>0.29465042295231392</v>
      </c>
      <c r="N139" s="52">
        <v>58.9579779668763</v>
      </c>
      <c r="O139" s="52">
        <v>1.4399824035868702</v>
      </c>
      <c r="P139" s="52">
        <v>87.680937055782536</v>
      </c>
      <c r="Q139" s="52">
        <v>0</v>
      </c>
      <c r="R139" s="52">
        <v>73.315548103952977</v>
      </c>
      <c r="S139" s="52">
        <v>0.30781064582718898</v>
      </c>
      <c r="T139" s="52">
        <v>34.090001854978766</v>
      </c>
      <c r="U139" s="52">
        <v>0.26676070742450708</v>
      </c>
      <c r="V139" s="53">
        <v>68.504789539885195</v>
      </c>
      <c r="W139" s="52">
        <v>-3.40652816701148E-2</v>
      </c>
      <c r="X139" s="53">
        <v>61.322796209091877</v>
      </c>
      <c r="Y139" s="52">
        <v>0.19446942863117211</v>
      </c>
    </row>
    <row r="140" spans="1:25" ht="14.45" customHeight="1">
      <c r="A140" s="51" t="s">
        <v>8</v>
      </c>
      <c r="B140" s="52">
        <v>48.767303160680449</v>
      </c>
      <c r="C140" s="52">
        <v>1.2509042441063878</v>
      </c>
      <c r="D140" s="52">
        <v>35.508194370996151</v>
      </c>
      <c r="E140" s="52">
        <v>0.32318004550042634</v>
      </c>
      <c r="F140" s="52">
        <v>95.019302305960593</v>
      </c>
      <c r="G140" s="52">
        <v>0.31515784857010232</v>
      </c>
      <c r="H140" s="52">
        <v>59.00529245902726</v>
      </c>
      <c r="I140" s="52">
        <v>0.61655286498347728</v>
      </c>
      <c r="J140" s="52">
        <v>68.736510331015381</v>
      </c>
      <c r="K140" s="52">
        <v>9.2570440830241907E-2</v>
      </c>
      <c r="L140" s="52">
        <v>51.726392657221368</v>
      </c>
      <c r="M140" s="52">
        <v>8.6476077056918399E-2</v>
      </c>
      <c r="N140" s="52">
        <v>59.705504788376231</v>
      </c>
      <c r="O140" s="52">
        <v>1.2678976574127088</v>
      </c>
      <c r="P140" s="52">
        <v>87.680937055782536</v>
      </c>
      <c r="Q140" s="52">
        <v>0</v>
      </c>
      <c r="R140" s="52">
        <v>73.518416107258645</v>
      </c>
      <c r="S140" s="52">
        <v>0.27670529451409021</v>
      </c>
      <c r="T140" s="52">
        <v>34.090001854978766</v>
      </c>
      <c r="U140" s="52">
        <v>0</v>
      </c>
      <c r="V140" s="53">
        <v>68.53465818556748</v>
      </c>
      <c r="W140" s="52">
        <v>4.3600813728361665E-2</v>
      </c>
      <c r="X140" s="53">
        <v>61.449967180222359</v>
      </c>
      <c r="Y140" s="52">
        <v>0.20737960267966926</v>
      </c>
    </row>
    <row r="141" spans="1:25" ht="14.45" customHeight="1">
      <c r="A141" s="51" t="s">
        <v>9</v>
      </c>
      <c r="B141" s="52">
        <v>49.088785850529199</v>
      </c>
      <c r="C141" s="52">
        <v>0.65921769097938565</v>
      </c>
      <c r="D141" s="52">
        <v>35.78646919986906</v>
      </c>
      <c r="E141" s="52">
        <v>0.78369185987168244</v>
      </c>
      <c r="F141" s="52">
        <v>95.708450013672334</v>
      </c>
      <c r="G141" s="52">
        <v>0.72527127750601217</v>
      </c>
      <c r="H141" s="52">
        <v>59.50811853007513</v>
      </c>
      <c r="I141" s="52">
        <v>0.8521711359994244</v>
      </c>
      <c r="J141" s="52">
        <v>69.122917397393081</v>
      </c>
      <c r="K141" s="52">
        <v>0.56215694471086763</v>
      </c>
      <c r="L141" s="52">
        <v>51.792849926378672</v>
      </c>
      <c r="M141" s="52">
        <v>0.12847845315195894</v>
      </c>
      <c r="N141" s="52">
        <v>60.971080666783315</v>
      </c>
      <c r="O141" s="52">
        <v>2.1196971416502786</v>
      </c>
      <c r="P141" s="52">
        <v>87.680937055782536</v>
      </c>
      <c r="Q141" s="52">
        <v>0</v>
      </c>
      <c r="R141" s="52">
        <v>73.65621727137173</v>
      </c>
      <c r="S141" s="52">
        <v>0.1874376127908306</v>
      </c>
      <c r="T141" s="52">
        <v>34.090001854978766</v>
      </c>
      <c r="U141" s="52">
        <v>0</v>
      </c>
      <c r="V141" s="53">
        <v>68.545640328548217</v>
      </c>
      <c r="W141" s="52">
        <v>1.6024217923438222E-2</v>
      </c>
      <c r="X141" s="53">
        <v>61.623037637340474</v>
      </c>
      <c r="Y141" s="52">
        <v>0.28164450700278731</v>
      </c>
    </row>
    <row r="142" spans="1:25" ht="14.45" customHeight="1">
      <c r="A142" s="51" t="s">
        <v>10</v>
      </c>
      <c r="B142" s="52">
        <v>49.312838857361804</v>
      </c>
      <c r="C142" s="52">
        <v>0.45642401406060795</v>
      </c>
      <c r="D142" s="52">
        <v>35.971473425762468</v>
      </c>
      <c r="E142" s="52">
        <v>0.51696697112015855</v>
      </c>
      <c r="F142" s="52">
        <v>96.176528777442655</v>
      </c>
      <c r="G142" s="52">
        <v>0.48906733282532144</v>
      </c>
      <c r="H142" s="52">
        <v>59.745223438847979</v>
      </c>
      <c r="I142" s="52">
        <v>0.39844127932395779</v>
      </c>
      <c r="J142" s="52">
        <v>69.27447695612905</v>
      </c>
      <c r="K142" s="52">
        <v>0.2192609404268131</v>
      </c>
      <c r="L142" s="52">
        <v>51.880842501464997</v>
      </c>
      <c r="M142" s="52">
        <v>0.16989328683669758</v>
      </c>
      <c r="N142" s="52">
        <v>60.375102046755835</v>
      </c>
      <c r="O142" s="52">
        <v>-0.97747754100767636</v>
      </c>
      <c r="P142" s="52">
        <v>87.680937055782536</v>
      </c>
      <c r="Q142" s="52">
        <v>0</v>
      </c>
      <c r="R142" s="52">
        <v>73.940786357512778</v>
      </c>
      <c r="S142" s="52">
        <v>0.38634767937186787</v>
      </c>
      <c r="T142" s="52">
        <v>35.66811488279567</v>
      </c>
      <c r="U142" s="52">
        <v>4.6292547431657782</v>
      </c>
      <c r="V142" s="53">
        <v>68.55597769101179</v>
      </c>
      <c r="W142" s="52">
        <v>1.5080991896820883E-2</v>
      </c>
      <c r="X142" s="53">
        <v>61.848994810616681</v>
      </c>
      <c r="Y142" s="52">
        <v>0.3666764605243733</v>
      </c>
    </row>
    <row r="143" spans="1:25" ht="14.45" customHeight="1">
      <c r="A143" s="51" t="s">
        <v>11</v>
      </c>
      <c r="B143" s="52">
        <v>49.585467734343659</v>
      </c>
      <c r="C143" s="52">
        <v>0.55285577407222508</v>
      </c>
      <c r="D143" s="52">
        <v>35.980800366155066</v>
      </c>
      <c r="E143" s="52">
        <v>2.5928713795519975E-2</v>
      </c>
      <c r="F143" s="52">
        <v>96.467024974310789</v>
      </c>
      <c r="G143" s="52">
        <v>0.30204479259212658</v>
      </c>
      <c r="H143" s="52">
        <v>59.527613529030894</v>
      </c>
      <c r="I143" s="52">
        <v>-0.36422980330773624</v>
      </c>
      <c r="J143" s="52">
        <v>69.631401102152694</v>
      </c>
      <c r="K143" s="52">
        <v>0.51523181654578032</v>
      </c>
      <c r="L143" s="52">
        <v>52.165207867394543</v>
      </c>
      <c r="M143" s="52">
        <v>0.5481124673746729</v>
      </c>
      <c r="N143" s="52">
        <v>56.324006640669154</v>
      </c>
      <c r="O143" s="52">
        <v>-6.7098775302266489</v>
      </c>
      <c r="P143" s="52">
        <v>87.681336789389675</v>
      </c>
      <c r="Q143" s="52">
        <v>4.5589568333781472E-4</v>
      </c>
      <c r="R143" s="52">
        <v>74.386097838723714</v>
      </c>
      <c r="S143" s="52">
        <v>0.60225418628603311</v>
      </c>
      <c r="T143" s="52">
        <v>38.544700553555366</v>
      </c>
      <c r="U143" s="52">
        <v>8.0648660020639298</v>
      </c>
      <c r="V143" s="53">
        <v>68.620850626251837</v>
      </c>
      <c r="W143" s="52">
        <v>9.4627685907178183E-2</v>
      </c>
      <c r="X143" s="53">
        <v>62.022899706307449</v>
      </c>
      <c r="Y143" s="52">
        <v>0.2811765918318887</v>
      </c>
    </row>
    <row r="144" spans="1:25" ht="14.45" customHeight="1">
      <c r="A144" s="51" t="s">
        <v>12</v>
      </c>
      <c r="B144" s="52">
        <v>49.768000551167887</v>
      </c>
      <c r="C144" s="52">
        <v>0.36811756582020294</v>
      </c>
      <c r="D144" s="52">
        <v>35.9485745929384</v>
      </c>
      <c r="E144" s="52">
        <v>-8.9563803163694722E-2</v>
      </c>
      <c r="F144" s="52">
        <v>96.889250794195178</v>
      </c>
      <c r="G144" s="52">
        <v>0.43768927257457069</v>
      </c>
      <c r="H144" s="52">
        <v>59.378024560772275</v>
      </c>
      <c r="I144" s="52">
        <v>-0.2512934071944084</v>
      </c>
      <c r="J144" s="52">
        <v>70.054191111159639</v>
      </c>
      <c r="K144" s="52">
        <v>0.60718296962987139</v>
      </c>
      <c r="L144" s="52">
        <v>52.368528025931028</v>
      </c>
      <c r="M144" s="52">
        <v>0.38976200200970812</v>
      </c>
      <c r="N144" s="52">
        <v>56.090686958329194</v>
      </c>
      <c r="O144" s="52">
        <v>-0.41424553446360868</v>
      </c>
      <c r="P144" s="52">
        <v>87.681336789389675</v>
      </c>
      <c r="Q144" s="52">
        <v>0</v>
      </c>
      <c r="R144" s="52">
        <v>74.729123715595335</v>
      </c>
      <c r="S144" s="52">
        <v>0.46114245381621011</v>
      </c>
      <c r="T144" s="52">
        <v>38.544700553555366</v>
      </c>
      <c r="U144" s="52">
        <v>0</v>
      </c>
      <c r="V144" s="53">
        <v>68.927201655818365</v>
      </c>
      <c r="W144" s="52">
        <v>0.44644015160215655</v>
      </c>
      <c r="X144" s="53">
        <v>62.183904629805134</v>
      </c>
      <c r="Y144" s="52">
        <v>0.25958948107889235</v>
      </c>
    </row>
    <row r="145" spans="1:25" ht="14.45" customHeight="1">
      <c r="A145" s="51" t="s">
        <v>13</v>
      </c>
      <c r="B145" s="52">
        <v>50.387626306052816</v>
      </c>
      <c r="C145" s="52">
        <v>1.2450284279511559</v>
      </c>
      <c r="D145" s="52">
        <v>36.081005034694392</v>
      </c>
      <c r="E145" s="52">
        <v>0.36838857522325519</v>
      </c>
      <c r="F145" s="52">
        <v>97.373357350317562</v>
      </c>
      <c r="G145" s="52">
        <v>0.49964939573192702</v>
      </c>
      <c r="H145" s="52">
        <v>59.524063902639476</v>
      </c>
      <c r="I145" s="52">
        <v>0.24594846822114658</v>
      </c>
      <c r="J145" s="52">
        <v>70.228981790737308</v>
      </c>
      <c r="K145" s="52">
        <v>0.2495078121740324</v>
      </c>
      <c r="L145" s="52">
        <v>52.724839495991638</v>
      </c>
      <c r="M145" s="52">
        <v>0.68039237208306069</v>
      </c>
      <c r="N145" s="52">
        <v>56.504508288577483</v>
      </c>
      <c r="O145" s="52">
        <v>0.73777190597741349</v>
      </c>
      <c r="P145" s="52">
        <v>87.681336789389675</v>
      </c>
      <c r="Q145" s="52">
        <v>0</v>
      </c>
      <c r="R145" s="52">
        <v>74.845948972030072</v>
      </c>
      <c r="S145" s="52">
        <v>0.15633162899026942</v>
      </c>
      <c r="T145" s="52">
        <v>38.544700553555366</v>
      </c>
      <c r="U145" s="52">
        <v>0</v>
      </c>
      <c r="V145" s="53">
        <v>69.062240030998964</v>
      </c>
      <c r="W145" s="52">
        <v>0.19591448939839662</v>
      </c>
      <c r="X145" s="53">
        <v>62.361809324009371</v>
      </c>
      <c r="Y145" s="52">
        <v>0.28609444077747348</v>
      </c>
    </row>
    <row r="146" spans="1:25" ht="14.45" customHeight="1">
      <c r="A146" s="51" t="s">
        <v>14</v>
      </c>
      <c r="B146" s="52">
        <v>51.097513596888426</v>
      </c>
      <c r="C146" s="52">
        <v>1.4088524165114968</v>
      </c>
      <c r="D146" s="52">
        <v>36.247151027050471</v>
      </c>
      <c r="E146" s="52">
        <v>0.4604804999093437</v>
      </c>
      <c r="F146" s="52">
        <v>97.799365944415086</v>
      </c>
      <c r="G146" s="52">
        <v>0.43750015988961444</v>
      </c>
      <c r="H146" s="52">
        <v>59.788892657834104</v>
      </c>
      <c r="I146" s="52">
        <v>0.44491040737373311</v>
      </c>
      <c r="J146" s="52">
        <v>70.676460982774501</v>
      </c>
      <c r="K146" s="52">
        <v>0.63717169269312812</v>
      </c>
      <c r="L146" s="52">
        <v>53.023846641897386</v>
      </c>
      <c r="M146" s="52">
        <v>0.56710868873954823</v>
      </c>
      <c r="N146" s="52">
        <v>56.952716510357298</v>
      </c>
      <c r="O146" s="52">
        <v>0.79322559447954077</v>
      </c>
      <c r="P146" s="52">
        <v>87.681336789389675</v>
      </c>
      <c r="Q146" s="52">
        <v>0</v>
      </c>
      <c r="R146" s="52">
        <v>75.19065089581423</v>
      </c>
      <c r="S146" s="52">
        <v>0.46054853805510554</v>
      </c>
      <c r="T146" s="52">
        <v>38.544700553555366</v>
      </c>
      <c r="U146" s="52">
        <v>0</v>
      </c>
      <c r="V146" s="53">
        <v>69.1599232298895</v>
      </c>
      <c r="W146" s="52">
        <v>0.14144226837515816</v>
      </c>
      <c r="X146" s="53">
        <v>62.539231587356475</v>
      </c>
      <c r="Y146" s="52">
        <v>0.28450467565057647</v>
      </c>
    </row>
    <row r="147" spans="1:25" ht="5.0999999999999996" customHeight="1">
      <c r="A147" s="5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3"/>
      <c r="Y147" s="52"/>
    </row>
    <row r="148" spans="1:25" ht="14.1" customHeight="1">
      <c r="A148" s="51">
        <v>2007</v>
      </c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 spans="1:25" ht="14.45" customHeight="1">
      <c r="A149" s="51" t="s">
        <v>3</v>
      </c>
      <c r="B149" s="52">
        <v>50.792933182620139</v>
      </c>
      <c r="C149" s="52">
        <v>-0.59607678109573348</v>
      </c>
      <c r="D149" s="52">
        <v>44.511804588087294</v>
      </c>
      <c r="E149" s="52">
        <v>22.800836277778338</v>
      </c>
      <c r="F149" s="52">
        <v>98.527611984552138</v>
      </c>
      <c r="G149" s="52">
        <v>0.74463268049298481</v>
      </c>
      <c r="H149" s="52">
        <v>59.768953258683673</v>
      </c>
      <c r="I149" s="52">
        <v>-3.3349671258409153E-2</v>
      </c>
      <c r="J149" s="52">
        <v>71.052897075204854</v>
      </c>
      <c r="K149" s="52">
        <v>0.53261876329957492</v>
      </c>
      <c r="L149" s="52">
        <v>53.232739181775464</v>
      </c>
      <c r="M149" s="52">
        <v>0.39395961083106279</v>
      </c>
      <c r="N149" s="52">
        <v>57.737189114889816</v>
      </c>
      <c r="O149" s="52">
        <v>1.3774103372046431</v>
      </c>
      <c r="P149" s="52">
        <v>87.681336789389675</v>
      </c>
      <c r="Q149" s="52">
        <v>0</v>
      </c>
      <c r="R149" s="52">
        <v>75.311652792337156</v>
      </c>
      <c r="S149" s="52">
        <v>0.16092678422292561</v>
      </c>
      <c r="T149" s="52">
        <v>38.91013470490519</v>
      </c>
      <c r="U149" s="52">
        <v>0.94807884378833585</v>
      </c>
      <c r="V149" s="53">
        <v>69.139479024474355</v>
      </c>
      <c r="W149" s="52">
        <v>-2.9560769388348174E-2</v>
      </c>
      <c r="X149" s="53">
        <v>62.728250583362673</v>
      </c>
      <c r="Y149" s="52">
        <v>0.30224067550650435</v>
      </c>
    </row>
    <row r="150" spans="1:25" ht="14.45" customHeight="1">
      <c r="A150" s="51" t="s">
        <v>4</v>
      </c>
      <c r="B150" s="52">
        <v>50.473898157199812</v>
      </c>
      <c r="C150" s="52">
        <v>-0.62810908020073386</v>
      </c>
      <c r="D150" s="52">
        <v>46.055904131909379</v>
      </c>
      <c r="E150" s="52">
        <v>3.4689663969169393</v>
      </c>
      <c r="F150" s="52">
        <v>99.208846920358681</v>
      </c>
      <c r="G150" s="52">
        <v>0.69141525110072433</v>
      </c>
      <c r="H150" s="52">
        <v>60.112972482680512</v>
      </c>
      <c r="I150" s="52">
        <v>0.57558181169394818</v>
      </c>
      <c r="J150" s="52">
        <v>71.102247107866859</v>
      </c>
      <c r="K150" s="52">
        <v>6.9455341996493836E-2</v>
      </c>
      <c r="L150" s="52">
        <v>53.479913666945208</v>
      </c>
      <c r="M150" s="52">
        <v>0.46432794736657179</v>
      </c>
      <c r="N150" s="52">
        <v>58.41174045369722</v>
      </c>
      <c r="O150" s="52">
        <v>1.1683134374018911</v>
      </c>
      <c r="P150" s="52">
        <v>87.681336789389675</v>
      </c>
      <c r="Q150" s="52">
        <v>0</v>
      </c>
      <c r="R150" s="52">
        <v>75.728357801515429</v>
      </c>
      <c r="S150" s="52">
        <v>0.55330748128352703</v>
      </c>
      <c r="T150" s="52">
        <v>38.91013470490519</v>
      </c>
      <c r="U150" s="52">
        <v>0</v>
      </c>
      <c r="V150" s="53">
        <v>68.645246257880601</v>
      </c>
      <c r="W150" s="52">
        <v>-0.7148343805408186</v>
      </c>
      <c r="X150" s="53">
        <v>62.829405679405177</v>
      </c>
      <c r="Y150" s="52">
        <v>0.16125923344232351</v>
      </c>
    </row>
    <row r="151" spans="1:25" ht="14.45" customHeight="1">
      <c r="A151" s="51" t="s">
        <v>5</v>
      </c>
      <c r="B151" s="52">
        <v>50.374809907192855</v>
      </c>
      <c r="C151" s="52">
        <v>-0.19631582585191154</v>
      </c>
      <c r="D151" s="52">
        <v>46.95780297326808</v>
      </c>
      <c r="E151" s="52">
        <v>1.9582697557636974</v>
      </c>
      <c r="F151" s="52">
        <v>99.730220782678344</v>
      </c>
      <c r="G151" s="52">
        <v>0.52553162193105241</v>
      </c>
      <c r="H151" s="52">
        <v>60.28249313947466</v>
      </c>
      <c r="I151" s="52">
        <v>0.28200345082418643</v>
      </c>
      <c r="J151" s="52">
        <v>71.136601399950393</v>
      </c>
      <c r="K151" s="52">
        <v>4.8316745927046156E-2</v>
      </c>
      <c r="L151" s="52">
        <v>53.829047836062131</v>
      </c>
      <c r="M151" s="52">
        <v>0.65283233494206616</v>
      </c>
      <c r="N151" s="52">
        <v>60.028575449682904</v>
      </c>
      <c r="O151" s="52">
        <v>2.7679966106597176</v>
      </c>
      <c r="P151" s="52">
        <v>87.681336789389675</v>
      </c>
      <c r="Q151" s="52">
        <v>0</v>
      </c>
      <c r="R151" s="52">
        <v>75.835848367064457</v>
      </c>
      <c r="S151" s="52">
        <v>0.14194229040429551</v>
      </c>
      <c r="T151" s="52">
        <v>38.91013470490519</v>
      </c>
      <c r="U151" s="52">
        <v>0</v>
      </c>
      <c r="V151" s="53">
        <v>68.838579081991867</v>
      </c>
      <c r="W151" s="52">
        <v>0.28164051358336994</v>
      </c>
      <c r="X151" s="53">
        <v>62.955924877012521</v>
      </c>
      <c r="Y151" s="52">
        <v>0.20136940058437247</v>
      </c>
    </row>
    <row r="152" spans="1:25" ht="14.45" customHeight="1">
      <c r="A152" s="51" t="s">
        <v>6</v>
      </c>
      <c r="B152" s="52">
        <v>50.724098380151275</v>
      </c>
      <c r="C152" s="52">
        <v>0.6933792377617376</v>
      </c>
      <c r="D152" s="52">
        <v>47.188880847946415</v>
      </c>
      <c r="E152" s="52">
        <v>0.49209686153732779</v>
      </c>
      <c r="F152" s="52">
        <v>100.27817168391832</v>
      </c>
      <c r="G152" s="52">
        <v>0.5494331577125644</v>
      </c>
      <c r="H152" s="52">
        <v>60.359907981131116</v>
      </c>
      <c r="I152" s="52">
        <v>0.12842010611164856</v>
      </c>
      <c r="J152" s="52">
        <v>71.265057262686426</v>
      </c>
      <c r="K152" s="52">
        <v>0.18057632808996527</v>
      </c>
      <c r="L152" s="52">
        <v>54.112746354809936</v>
      </c>
      <c r="M152" s="52">
        <v>0.52703610810991286</v>
      </c>
      <c r="N152" s="52">
        <v>61.27210116918485</v>
      </c>
      <c r="O152" s="52">
        <v>2.0715562716364877</v>
      </c>
      <c r="P152" s="52">
        <v>87.681336789389675</v>
      </c>
      <c r="Q152" s="52">
        <v>0</v>
      </c>
      <c r="R152" s="52">
        <v>76.046615231719059</v>
      </c>
      <c r="S152" s="52">
        <v>0.27792510955300109</v>
      </c>
      <c r="T152" s="52">
        <v>38.91013470490519</v>
      </c>
      <c r="U152" s="52">
        <v>0</v>
      </c>
      <c r="V152" s="53">
        <v>69.083173456383136</v>
      </c>
      <c r="W152" s="52">
        <v>0.35531583837595804</v>
      </c>
      <c r="X152" s="53">
        <v>63.06338698913391</v>
      </c>
      <c r="Y152" s="52">
        <v>0.17069419968227528</v>
      </c>
    </row>
    <row r="153" spans="1:25" ht="14.45" customHeight="1">
      <c r="A153" s="51" t="s">
        <v>7</v>
      </c>
      <c r="B153" s="52">
        <v>50.863328427594908</v>
      </c>
      <c r="C153" s="52">
        <v>0.2744850118383102</v>
      </c>
      <c r="D153" s="52">
        <v>47.387543964380306</v>
      </c>
      <c r="E153" s="52">
        <v>0.42099560927082447</v>
      </c>
      <c r="F153" s="52">
        <v>100.73181362734854</v>
      </c>
      <c r="G153" s="52">
        <v>0.45238354051779783</v>
      </c>
      <c r="H153" s="52">
        <v>60.696350934364638</v>
      </c>
      <c r="I153" s="52">
        <v>0.55739474178571058</v>
      </c>
      <c r="J153" s="52">
        <v>71.291891488996669</v>
      </c>
      <c r="K153" s="52">
        <v>3.765411457024026E-2</v>
      </c>
      <c r="L153" s="52">
        <v>54.419297015251175</v>
      </c>
      <c r="M153" s="52">
        <v>0.56650360791379306</v>
      </c>
      <c r="N153" s="52">
        <v>63.392105273892952</v>
      </c>
      <c r="O153" s="52">
        <v>3.4599827070632694</v>
      </c>
      <c r="P153" s="52">
        <v>87.681336789389675</v>
      </c>
      <c r="Q153" s="52">
        <v>0</v>
      </c>
      <c r="R153" s="52">
        <v>76.324137344336037</v>
      </c>
      <c r="S153" s="52">
        <v>0.3649368374533779</v>
      </c>
      <c r="T153" s="52">
        <v>38.91013470490519</v>
      </c>
      <c r="U153" s="52">
        <v>0</v>
      </c>
      <c r="V153" s="53">
        <v>69.146475046764323</v>
      </c>
      <c r="W153" s="52">
        <v>9.163098221183219E-2</v>
      </c>
      <c r="X153" s="53">
        <v>63.25165455199199</v>
      </c>
      <c r="Y153" s="52">
        <v>0.29853703051267999</v>
      </c>
    </row>
    <row r="154" spans="1:25" ht="14.45" customHeight="1">
      <c r="A154" s="51" t="s">
        <v>8</v>
      </c>
      <c r="B154" s="52">
        <v>51.137486937378505</v>
      </c>
      <c r="C154" s="52">
        <v>0.53901016362676302</v>
      </c>
      <c r="D154" s="52">
        <v>47.264161373206974</v>
      </c>
      <c r="E154" s="52">
        <v>-0.26036924653887183</v>
      </c>
      <c r="F154" s="52">
        <v>101.18881098921624</v>
      </c>
      <c r="G154" s="52">
        <v>0.45367728963794374</v>
      </c>
      <c r="H154" s="52">
        <v>60.641204076984458</v>
      </c>
      <c r="I154" s="52">
        <v>-9.0856956853657689E-2</v>
      </c>
      <c r="J154" s="52">
        <v>71.320066419640767</v>
      </c>
      <c r="K154" s="52">
        <v>3.9520526185565785E-2</v>
      </c>
      <c r="L154" s="52">
        <v>54.701076334938172</v>
      </c>
      <c r="M154" s="52">
        <v>0.51779301670880074</v>
      </c>
      <c r="N154" s="52">
        <v>63.916901693393477</v>
      </c>
      <c r="O154" s="52">
        <v>0.82785769179472002</v>
      </c>
      <c r="P154" s="52">
        <v>87.681336789389675</v>
      </c>
      <c r="Q154" s="52">
        <v>0</v>
      </c>
      <c r="R154" s="52">
        <v>76.637539135240473</v>
      </c>
      <c r="S154" s="52">
        <v>0.41061949968792533</v>
      </c>
      <c r="T154" s="52">
        <v>38.91013470490519</v>
      </c>
      <c r="U154" s="52">
        <v>0</v>
      </c>
      <c r="V154" s="53">
        <v>69.182337581843726</v>
      </c>
      <c r="W154" s="52">
        <v>5.186458898323032E-2</v>
      </c>
      <c r="X154" s="53">
        <v>63.376749437414134</v>
      </c>
      <c r="Y154" s="52">
        <v>0.19777330143879723</v>
      </c>
    </row>
    <row r="155" spans="1:25" ht="14.45" customHeight="1">
      <c r="A155" s="51" t="s">
        <v>9</v>
      </c>
      <c r="B155" s="52">
        <v>50.970310058136448</v>
      </c>
      <c r="C155" s="52">
        <v>-0.3269164936610558</v>
      </c>
      <c r="D155" s="52">
        <v>46.63331157134764</v>
      </c>
      <c r="E155" s="52">
        <v>-1.3347318211742287</v>
      </c>
      <c r="F155" s="52">
        <v>101.68128135808378</v>
      </c>
      <c r="G155" s="52">
        <v>0.48668460875582742</v>
      </c>
      <c r="H155" s="52">
        <v>60.962757160502328</v>
      </c>
      <c r="I155" s="52">
        <v>0.53025511022117833</v>
      </c>
      <c r="J155" s="52">
        <v>71.347058000366559</v>
      </c>
      <c r="K155" s="52">
        <v>3.7845703293348798E-2</v>
      </c>
      <c r="L155" s="52">
        <v>54.831588248723875</v>
      </c>
      <c r="M155" s="52">
        <v>0.23859112567834462</v>
      </c>
      <c r="N155" s="52">
        <v>64.661849512415571</v>
      </c>
      <c r="O155" s="52">
        <v>1.1654942578342986</v>
      </c>
      <c r="P155" s="52">
        <v>87.681336789389675</v>
      </c>
      <c r="Q155" s="52">
        <v>0</v>
      </c>
      <c r="R155" s="52">
        <v>76.652061038994447</v>
      </c>
      <c r="S155" s="52">
        <v>1.8948812706987006E-2</v>
      </c>
      <c r="T155" s="52">
        <v>38.91013470490519</v>
      </c>
      <c r="U155" s="52">
        <v>0</v>
      </c>
      <c r="V155" s="53">
        <v>69.219407265294421</v>
      </c>
      <c r="W155" s="52">
        <v>5.3582582992151018E-2</v>
      </c>
      <c r="X155" s="53">
        <v>63.455254017636207</v>
      </c>
      <c r="Y155" s="52">
        <v>0.12386968552180466</v>
      </c>
    </row>
    <row r="156" spans="1:25" ht="14.45" customHeight="1">
      <c r="A156" s="51" t="s">
        <v>10</v>
      </c>
      <c r="B156" s="52">
        <v>50.741347064682799</v>
      </c>
      <c r="C156" s="52">
        <v>-0.44920855531875858</v>
      </c>
      <c r="D156" s="52">
        <v>45.568243445161109</v>
      </c>
      <c r="E156" s="52">
        <v>-2.2839212792276298</v>
      </c>
      <c r="F156" s="52">
        <v>101.97236012307908</v>
      </c>
      <c r="G156" s="52">
        <v>0.28626583094506497</v>
      </c>
      <c r="H156" s="52">
        <v>61.141199083547484</v>
      </c>
      <c r="I156" s="52">
        <v>0.29270645121144412</v>
      </c>
      <c r="J156" s="52">
        <v>71.43058841212104</v>
      </c>
      <c r="K156" s="52">
        <v>0.11707618239009676</v>
      </c>
      <c r="L156" s="52">
        <v>55.444225166238127</v>
      </c>
      <c r="M156" s="52">
        <v>1.1173065327512388</v>
      </c>
      <c r="N156" s="52">
        <v>63.020841265004627</v>
      </c>
      <c r="O156" s="52">
        <v>-2.5378306679827656</v>
      </c>
      <c r="P156" s="52">
        <v>87.681336789389675</v>
      </c>
      <c r="Q156" s="52">
        <v>0</v>
      </c>
      <c r="R156" s="52">
        <v>77.061248799948402</v>
      </c>
      <c r="S156" s="52">
        <v>0.53382486446880151</v>
      </c>
      <c r="T156" s="52">
        <v>39.633258167810496</v>
      </c>
      <c r="U156" s="52">
        <v>1.8584450256712737</v>
      </c>
      <c r="V156" s="53">
        <v>69.196590137959504</v>
      </c>
      <c r="W156" s="52">
        <v>-3.2963482694192692E-2</v>
      </c>
      <c r="X156" s="53">
        <v>63.535265267815674</v>
      </c>
      <c r="Y156" s="52">
        <v>0.12609082008754324</v>
      </c>
    </row>
    <row r="157" spans="1:25" ht="14.45" customHeight="1">
      <c r="A157" s="51" t="s">
        <v>11</v>
      </c>
      <c r="B157" s="52">
        <v>50.829880528478583</v>
      </c>
      <c r="C157" s="52">
        <v>0.17447992400148049</v>
      </c>
      <c r="D157" s="52">
        <v>45.371440840824107</v>
      </c>
      <c r="E157" s="52">
        <v>-0.43188543041787764</v>
      </c>
      <c r="F157" s="52">
        <v>102.62291514324619</v>
      </c>
      <c r="G157" s="52">
        <v>0.63797191648982121</v>
      </c>
      <c r="H157" s="52">
        <v>61.427228636181404</v>
      </c>
      <c r="I157" s="52">
        <v>0.46781802928508309</v>
      </c>
      <c r="J157" s="52">
        <v>71.695920977139195</v>
      </c>
      <c r="K157" s="52">
        <v>0.37145510196179288</v>
      </c>
      <c r="L157" s="52">
        <v>55.87056301659964</v>
      </c>
      <c r="M157" s="52">
        <v>0.76894906382625194</v>
      </c>
      <c r="N157" s="52">
        <v>64.563208819120391</v>
      </c>
      <c r="O157" s="52">
        <v>2.4473928356971042</v>
      </c>
      <c r="P157" s="52">
        <v>87.681336789389675</v>
      </c>
      <c r="Q157" s="52">
        <v>0</v>
      </c>
      <c r="R157" s="52">
        <v>77.566748761360174</v>
      </c>
      <c r="S157" s="52">
        <v>0.6559716709549468</v>
      </c>
      <c r="T157" s="52">
        <v>43.213113935985461</v>
      </c>
      <c r="U157" s="52">
        <v>9.0324538876353841</v>
      </c>
      <c r="V157" s="53">
        <v>69.220292036414506</v>
      </c>
      <c r="W157" s="52">
        <v>3.4252986177141231E-2</v>
      </c>
      <c r="X157" s="53">
        <v>63.63377747408903</v>
      </c>
      <c r="Y157" s="52">
        <v>0.15505122369143809</v>
      </c>
    </row>
    <row r="158" spans="1:25" ht="14.45" customHeight="1">
      <c r="A158" s="51" t="s">
        <v>12</v>
      </c>
      <c r="B158" s="52">
        <v>50.960595797606828</v>
      </c>
      <c r="C158" s="52">
        <v>0.25716225922469693</v>
      </c>
      <c r="D158" s="52">
        <v>45.161205601464651</v>
      </c>
      <c r="E158" s="52">
        <v>-0.4633646969621763</v>
      </c>
      <c r="F158" s="52">
        <v>103.19984784312639</v>
      </c>
      <c r="G158" s="52">
        <v>0.56218701161907525</v>
      </c>
      <c r="H158" s="52">
        <v>61.973431582096396</v>
      </c>
      <c r="I158" s="52">
        <v>0.88918702347784428</v>
      </c>
      <c r="J158" s="52">
        <v>71.857623841089065</v>
      </c>
      <c r="K158" s="52">
        <v>0.22553983789597165</v>
      </c>
      <c r="L158" s="52">
        <v>56.205503734878945</v>
      </c>
      <c r="M158" s="52">
        <v>0.59949408095241186</v>
      </c>
      <c r="N158" s="52">
        <v>65.222868421228171</v>
      </c>
      <c r="O158" s="52">
        <v>1.0217267917334683</v>
      </c>
      <c r="P158" s="52">
        <v>87.681336789389675</v>
      </c>
      <c r="Q158" s="52">
        <v>0</v>
      </c>
      <c r="R158" s="52">
        <v>77.77868755257164</v>
      </c>
      <c r="S158" s="52">
        <v>0.27323407851411741</v>
      </c>
      <c r="T158" s="52">
        <v>43.213113935985461</v>
      </c>
      <c r="U158" s="52">
        <v>0</v>
      </c>
      <c r="V158" s="53">
        <v>69.230380466416207</v>
      </c>
      <c r="W158" s="52">
        <v>1.4574382316090428E-2</v>
      </c>
      <c r="X158" s="53">
        <v>63.837391855921851</v>
      </c>
      <c r="Y158" s="52">
        <v>0.31997846099225402</v>
      </c>
    </row>
    <row r="159" spans="1:25" ht="14.45" customHeight="1">
      <c r="A159" s="51" t="s">
        <v>13</v>
      </c>
      <c r="B159" s="52">
        <v>52.637903412147807</v>
      </c>
      <c r="C159" s="52">
        <v>3.2913814846327716</v>
      </c>
      <c r="D159" s="52">
        <v>45.467244788132128</v>
      </c>
      <c r="E159" s="52">
        <v>0.6776594703165939</v>
      </c>
      <c r="F159" s="52">
        <v>103.52424660176068</v>
      </c>
      <c r="G159" s="52">
        <v>0.31434034585728909</v>
      </c>
      <c r="H159" s="52">
        <v>62.240544564278892</v>
      </c>
      <c r="I159" s="52">
        <v>0.43101208915412581</v>
      </c>
      <c r="J159" s="52">
        <v>72.003090798372014</v>
      </c>
      <c r="K159" s="52">
        <v>0.2024377505226882</v>
      </c>
      <c r="L159" s="52">
        <v>56.512384333487127</v>
      </c>
      <c r="M159" s="52">
        <v>0.54599741700693816</v>
      </c>
      <c r="N159" s="52">
        <v>67.327939722875016</v>
      </c>
      <c r="O159" s="52">
        <v>3.2275049420575685</v>
      </c>
      <c r="P159" s="52">
        <v>87.681336789389675</v>
      </c>
      <c r="Q159" s="52">
        <v>0</v>
      </c>
      <c r="R159" s="52">
        <v>77.771815365092024</v>
      </c>
      <c r="S159" s="52">
        <v>-8.8355662661077083E-3</v>
      </c>
      <c r="T159" s="52">
        <v>43.213113935985461</v>
      </c>
      <c r="U159" s="52">
        <v>0</v>
      </c>
      <c r="V159" s="53">
        <v>69.393523520570696</v>
      </c>
      <c r="W159" s="52">
        <v>0.23565240152569888</v>
      </c>
      <c r="X159" s="53">
        <v>63.940525855051554</v>
      </c>
      <c r="Y159" s="52">
        <v>0.16155735084302236</v>
      </c>
    </row>
    <row r="160" spans="1:25" ht="14.45" customHeight="1">
      <c r="A160" s="51" t="s">
        <v>14</v>
      </c>
      <c r="B160" s="52">
        <v>54.676947425154999</v>
      </c>
      <c r="C160" s="52">
        <v>3.8737181400287701</v>
      </c>
      <c r="D160" s="52">
        <v>45.754458819201361</v>
      </c>
      <c r="E160" s="52">
        <v>0.63169438220325169</v>
      </c>
      <c r="F160" s="52">
        <v>104.23958298085917</v>
      </c>
      <c r="G160" s="52">
        <v>0.6909843853781128</v>
      </c>
      <c r="H160" s="52">
        <v>62.520653128770626</v>
      </c>
      <c r="I160" s="52">
        <v>0.45004195649742673</v>
      </c>
      <c r="J160" s="52">
        <v>72.232954787134815</v>
      </c>
      <c r="K160" s="52">
        <v>0.31924183561298225</v>
      </c>
      <c r="L160" s="52">
        <v>57.051188972551181</v>
      </c>
      <c r="M160" s="52">
        <v>0.95342754587117717</v>
      </c>
      <c r="N160" s="52">
        <v>67.187195525635758</v>
      </c>
      <c r="O160" s="52">
        <v>-0.20904278048394787</v>
      </c>
      <c r="P160" s="52">
        <v>87.681336789389675</v>
      </c>
      <c r="Q160" s="52">
        <v>0</v>
      </c>
      <c r="R160" s="52">
        <v>77.979846582309321</v>
      </c>
      <c r="S160" s="52">
        <v>0.26748921346471111</v>
      </c>
      <c r="T160" s="52">
        <v>43.213113935985461</v>
      </c>
      <c r="U160" s="52">
        <v>0</v>
      </c>
      <c r="V160" s="53">
        <v>69.526687757469489</v>
      </c>
      <c r="W160" s="52">
        <v>0.19189721193406672</v>
      </c>
      <c r="X160" s="53">
        <v>64.154699771623825</v>
      </c>
      <c r="Y160" s="52">
        <v>0.33495801560623484</v>
      </c>
    </row>
    <row r="161" spans="1:25" ht="5.0999999999999996" customHeight="1">
      <c r="A161" s="5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3"/>
      <c r="W161" s="52"/>
      <c r="X161" s="53"/>
      <c r="Y161" s="52"/>
    </row>
    <row r="162" spans="1:25" ht="14.1" customHeight="1">
      <c r="A162" s="51">
        <v>2008</v>
      </c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</row>
    <row r="163" spans="1:25" ht="14.45" customHeight="1">
      <c r="A163" s="51" t="s">
        <v>3</v>
      </c>
      <c r="B163" s="52">
        <v>55.852247800122669</v>
      </c>
      <c r="C163" s="52">
        <v>2.1495354629599506</v>
      </c>
      <c r="D163" s="52">
        <v>45.812078649243553</v>
      </c>
      <c r="E163" s="52">
        <v>0.12593271023022545</v>
      </c>
      <c r="F163" s="52">
        <v>104.92710305275253</v>
      </c>
      <c r="G163" s="52">
        <v>0.65955758094273786</v>
      </c>
      <c r="H163" s="52">
        <v>62.891167965298074</v>
      </c>
      <c r="I163" s="52">
        <v>0.59262790451710678</v>
      </c>
      <c r="J163" s="52">
        <v>72.542563497004878</v>
      </c>
      <c r="K163" s="52">
        <v>0.42862528714553427</v>
      </c>
      <c r="L163" s="52">
        <v>57.380938066971446</v>
      </c>
      <c r="M163" s="52">
        <v>0.5779881197198522</v>
      </c>
      <c r="N163" s="52">
        <v>68.020353566059427</v>
      </c>
      <c r="O163" s="52">
        <v>1.2400547960150776</v>
      </c>
      <c r="P163" s="52">
        <v>87.681336789389675</v>
      </c>
      <c r="Q163" s="52">
        <v>0</v>
      </c>
      <c r="R163" s="52">
        <v>77.643654125035184</v>
      </c>
      <c r="S163" s="52">
        <v>-0.4311273643239133</v>
      </c>
      <c r="T163" s="52">
        <v>43.779302487268126</v>
      </c>
      <c r="U163" s="52">
        <v>1.310223910550401</v>
      </c>
      <c r="V163" s="53">
        <v>69.51394793773575</v>
      </c>
      <c r="W163" s="52">
        <v>-1.8323639662198854E-2</v>
      </c>
      <c r="X163" s="53">
        <v>64.376137089113712</v>
      </c>
      <c r="Y163" s="52">
        <v>0.34516148977106198</v>
      </c>
    </row>
    <row r="164" spans="1:25" ht="14.45" customHeight="1">
      <c r="A164" s="51" t="s">
        <v>4</v>
      </c>
      <c r="B164" s="52">
        <v>55.270059486730467</v>
      </c>
      <c r="C164" s="52">
        <v>-1.0423722165590621</v>
      </c>
      <c r="D164" s="52">
        <v>46.116208846751725</v>
      </c>
      <c r="E164" s="52">
        <v>0.66386465420336105</v>
      </c>
      <c r="F164" s="52">
        <v>105.5822971603109</v>
      </c>
      <c r="G164" s="52">
        <v>0.62442790136783</v>
      </c>
      <c r="H164" s="52">
        <v>63.173395547981727</v>
      </c>
      <c r="I164" s="52">
        <v>0.44875551180634243</v>
      </c>
      <c r="J164" s="52">
        <v>73.036212603981824</v>
      </c>
      <c r="K164" s="52">
        <v>0.680495812637405</v>
      </c>
      <c r="L164" s="52">
        <v>57.843379965463029</v>
      </c>
      <c r="M164" s="52">
        <v>0.80591554280944333</v>
      </c>
      <c r="N164" s="52">
        <v>68.134842287465574</v>
      </c>
      <c r="O164" s="52">
        <v>0.16831538709212168</v>
      </c>
      <c r="P164" s="52">
        <v>87.681336789389675</v>
      </c>
      <c r="Q164" s="52">
        <v>0</v>
      </c>
      <c r="R164" s="52">
        <v>77.703693280676234</v>
      </c>
      <c r="S164" s="52">
        <v>7.7326545636768884E-2</v>
      </c>
      <c r="T164" s="52">
        <v>43.779302487268126</v>
      </c>
      <c r="U164" s="52">
        <v>0</v>
      </c>
      <c r="V164" s="53">
        <v>69.822510119762185</v>
      </c>
      <c r="W164" s="52">
        <v>0.44388527940151246</v>
      </c>
      <c r="X164" s="53">
        <v>64.529572238081798</v>
      </c>
      <c r="Y164" s="52">
        <v>0.23834165252210049</v>
      </c>
    </row>
    <row r="165" spans="1:25" ht="14.45" customHeight="1">
      <c r="A165" s="51" t="s">
        <v>5</v>
      </c>
      <c r="B165" s="52">
        <v>56.653526410643089</v>
      </c>
      <c r="C165" s="52">
        <v>2.5031037360196295</v>
      </c>
      <c r="D165" s="52">
        <v>46.396559906814147</v>
      </c>
      <c r="E165" s="52">
        <v>0.60792304283738829</v>
      </c>
      <c r="F165" s="52">
        <v>105.91261455202307</v>
      </c>
      <c r="G165" s="52">
        <v>0.31285300717660558</v>
      </c>
      <c r="H165" s="52">
        <v>63.288780768531119</v>
      </c>
      <c r="I165" s="52">
        <v>0.18264843855315682</v>
      </c>
      <c r="J165" s="52">
        <v>73.245566392696944</v>
      </c>
      <c r="K165" s="52">
        <v>0.28664381852641085</v>
      </c>
      <c r="L165" s="52">
        <v>58.074158771042619</v>
      </c>
      <c r="M165" s="52">
        <v>0.39897185419901504</v>
      </c>
      <c r="N165" s="52">
        <v>70.695385652260583</v>
      </c>
      <c r="O165" s="52">
        <v>3.7580528241217603</v>
      </c>
      <c r="P165" s="52">
        <v>87.681336789389675</v>
      </c>
      <c r="Q165" s="52">
        <v>0</v>
      </c>
      <c r="R165" s="52">
        <v>77.599399678834814</v>
      </c>
      <c r="S165" s="52">
        <v>-0.13421961999244836</v>
      </c>
      <c r="T165" s="52">
        <v>43.779302487268126</v>
      </c>
      <c r="U165" s="52">
        <v>0</v>
      </c>
      <c r="V165" s="53">
        <v>69.805349559207627</v>
      </c>
      <c r="W165" s="52">
        <v>-2.4577404228409705E-2</v>
      </c>
      <c r="X165" s="53">
        <v>64.682672045438991</v>
      </c>
      <c r="Y165" s="52">
        <v>0.23725526459765778</v>
      </c>
    </row>
    <row r="166" spans="1:25" ht="14.45" customHeight="1">
      <c r="A166" s="51" t="s">
        <v>6</v>
      </c>
      <c r="B166" s="52">
        <v>58.300991043092047</v>
      </c>
      <c r="C166" s="52">
        <v>2.9079648467204011</v>
      </c>
      <c r="D166" s="52">
        <v>46.519757360720199</v>
      </c>
      <c r="E166" s="52">
        <v>0.26553144059278111</v>
      </c>
      <c r="F166" s="52">
        <v>106.52498112729174</v>
      </c>
      <c r="G166" s="52">
        <v>0.57818096348465353</v>
      </c>
      <c r="H166" s="52">
        <v>63.376051049189257</v>
      </c>
      <c r="I166" s="52">
        <v>0.13789218183444252</v>
      </c>
      <c r="J166" s="52">
        <v>73.516780953187904</v>
      </c>
      <c r="K166" s="52">
        <v>0.37028119768625078</v>
      </c>
      <c r="L166" s="52">
        <v>58.421251296709457</v>
      </c>
      <c r="M166" s="52">
        <v>0.5976712069739154</v>
      </c>
      <c r="N166" s="52">
        <v>72.016623210330067</v>
      </c>
      <c r="O166" s="52">
        <v>1.868916260770459</v>
      </c>
      <c r="P166" s="52">
        <v>87.681336789389675</v>
      </c>
      <c r="Q166" s="52">
        <v>0</v>
      </c>
      <c r="R166" s="52">
        <v>77.787875930247722</v>
      </c>
      <c r="S166" s="52">
        <v>0.24288364625624226</v>
      </c>
      <c r="T166" s="52">
        <v>43.779302487268126</v>
      </c>
      <c r="U166" s="52">
        <v>0</v>
      </c>
      <c r="V166" s="53">
        <v>74.802175210283281</v>
      </c>
      <c r="W166" s="52">
        <v>7.1582273889158499</v>
      </c>
      <c r="X166" s="53">
        <v>64.860545514407562</v>
      </c>
      <c r="Y166" s="52">
        <v>0.27499400278889752</v>
      </c>
    </row>
    <row r="167" spans="1:25" ht="14.45" customHeight="1">
      <c r="A167" s="51" t="s">
        <v>7</v>
      </c>
      <c r="B167" s="52">
        <v>57.714750005768209</v>
      </c>
      <c r="C167" s="52">
        <v>-1.0055421474577164</v>
      </c>
      <c r="D167" s="52">
        <v>46.233235424450477</v>
      </c>
      <c r="E167" s="52">
        <v>-0.61591451143648834</v>
      </c>
      <c r="F167" s="52">
        <v>106.95717223378918</v>
      </c>
      <c r="G167" s="52">
        <v>0.40571807844864693</v>
      </c>
      <c r="H167" s="52">
        <v>63.471076512453678</v>
      </c>
      <c r="I167" s="52">
        <v>0.14993907271165785</v>
      </c>
      <c r="J167" s="52">
        <v>73.590873261953561</v>
      </c>
      <c r="K167" s="52">
        <v>0.10078285230257222</v>
      </c>
      <c r="L167" s="52">
        <v>58.793482727112242</v>
      </c>
      <c r="M167" s="52">
        <v>0.63715073220924623</v>
      </c>
      <c r="N167" s="52">
        <v>73.569584546801522</v>
      </c>
      <c r="O167" s="52">
        <v>2.1563928815933497</v>
      </c>
      <c r="P167" s="52">
        <v>87.681336789389675</v>
      </c>
      <c r="Q167" s="52">
        <v>0</v>
      </c>
      <c r="R167" s="52">
        <v>77.931107571158236</v>
      </c>
      <c r="S167" s="52">
        <v>0.18413106052534989</v>
      </c>
      <c r="T167" s="52">
        <v>43.831478250093319</v>
      </c>
      <c r="U167" s="52">
        <v>0.11917906376046616</v>
      </c>
      <c r="V167" s="53">
        <v>74.666526822091555</v>
      </c>
      <c r="W167" s="52">
        <v>-0.18134283904229775</v>
      </c>
      <c r="X167" s="53">
        <v>64.970134647147489</v>
      </c>
      <c r="Y167" s="52">
        <v>0.16896116409563788</v>
      </c>
    </row>
    <row r="168" spans="1:25" ht="14.45" customHeight="1">
      <c r="A168" s="51" t="s">
        <v>8</v>
      </c>
      <c r="B168" s="52">
        <v>59.374827917499857</v>
      </c>
      <c r="C168" s="52">
        <v>2.876349480099516</v>
      </c>
      <c r="D168" s="52">
        <v>46.023851441925345</v>
      </c>
      <c r="E168" s="52">
        <v>-0.45288628538074915</v>
      </c>
      <c r="F168" s="52">
        <v>107.63816061869078</v>
      </c>
      <c r="G168" s="52">
        <v>0.63669258515275384</v>
      </c>
      <c r="H168" s="52">
        <v>63.85598363042984</v>
      </c>
      <c r="I168" s="52">
        <v>0.60642916289697091</v>
      </c>
      <c r="J168" s="52">
        <v>74.025033038094975</v>
      </c>
      <c r="K168" s="52">
        <v>0.58996415845751216</v>
      </c>
      <c r="L168" s="52">
        <v>59.158180311247833</v>
      </c>
      <c r="M168" s="52">
        <v>0.62030273972426553</v>
      </c>
      <c r="N168" s="52">
        <v>77.648868724770395</v>
      </c>
      <c r="O168" s="52">
        <v>5.5447970830579063</v>
      </c>
      <c r="P168" s="52">
        <v>87.681336789389675</v>
      </c>
      <c r="Q168" s="52">
        <v>0</v>
      </c>
      <c r="R168" s="52">
        <v>78.119760499671855</v>
      </c>
      <c r="S168" s="52">
        <v>0.24207653964287701</v>
      </c>
      <c r="T168" s="52">
        <v>43.831478250093319</v>
      </c>
      <c r="U168" s="52">
        <v>0</v>
      </c>
      <c r="V168" s="53">
        <v>74.695218686428333</v>
      </c>
      <c r="W168" s="52">
        <v>3.8426675992497827E-2</v>
      </c>
      <c r="X168" s="53">
        <v>65.131002016719009</v>
      </c>
      <c r="Y168" s="52">
        <v>0.24760202583107294</v>
      </c>
    </row>
    <row r="169" spans="1:25" ht="14.45" customHeight="1">
      <c r="A169" s="51" t="s">
        <v>9</v>
      </c>
      <c r="B169" s="52">
        <v>59.954721215164803</v>
      </c>
      <c r="C169" s="52">
        <v>0.97666522666928213</v>
      </c>
      <c r="D169" s="52">
        <v>47.114741216344029</v>
      </c>
      <c r="E169" s="52">
        <v>2.3702705015794079</v>
      </c>
      <c r="F169" s="52">
        <v>108.16600473126222</v>
      </c>
      <c r="G169" s="52">
        <v>0.49038752570413902</v>
      </c>
      <c r="H169" s="52">
        <v>64.87854937754355</v>
      </c>
      <c r="I169" s="52">
        <v>1.6013624549765959</v>
      </c>
      <c r="J169" s="52">
        <v>74.630022637435388</v>
      </c>
      <c r="K169" s="52">
        <v>0.81727704063174755</v>
      </c>
      <c r="L169" s="52">
        <v>59.612759150587472</v>
      </c>
      <c r="M169" s="52">
        <v>0.7684124781187851</v>
      </c>
      <c r="N169" s="52">
        <v>80.432373561296814</v>
      </c>
      <c r="O169" s="52">
        <v>3.5847332771745455</v>
      </c>
      <c r="P169" s="52">
        <v>87.681336789389675</v>
      </c>
      <c r="Q169" s="52">
        <v>0</v>
      </c>
      <c r="R169" s="52">
        <v>79.073387366742836</v>
      </c>
      <c r="S169" s="52">
        <v>1.2207242584608036</v>
      </c>
      <c r="T169" s="52">
        <v>43.831478250093319</v>
      </c>
      <c r="U169" s="52">
        <v>0</v>
      </c>
      <c r="V169" s="53">
        <v>75.009890165171782</v>
      </c>
      <c r="W169" s="52">
        <v>0.42127392392334873</v>
      </c>
      <c r="X169" s="53">
        <v>65.267368060966774</v>
      </c>
      <c r="Y169" s="52">
        <v>0.20937194273897841</v>
      </c>
    </row>
    <row r="170" spans="1:25" ht="14.45" customHeight="1">
      <c r="A170" s="51" t="s">
        <v>10</v>
      </c>
      <c r="B170" s="52">
        <v>60.569431852014965</v>
      </c>
      <c r="C170" s="52">
        <v>1.0252914606075691</v>
      </c>
      <c r="D170" s="52">
        <v>47.361190769907878</v>
      </c>
      <c r="E170" s="52">
        <v>0.52308374661804713</v>
      </c>
      <c r="F170" s="52">
        <v>109.08884537226164</v>
      </c>
      <c r="G170" s="52">
        <v>0.85317068268557783</v>
      </c>
      <c r="H170" s="52">
        <v>65.300337544172194</v>
      </c>
      <c r="I170" s="52">
        <v>0.6501196014327526</v>
      </c>
      <c r="J170" s="52">
        <v>75.070888896273473</v>
      </c>
      <c r="K170" s="52">
        <v>0.59073579674480126</v>
      </c>
      <c r="L170" s="52">
        <v>60.067208868732209</v>
      </c>
      <c r="M170" s="52">
        <v>0.76233632635045456</v>
      </c>
      <c r="N170" s="52">
        <v>78.241715746077332</v>
      </c>
      <c r="O170" s="52">
        <v>-2.7236020997813748</v>
      </c>
      <c r="P170" s="52">
        <v>87.681336789389675</v>
      </c>
      <c r="Q170" s="52">
        <v>0</v>
      </c>
      <c r="R170" s="52">
        <v>80.177163223055175</v>
      </c>
      <c r="S170" s="52">
        <v>1.3958879125704149</v>
      </c>
      <c r="T170" s="52">
        <v>44.833077701501104</v>
      </c>
      <c r="U170" s="52">
        <v>2.2851144688592617</v>
      </c>
      <c r="V170" s="53">
        <v>77.637658255720055</v>
      </c>
      <c r="W170" s="52">
        <v>3.5032288205754325</v>
      </c>
      <c r="X170" s="53">
        <v>65.456715298365907</v>
      </c>
      <c r="Y170" s="52">
        <v>0.29011011631763228</v>
      </c>
    </row>
    <row r="171" spans="1:25" ht="14.45" customHeight="1">
      <c r="A171" s="51" t="s">
        <v>11</v>
      </c>
      <c r="B171" s="52">
        <v>61.854787386568795</v>
      </c>
      <c r="C171" s="52">
        <v>2.1221191866125588</v>
      </c>
      <c r="D171" s="52">
        <v>47.374058227428158</v>
      </c>
      <c r="E171" s="52">
        <v>2.7168779566366652E-2</v>
      </c>
      <c r="F171" s="52">
        <v>109.88592852740835</v>
      </c>
      <c r="G171" s="52">
        <v>0.7306733813404076</v>
      </c>
      <c r="H171" s="52">
        <v>65.872397275974194</v>
      </c>
      <c r="I171" s="52">
        <v>0.87604406549204317</v>
      </c>
      <c r="J171" s="52">
        <v>75.366629237505137</v>
      </c>
      <c r="K171" s="52">
        <v>0.39394810102792999</v>
      </c>
      <c r="L171" s="52">
        <v>60.921888620960878</v>
      </c>
      <c r="M171" s="52">
        <v>1.4228724262790982</v>
      </c>
      <c r="N171" s="52">
        <v>78.31384866010211</v>
      </c>
      <c r="O171" s="52">
        <v>9.2192398053847491E-2</v>
      </c>
      <c r="P171" s="52">
        <v>87.681336789389675</v>
      </c>
      <c r="Q171" s="52">
        <v>0</v>
      </c>
      <c r="R171" s="52">
        <v>81.32651847712927</v>
      </c>
      <c r="S171" s="52">
        <v>1.4335194809481644</v>
      </c>
      <c r="T171" s="52">
        <v>48.597595043729982</v>
      </c>
      <c r="U171" s="52">
        <v>8.3967408333932791</v>
      </c>
      <c r="V171" s="53">
        <v>77.695372940036179</v>
      </c>
      <c r="W171" s="52">
        <v>7.4338517689476191E-2</v>
      </c>
      <c r="X171" s="53">
        <v>65.630309079633648</v>
      </c>
      <c r="Y171" s="52">
        <v>0.26520392976712159</v>
      </c>
    </row>
    <row r="172" spans="1:25" ht="14.45" customHeight="1">
      <c r="A172" s="51" t="s">
        <v>12</v>
      </c>
      <c r="B172" s="52">
        <v>62.780130574309297</v>
      </c>
      <c r="C172" s="52">
        <v>1.4959928355382734</v>
      </c>
      <c r="D172" s="52">
        <v>49.143913945687643</v>
      </c>
      <c r="E172" s="52">
        <v>3.7359174714628685</v>
      </c>
      <c r="F172" s="52">
        <v>110.70549782359883</v>
      </c>
      <c r="G172" s="52">
        <v>0.74583643890859808</v>
      </c>
      <c r="H172" s="52">
        <v>66.137583046743345</v>
      </c>
      <c r="I172" s="52">
        <v>0.40257495056410519</v>
      </c>
      <c r="J172" s="52">
        <v>75.780368733220911</v>
      </c>
      <c r="K172" s="52">
        <v>0.54896908605523986</v>
      </c>
      <c r="L172" s="52">
        <v>61.239590368044389</v>
      </c>
      <c r="M172" s="52">
        <v>0.52149031206198959</v>
      </c>
      <c r="N172" s="52">
        <v>73.23821923426739</v>
      </c>
      <c r="O172" s="52">
        <v>-6.4811390484254883</v>
      </c>
      <c r="P172" s="52">
        <v>87.681336789389675</v>
      </c>
      <c r="Q172" s="52">
        <v>0</v>
      </c>
      <c r="R172" s="52">
        <v>81.573109472960539</v>
      </c>
      <c r="S172" s="52">
        <v>0.3032110564288093</v>
      </c>
      <c r="T172" s="52">
        <v>48.597595043729982</v>
      </c>
      <c r="U172" s="52">
        <v>0</v>
      </c>
      <c r="V172" s="53">
        <v>77.967554286995352</v>
      </c>
      <c r="W172" s="52">
        <v>0.35031860541969717</v>
      </c>
      <c r="X172" s="53">
        <v>65.830986050416939</v>
      </c>
      <c r="Y172" s="52">
        <v>0.30576874251773134</v>
      </c>
    </row>
    <row r="173" spans="1:25" ht="14.45" customHeight="1">
      <c r="A173" s="51" t="s">
        <v>13</v>
      </c>
      <c r="B173" s="52">
        <v>62.085013784942262</v>
      </c>
      <c r="C173" s="52">
        <v>-1.1072241854359732</v>
      </c>
      <c r="D173" s="52">
        <v>49.501277691142917</v>
      </c>
      <c r="E173" s="52">
        <v>0.72717803032582573</v>
      </c>
      <c r="F173" s="52">
        <v>111.65606148626823</v>
      </c>
      <c r="G173" s="52">
        <v>0.85864178505754563</v>
      </c>
      <c r="H173" s="52">
        <v>65.038940935787707</v>
      </c>
      <c r="I173" s="52">
        <v>-1.6611464470649984</v>
      </c>
      <c r="J173" s="52">
        <v>76.165810153805836</v>
      </c>
      <c r="K173" s="52">
        <v>0.50862964515498987</v>
      </c>
      <c r="L173" s="52">
        <v>61.595768375035327</v>
      </c>
      <c r="M173" s="52">
        <v>0.58161396059368542</v>
      </c>
      <c r="N173" s="52">
        <v>64.653788586459896</v>
      </c>
      <c r="O173" s="52">
        <v>-11.721244368802086</v>
      </c>
      <c r="P173" s="52">
        <v>87.681336789389675</v>
      </c>
      <c r="Q173" s="52">
        <v>0</v>
      </c>
      <c r="R173" s="52">
        <v>81.812457625338737</v>
      </c>
      <c r="S173" s="52">
        <v>0.29341550656167836</v>
      </c>
      <c r="T173" s="52">
        <v>48.597595043729982</v>
      </c>
      <c r="U173" s="52">
        <v>0</v>
      </c>
      <c r="V173" s="53">
        <v>77.964466560845906</v>
      </c>
      <c r="W173" s="52">
        <v>-3.9602706249808328E-3</v>
      </c>
      <c r="X173" s="53">
        <v>66.045881212486165</v>
      </c>
      <c r="Y173" s="52">
        <v>0.32643466999666693</v>
      </c>
    </row>
    <row r="174" spans="1:25" ht="14.45" customHeight="1">
      <c r="A174" s="51" t="s">
        <v>14</v>
      </c>
      <c r="B174" s="52">
        <v>61.93214656380966</v>
      </c>
      <c r="C174" s="52">
        <v>-0.24622241635013919</v>
      </c>
      <c r="D174" s="52">
        <v>49.829140276149523</v>
      </c>
      <c r="E174" s="52">
        <v>0.66233156051498376</v>
      </c>
      <c r="F174" s="52">
        <v>112.26329548144923</v>
      </c>
      <c r="G174" s="52">
        <v>0.54384328723227071</v>
      </c>
      <c r="H174" s="52">
        <v>64.525589610359091</v>
      </c>
      <c r="I174" s="52">
        <v>-0.78929840806516438</v>
      </c>
      <c r="J174" s="52">
        <v>76.369933798038986</v>
      </c>
      <c r="K174" s="52">
        <v>0.26799904553098663</v>
      </c>
      <c r="L174" s="52">
        <v>62.060254375838078</v>
      </c>
      <c r="M174" s="52">
        <v>0.75408751778962557</v>
      </c>
      <c r="N174" s="52">
        <v>60.75291049524391</v>
      </c>
      <c r="O174" s="52">
        <v>-6.0334872503247645</v>
      </c>
      <c r="P174" s="52">
        <v>87.681336789389675</v>
      </c>
      <c r="Q174" s="52">
        <v>0</v>
      </c>
      <c r="R174" s="52">
        <v>82.16423434906288</v>
      </c>
      <c r="S174" s="52">
        <v>0.42997941136926343</v>
      </c>
      <c r="T174" s="52">
        <v>48.597595043729982</v>
      </c>
      <c r="U174" s="52">
        <v>0</v>
      </c>
      <c r="V174" s="53">
        <v>78.018692119263278</v>
      </c>
      <c r="W174" s="52">
        <v>6.9551631415376569E-2</v>
      </c>
      <c r="X174" s="53">
        <v>66.326816768268728</v>
      </c>
      <c r="Y174" s="52">
        <v>0.42536423259873501</v>
      </c>
    </row>
    <row r="175" spans="1:25" ht="5.0999999999999996" customHeight="1">
      <c r="A175" s="5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3"/>
      <c r="R175" s="52"/>
      <c r="S175" s="53"/>
      <c r="T175" s="52"/>
      <c r="U175" s="53"/>
      <c r="V175" s="52"/>
      <c r="W175" s="53"/>
      <c r="X175" s="53"/>
      <c r="Y175" s="52"/>
    </row>
    <row r="176" spans="1:25" ht="14.1" customHeight="1">
      <c r="A176" s="51">
        <v>2009</v>
      </c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238"/>
      <c r="X176" s="238"/>
    </row>
    <row r="177" spans="1:25" ht="14.45" customHeight="1">
      <c r="A177" s="51" t="s">
        <v>3</v>
      </c>
      <c r="B177" s="52">
        <v>62.429247319569562</v>
      </c>
      <c r="C177" s="52">
        <v>0.80265384512021587</v>
      </c>
      <c r="D177" s="52">
        <v>51.147240375548648</v>
      </c>
      <c r="E177" s="52">
        <v>2.6452394965963855</v>
      </c>
      <c r="F177" s="52">
        <v>112.83233681182877</v>
      </c>
      <c r="G177" s="52">
        <v>0.50688101390499174</v>
      </c>
      <c r="H177" s="52">
        <v>64.723062735651084</v>
      </c>
      <c r="I177" s="52">
        <v>0.30603846703989301</v>
      </c>
      <c r="J177" s="52">
        <v>76.714374802789735</v>
      </c>
      <c r="K177" s="52">
        <v>0.45101650298875473</v>
      </c>
      <c r="L177" s="52">
        <v>62.380596063320077</v>
      </c>
      <c r="M177" s="52">
        <v>0.5161784957277149</v>
      </c>
      <c r="N177" s="52">
        <v>60.225195936880866</v>
      </c>
      <c r="O177" s="52">
        <v>-0.86862432443357562</v>
      </c>
      <c r="P177" s="52">
        <v>87.681336789389675</v>
      </c>
      <c r="Q177" s="52">
        <v>0</v>
      </c>
      <c r="R177" s="52">
        <v>82.474261447253809</v>
      </c>
      <c r="S177" s="52">
        <v>0.37732609650305005</v>
      </c>
      <c r="T177" s="53">
        <v>48.880689319371328</v>
      </c>
      <c r="U177" s="52">
        <v>0.58252733573875837</v>
      </c>
      <c r="V177" s="53">
        <v>78.000612834856184</v>
      </c>
      <c r="W177" s="52">
        <v>-2.3173016511812694E-2</v>
      </c>
      <c r="X177" s="53">
        <v>66.466107597529813</v>
      </c>
      <c r="Y177" s="52">
        <v>0.21000680576566122</v>
      </c>
    </row>
    <row r="178" spans="1:25" ht="14.45" customHeight="1">
      <c r="A178" s="51" t="s">
        <v>4</v>
      </c>
      <c r="B178" s="52">
        <v>62.259915918274224</v>
      </c>
      <c r="C178" s="52">
        <v>-0.2712372943222352</v>
      </c>
      <c r="D178" s="52">
        <v>51.446497687325611</v>
      </c>
      <c r="E178" s="52">
        <v>0.58508984957872379</v>
      </c>
      <c r="F178" s="52">
        <v>113.11491400567118</v>
      </c>
      <c r="G178" s="52">
        <v>0.25043990209443479</v>
      </c>
      <c r="H178" s="52">
        <v>65.206974495677699</v>
      </c>
      <c r="I178" s="52">
        <v>0.74766511282549075</v>
      </c>
      <c r="J178" s="52">
        <v>76.855184896734713</v>
      </c>
      <c r="K178" s="52">
        <v>0.18355111973076266</v>
      </c>
      <c r="L178" s="52">
        <v>62.67553685202386</v>
      </c>
      <c r="M178" s="52">
        <v>0.47280854515143744</v>
      </c>
      <c r="N178" s="52">
        <v>60.897105347799297</v>
      </c>
      <c r="O178" s="52">
        <v>1.1156616437124178</v>
      </c>
      <c r="P178" s="52">
        <v>87.681336789389675</v>
      </c>
      <c r="Q178" s="52">
        <v>0</v>
      </c>
      <c r="R178" s="52">
        <v>82.473325937601146</v>
      </c>
      <c r="S178" s="52">
        <v>-1.1343049774015235E-3</v>
      </c>
      <c r="T178" s="53">
        <v>48.880689319371328</v>
      </c>
      <c r="U178" s="52">
        <v>0</v>
      </c>
      <c r="V178" s="53">
        <v>78.042444559146844</v>
      </c>
      <c r="W178" s="52">
        <v>5.3629994394044367E-2</v>
      </c>
      <c r="X178" s="53">
        <v>66.689835661500851</v>
      </c>
      <c r="Y178" s="52">
        <v>0.33660473293513071</v>
      </c>
    </row>
    <row r="179" spans="1:25" ht="14.45" customHeight="1">
      <c r="A179" s="51" t="s">
        <v>5</v>
      </c>
      <c r="B179" s="52">
        <v>62.127170293719189</v>
      </c>
      <c r="C179" s="52">
        <v>-0.2132120202816945</v>
      </c>
      <c r="D179" s="52">
        <v>51.748072270861492</v>
      </c>
      <c r="E179" s="52">
        <v>0.58619069731189466</v>
      </c>
      <c r="F179" s="52">
        <v>113.60301983333886</v>
      </c>
      <c r="G179" s="52">
        <v>0.43151323762948834</v>
      </c>
      <c r="H179" s="52">
        <v>64.99260323333263</v>
      </c>
      <c r="I179" s="52">
        <v>-0.32875511247539846</v>
      </c>
      <c r="J179" s="52">
        <v>77.11875096455195</v>
      </c>
      <c r="K179" s="52">
        <v>0.34293856448510684</v>
      </c>
      <c r="L179" s="52">
        <v>62.873315218603523</v>
      </c>
      <c r="M179" s="52">
        <v>0.31555911048135599</v>
      </c>
      <c r="N179" s="52">
        <v>61.294401918853559</v>
      </c>
      <c r="O179" s="52">
        <v>0.65240633160672523</v>
      </c>
      <c r="P179" s="52">
        <v>87.681336789389675</v>
      </c>
      <c r="Q179" s="52">
        <v>0</v>
      </c>
      <c r="R179" s="52">
        <v>82.552693975400828</v>
      </c>
      <c r="S179" s="52">
        <v>9.6234797005445571E-2</v>
      </c>
      <c r="T179" s="53">
        <v>49.005218190801742</v>
      </c>
      <c r="U179" s="52">
        <v>0.25476087421103522</v>
      </c>
      <c r="V179" s="53">
        <v>78.000973068378187</v>
      </c>
      <c r="W179" s="52">
        <v>-5.3139661376477854E-2</v>
      </c>
      <c r="X179" s="53">
        <v>67.106922700824626</v>
      </c>
      <c r="Y179" s="52">
        <v>0.62541320605555839</v>
      </c>
    </row>
    <row r="180" spans="1:25" ht="14.45" customHeight="1">
      <c r="A180" s="51" t="s">
        <v>6</v>
      </c>
      <c r="B180" s="52">
        <v>61.312784197243559</v>
      </c>
      <c r="C180" s="52">
        <v>-1.3108372594879958</v>
      </c>
      <c r="D180" s="52">
        <v>51.630561903109076</v>
      </c>
      <c r="E180" s="52">
        <v>-0.22708163337435971</v>
      </c>
      <c r="F180" s="52">
        <v>113.78720575303761</v>
      </c>
      <c r="G180" s="52">
        <v>0.16213118275285598</v>
      </c>
      <c r="H180" s="52">
        <v>65.565926222764915</v>
      </c>
      <c r="I180" s="52">
        <v>0.8821357522393436</v>
      </c>
      <c r="J180" s="52">
        <v>77.197750156863961</v>
      </c>
      <c r="K180" s="52">
        <v>0.1024383711145882</v>
      </c>
      <c r="L180" s="52">
        <v>63.086607905446428</v>
      </c>
      <c r="M180" s="52">
        <v>0.33924199177555181</v>
      </c>
      <c r="N180" s="52">
        <v>62.515409048320997</v>
      </c>
      <c r="O180" s="52">
        <v>1.99203694178125</v>
      </c>
      <c r="P180" s="52">
        <v>87.78708609284827</v>
      </c>
      <c r="Q180" s="52">
        <v>0.12060639964077691</v>
      </c>
      <c r="R180" s="52">
        <v>82.463298656930775</v>
      </c>
      <c r="S180" s="52">
        <v>-0.10828879611936015</v>
      </c>
      <c r="T180" s="53">
        <v>49.005218190801742</v>
      </c>
      <c r="U180" s="52">
        <v>0</v>
      </c>
      <c r="V180" s="53">
        <v>77.674880344164151</v>
      </c>
      <c r="W180" s="52">
        <v>-0.41806237971950821</v>
      </c>
      <c r="X180" s="53">
        <v>67.403464501671053</v>
      </c>
      <c r="Y180" s="52">
        <v>0.44189450046527856</v>
      </c>
    </row>
    <row r="181" spans="1:25" ht="14.45" customHeight="1">
      <c r="A181" s="51" t="s">
        <v>7</v>
      </c>
      <c r="B181" s="52">
        <v>60.035411820353069</v>
      </c>
      <c r="C181" s="52">
        <v>-2.0833703665799508</v>
      </c>
      <c r="D181" s="52">
        <v>51.665089863758041</v>
      </c>
      <c r="E181" s="52">
        <v>6.6875043339176266E-2</v>
      </c>
      <c r="F181" s="52">
        <v>114.14380040827623</v>
      </c>
      <c r="G181" s="52">
        <v>0.3133873029737444</v>
      </c>
      <c r="H181" s="52">
        <v>65.876439983079678</v>
      </c>
      <c r="I181" s="52">
        <v>0.47359013774894709</v>
      </c>
      <c r="J181" s="52">
        <v>77.231740135021951</v>
      </c>
      <c r="K181" s="52">
        <v>4.402975227766337E-2</v>
      </c>
      <c r="L181" s="52">
        <v>63.309417220617227</v>
      </c>
      <c r="M181" s="52">
        <v>0.3531800528960849</v>
      </c>
      <c r="N181" s="52">
        <v>64.195180811027328</v>
      </c>
      <c r="O181" s="52">
        <v>2.6869723613388796</v>
      </c>
      <c r="P181" s="52">
        <v>87.78708609284827</v>
      </c>
      <c r="Q181" s="52">
        <v>0</v>
      </c>
      <c r="R181" s="52">
        <v>82.37705112212781</v>
      </c>
      <c r="S181" s="52">
        <v>-0.10458899438618996</v>
      </c>
      <c r="T181" s="53">
        <v>49.317253709885179</v>
      </c>
      <c r="U181" s="52">
        <v>0.63673937307764383</v>
      </c>
      <c r="V181" s="53">
        <v>77.477277433000651</v>
      </c>
      <c r="W181" s="52">
        <v>-0.25439744520745489</v>
      </c>
      <c r="X181" s="53">
        <v>67.760535068202557</v>
      </c>
      <c r="Y181" s="52">
        <v>0.52975105830450619</v>
      </c>
    </row>
    <row r="182" spans="1:25" ht="14.45" customHeight="1">
      <c r="A182" s="51" t="s">
        <v>8</v>
      </c>
      <c r="B182" s="52">
        <v>60.477608795951518</v>
      </c>
      <c r="C182" s="52">
        <v>0.73656024368027317</v>
      </c>
      <c r="D182" s="52">
        <v>51.756380622107152</v>
      </c>
      <c r="E182" s="52">
        <v>0.17669718293309433</v>
      </c>
      <c r="F182" s="52">
        <v>114.31503088243132</v>
      </c>
      <c r="G182" s="52">
        <v>0.15001294292165124</v>
      </c>
      <c r="H182" s="52">
        <v>69.794396339050863</v>
      </c>
      <c r="I182" s="52">
        <v>5.9474318238470492</v>
      </c>
      <c r="J182" s="52">
        <v>77.284937083739521</v>
      </c>
      <c r="K182" s="52">
        <v>6.8879645369346321E-2</v>
      </c>
      <c r="L182" s="52">
        <v>63.799511581077603</v>
      </c>
      <c r="M182" s="52">
        <v>0.77412552820146363</v>
      </c>
      <c r="N182" s="52">
        <v>68.442851782804368</v>
      </c>
      <c r="O182" s="52">
        <v>6.6168066171212958</v>
      </c>
      <c r="P182" s="52">
        <v>87.858592643321998</v>
      </c>
      <c r="Q182" s="52">
        <v>8.145452099650452E-2</v>
      </c>
      <c r="R182" s="52">
        <v>82.186819353654897</v>
      </c>
      <c r="S182" s="52">
        <v>-0.23092811150873249</v>
      </c>
      <c r="T182" s="53">
        <v>49.317253709885179</v>
      </c>
      <c r="U182" s="52">
        <v>0</v>
      </c>
      <c r="V182" s="53">
        <v>75.817075019343591</v>
      </c>
      <c r="W182" s="52">
        <v>-2.1428249270797339</v>
      </c>
      <c r="X182" s="53">
        <v>67.923138072172137</v>
      </c>
      <c r="Y182" s="52">
        <v>0.23996711921756564</v>
      </c>
    </row>
    <row r="183" spans="1:25" ht="14.45" customHeight="1">
      <c r="A183" s="51" t="s">
        <v>9</v>
      </c>
      <c r="B183" s="52">
        <v>60.988818957598568</v>
      </c>
      <c r="C183" s="52">
        <v>0.84528831715526831</v>
      </c>
      <c r="D183" s="52">
        <v>51.821978405221195</v>
      </c>
      <c r="E183" s="52">
        <v>0.12674337410298886</v>
      </c>
      <c r="F183" s="52">
        <v>114.95919948175789</v>
      </c>
      <c r="G183" s="52">
        <v>0.56350297450304954</v>
      </c>
      <c r="H183" s="52">
        <v>71.194018228254265</v>
      </c>
      <c r="I183" s="52">
        <v>2.0053499458670743</v>
      </c>
      <c r="J183" s="52">
        <v>77.267213928589442</v>
      </c>
      <c r="K183" s="52">
        <v>-2.2932224336125184E-2</v>
      </c>
      <c r="L183" s="52">
        <v>64.057971116105136</v>
      </c>
      <c r="M183" s="52">
        <v>0.40511209039442164</v>
      </c>
      <c r="N183" s="52">
        <v>67.289684598007682</v>
      </c>
      <c r="O183" s="52">
        <v>-1.6848613913051591</v>
      </c>
      <c r="P183" s="52">
        <v>87.858592643321998</v>
      </c>
      <c r="Q183" s="52">
        <v>0</v>
      </c>
      <c r="R183" s="52">
        <v>82.197158542974606</v>
      </c>
      <c r="S183" s="52">
        <v>1.2580106397863666E-2</v>
      </c>
      <c r="T183" s="53">
        <v>49.317253709885179</v>
      </c>
      <c r="U183" s="52">
        <v>0</v>
      </c>
      <c r="V183" s="53">
        <v>76.219233350242845</v>
      </c>
      <c r="W183" s="52">
        <v>0.53043240034866823</v>
      </c>
      <c r="X183" s="53">
        <v>68.138127101379865</v>
      </c>
      <c r="Y183" s="52">
        <v>0.31651810459536467</v>
      </c>
    </row>
    <row r="184" spans="1:25" ht="14.45" customHeight="1">
      <c r="A184" s="51" t="s">
        <v>10</v>
      </c>
      <c r="B184" s="52">
        <v>61.129563077174403</v>
      </c>
      <c r="C184" s="52">
        <v>0.2307703641116321</v>
      </c>
      <c r="D184" s="52">
        <v>52.045446052100544</v>
      </c>
      <c r="E184" s="52">
        <v>0.4312217590998646</v>
      </c>
      <c r="F184" s="52">
        <v>115.38520545090425</v>
      </c>
      <c r="G184" s="52">
        <v>0.37057144714542911</v>
      </c>
      <c r="H184" s="52">
        <v>72.134295759488992</v>
      </c>
      <c r="I184" s="52">
        <v>1.3207254691259607</v>
      </c>
      <c r="J184" s="52">
        <v>77.493210012109301</v>
      </c>
      <c r="K184" s="52">
        <v>0.29248638850718489</v>
      </c>
      <c r="L184" s="52">
        <v>64.320174043080499</v>
      </c>
      <c r="M184" s="52">
        <v>0.40932131069233435</v>
      </c>
      <c r="N184" s="52">
        <v>68.846874477705072</v>
      </c>
      <c r="O184" s="52">
        <v>2.3141583869803029</v>
      </c>
      <c r="P184" s="52">
        <v>87.858592643321998</v>
      </c>
      <c r="Q184" s="52">
        <v>0</v>
      </c>
      <c r="R184" s="52">
        <v>82.865904194384427</v>
      </c>
      <c r="S184" s="52">
        <v>0.81358731039367083</v>
      </c>
      <c r="T184" s="53">
        <v>49.927006403825466</v>
      </c>
      <c r="U184" s="52">
        <v>1.2363881766962015</v>
      </c>
      <c r="V184" s="53">
        <v>75.695397603334001</v>
      </c>
      <c r="W184" s="52">
        <v>-0.68727501430211335</v>
      </c>
      <c r="X184" s="53">
        <v>68.498523797005802</v>
      </c>
      <c r="Y184" s="52">
        <v>0.52892075399977312</v>
      </c>
    </row>
    <row r="185" spans="1:25" ht="14.45" customHeight="1">
      <c r="A185" s="51" t="s">
        <v>11</v>
      </c>
      <c r="B185" s="52">
        <v>60.819045587214354</v>
      </c>
      <c r="C185" s="52">
        <v>-0.50796615308378312</v>
      </c>
      <c r="D185" s="52">
        <v>51.932982610639961</v>
      </c>
      <c r="E185" s="52">
        <v>-0.21608699702180267</v>
      </c>
      <c r="F185" s="52">
        <v>115.72999742789199</v>
      </c>
      <c r="G185" s="52">
        <v>0.29881818526071857</v>
      </c>
      <c r="H185" s="52">
        <v>72.667462744805249</v>
      </c>
      <c r="I185" s="52">
        <v>0.73913106061775924</v>
      </c>
      <c r="J185" s="52">
        <v>77.529759019248104</v>
      </c>
      <c r="K185" s="52">
        <v>4.7164141391342618E-2</v>
      </c>
      <c r="L185" s="52">
        <v>64.715733665900586</v>
      </c>
      <c r="M185" s="52">
        <v>0.61498531169263959</v>
      </c>
      <c r="N185" s="52">
        <v>68.255869890677729</v>
      </c>
      <c r="O185" s="52">
        <v>-0.85843343145334261</v>
      </c>
      <c r="P185" s="52">
        <v>87.858592643321998</v>
      </c>
      <c r="Q185" s="52">
        <v>0</v>
      </c>
      <c r="R185" s="52">
        <v>83.083776493984914</v>
      </c>
      <c r="S185" s="52">
        <v>0.26292152570908112</v>
      </c>
      <c r="T185" s="53">
        <v>53.398431895179051</v>
      </c>
      <c r="U185" s="52">
        <v>6.9530014743435453</v>
      </c>
      <c r="V185" s="53">
        <v>75.265596293484577</v>
      </c>
      <c r="W185" s="52">
        <v>-0.56780375486196188</v>
      </c>
      <c r="X185" s="53">
        <v>69.016470675751648</v>
      </c>
      <c r="Y185" s="52">
        <v>0.75614312547926943</v>
      </c>
    </row>
    <row r="186" spans="1:25" ht="14.45" customHeight="1">
      <c r="A186" s="51" t="s">
        <v>12</v>
      </c>
      <c r="B186" s="52">
        <v>60.955669970125825</v>
      </c>
      <c r="C186" s="52">
        <v>0.22464078742496785</v>
      </c>
      <c r="D186" s="52">
        <v>51.897693961968571</v>
      </c>
      <c r="E186" s="52">
        <v>-6.7950360055302195E-2</v>
      </c>
      <c r="F186" s="52">
        <v>116.04925609948752</v>
      </c>
      <c r="G186" s="52">
        <v>0.27586509867025821</v>
      </c>
      <c r="H186" s="52">
        <v>73.079258898448785</v>
      </c>
      <c r="I186" s="52">
        <v>0.56668574639751057</v>
      </c>
      <c r="J186" s="52">
        <v>77.602608174471698</v>
      </c>
      <c r="K186" s="52">
        <v>9.3962829428506645E-2</v>
      </c>
      <c r="L186" s="52">
        <v>64.847643842179423</v>
      </c>
      <c r="M186" s="52">
        <v>0.2038301488782146</v>
      </c>
      <c r="N186" s="52">
        <v>68.458889693025029</v>
      </c>
      <c r="O186" s="52">
        <v>0.29743933037915671</v>
      </c>
      <c r="P186" s="52">
        <v>87.858592643321998</v>
      </c>
      <c r="Q186" s="52">
        <v>0</v>
      </c>
      <c r="R186" s="52">
        <v>83.425256264444315</v>
      </c>
      <c r="S186" s="52">
        <v>0.4110065585236411</v>
      </c>
      <c r="T186" s="53">
        <v>53.398431895179051</v>
      </c>
      <c r="U186" s="52">
        <v>0</v>
      </c>
      <c r="V186" s="53">
        <v>75.12011648035174</v>
      </c>
      <c r="W186" s="52">
        <v>-0.19328859438721979</v>
      </c>
      <c r="X186" s="53">
        <v>69.442465754348035</v>
      </c>
      <c r="Y186" s="52">
        <v>0.6172368340852552</v>
      </c>
    </row>
    <row r="187" spans="1:25" ht="14.45" customHeight="1">
      <c r="A187" s="51" t="s">
        <v>13</v>
      </c>
      <c r="B187" s="52">
        <v>61.209939498684705</v>
      </c>
      <c r="C187" s="52">
        <v>0.41713843631527858</v>
      </c>
      <c r="D187" s="52">
        <v>52.16029280444247</v>
      </c>
      <c r="E187" s="52">
        <v>0.50599327720868281</v>
      </c>
      <c r="F187" s="52">
        <v>116.46177206482432</v>
      </c>
      <c r="G187" s="52">
        <v>0.35546627285845123</v>
      </c>
      <c r="H187" s="52">
        <v>73.988948441190374</v>
      </c>
      <c r="I187" s="52">
        <v>1.2447985330635181</v>
      </c>
      <c r="J187" s="52">
        <v>77.878960035330806</v>
      </c>
      <c r="K187" s="52">
        <v>0.35611156294874657</v>
      </c>
      <c r="L187" s="52">
        <v>65.063436365377299</v>
      </c>
      <c r="M187" s="52">
        <v>0.33276848689067773</v>
      </c>
      <c r="N187" s="52">
        <v>70.506249726598298</v>
      </c>
      <c r="O187" s="52">
        <v>2.990641599292343</v>
      </c>
      <c r="P187" s="52">
        <v>87.858592643321998</v>
      </c>
      <c r="Q187" s="52">
        <v>0</v>
      </c>
      <c r="R187" s="52">
        <v>83.804437254721506</v>
      </c>
      <c r="S187" s="52">
        <v>0.45451582321216488</v>
      </c>
      <c r="T187" s="53">
        <v>53.398431895179051</v>
      </c>
      <c r="U187" s="52">
        <v>0</v>
      </c>
      <c r="V187" s="53">
        <v>75.414745355315517</v>
      </c>
      <c r="W187" s="52">
        <v>0.3922103542542299</v>
      </c>
      <c r="X187" s="53">
        <v>69.845434770481617</v>
      </c>
      <c r="Y187" s="52">
        <v>0.58029191756969745</v>
      </c>
    </row>
    <row r="188" spans="1:25" ht="14.45" customHeight="1">
      <c r="A188" s="57" t="s">
        <v>14</v>
      </c>
      <c r="B188" s="58">
        <v>61.816309629517811</v>
      </c>
      <c r="C188" s="58">
        <v>0.99063997742740995</v>
      </c>
      <c r="D188" s="58">
        <v>52.362458416525961</v>
      </c>
      <c r="E188" s="58">
        <v>0.38758527073734506</v>
      </c>
      <c r="F188" s="58">
        <v>117.06929787194416</v>
      </c>
      <c r="G188" s="58">
        <v>0.5216525528923599</v>
      </c>
      <c r="H188" s="58">
        <v>74.507607534015165</v>
      </c>
      <c r="I188" s="58">
        <v>0.70099535640386623</v>
      </c>
      <c r="J188" s="58">
        <v>77.963700808605523</v>
      </c>
      <c r="K188" s="58">
        <v>0.10881086911826987</v>
      </c>
      <c r="L188" s="58">
        <v>65.327744729464996</v>
      </c>
      <c r="M188" s="58">
        <v>0.4062317929280912</v>
      </c>
      <c r="N188" s="58">
        <v>69.468313133547838</v>
      </c>
      <c r="O188" s="58">
        <v>-1.4721199852144484</v>
      </c>
      <c r="P188" s="58">
        <v>87.858592643321998</v>
      </c>
      <c r="Q188" s="58">
        <v>0</v>
      </c>
      <c r="R188" s="58">
        <v>84.1003492718107</v>
      </c>
      <c r="S188" s="58">
        <v>0.35309826875846717</v>
      </c>
      <c r="T188" s="58">
        <v>53.398431895179051</v>
      </c>
      <c r="U188" s="58">
        <v>0</v>
      </c>
      <c r="V188" s="59">
        <v>75.659877733170305</v>
      </c>
      <c r="W188" s="58">
        <v>0.32504568794848865</v>
      </c>
      <c r="X188" s="59">
        <v>70.232918935636732</v>
      </c>
      <c r="Y188" s="58">
        <v>0.55477378933701527</v>
      </c>
    </row>
    <row r="189" spans="1:25" ht="5.0999999999999996" customHeight="1">
      <c r="A189" s="5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3"/>
      <c r="U189" s="52"/>
      <c r="V189" s="53"/>
      <c r="W189" s="52"/>
      <c r="X189" s="53"/>
      <c r="Y189" s="52"/>
    </row>
    <row r="190" spans="1:25" ht="14.1" customHeight="1">
      <c r="A190" s="51">
        <v>2010</v>
      </c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</row>
    <row r="191" spans="1:25" ht="14.45" customHeight="1">
      <c r="A191" s="51" t="s">
        <v>3</v>
      </c>
      <c r="B191" s="52">
        <v>62.15358251414618</v>
      </c>
      <c r="C191" s="52">
        <v>0.54560501370874981</v>
      </c>
      <c r="D191" s="52">
        <v>53.179820568484615</v>
      </c>
      <c r="E191" s="52">
        <v>1.5609697800221811</v>
      </c>
      <c r="F191" s="52">
        <v>117.61752479908839</v>
      </c>
      <c r="G191" s="52">
        <v>0.46829265837393663</v>
      </c>
      <c r="H191" s="52">
        <v>75.490515370850815</v>
      </c>
      <c r="I191" s="52">
        <v>1.3192046683111025</v>
      </c>
      <c r="J191" s="52">
        <v>78.072580413764868</v>
      </c>
      <c r="K191" s="52">
        <v>0.13965422886559331</v>
      </c>
      <c r="L191" s="52">
        <v>65.510091089519605</v>
      </c>
      <c r="M191" s="52">
        <v>0.27912544786252713</v>
      </c>
      <c r="N191" s="52">
        <v>72.449400463313083</v>
      </c>
      <c r="O191" s="52">
        <v>4.2912907990644955</v>
      </c>
      <c r="P191" s="52">
        <v>87.858592643321998</v>
      </c>
      <c r="Q191" s="52">
        <v>0</v>
      </c>
      <c r="R191" s="53">
        <v>84.061998090488757</v>
      </c>
      <c r="S191" s="52">
        <v>-4.5601690901408976E-2</v>
      </c>
      <c r="T191" s="53">
        <v>53.655642100981325</v>
      </c>
      <c r="U191" s="52">
        <v>0.48168119675719989</v>
      </c>
      <c r="V191" s="53">
        <v>74.463826238250618</v>
      </c>
      <c r="W191" s="52">
        <v>-1.5808266293236728</v>
      </c>
      <c r="X191" s="53">
        <v>70.359701947570287</v>
      </c>
      <c r="Y191" s="52">
        <v>0.18051793070104072</v>
      </c>
    </row>
    <row r="192" spans="1:25" ht="14.45" customHeight="1">
      <c r="A192" s="51" t="s">
        <v>4</v>
      </c>
      <c r="B192" s="52">
        <v>62.73807118298059</v>
      </c>
      <c r="C192" s="52">
        <v>0.94039417390201496</v>
      </c>
      <c r="D192" s="52">
        <v>54.272367308758895</v>
      </c>
      <c r="E192" s="52">
        <v>2.0544385607080162</v>
      </c>
      <c r="F192" s="52">
        <v>118.10844246900555</v>
      </c>
      <c r="G192" s="52">
        <v>0.41738479937896145</v>
      </c>
      <c r="H192" s="52">
        <v>75.633968422105497</v>
      </c>
      <c r="I192" s="52">
        <v>0.19002791350670734</v>
      </c>
      <c r="J192" s="52">
        <v>78.175954664253638</v>
      </c>
      <c r="K192" s="52">
        <v>0.13240788243569224</v>
      </c>
      <c r="L192" s="52">
        <v>65.655572605941813</v>
      </c>
      <c r="M192" s="52">
        <v>0.22207497196640169</v>
      </c>
      <c r="N192" s="52">
        <v>71.663073912418568</v>
      </c>
      <c r="O192" s="52">
        <v>-1.0853458356673285</v>
      </c>
      <c r="P192" s="52">
        <v>87.858592643321998</v>
      </c>
      <c r="Q192" s="52">
        <v>0</v>
      </c>
      <c r="R192" s="53">
        <v>84.302595303929905</v>
      </c>
      <c r="S192" s="52">
        <v>0.28621400740695968</v>
      </c>
      <c r="T192" s="53">
        <v>53.655642100981325</v>
      </c>
      <c r="U192" s="52">
        <v>0</v>
      </c>
      <c r="V192" s="53">
        <v>74.496633641725751</v>
      </c>
      <c r="W192" s="52">
        <v>4.4058175804928545E-2</v>
      </c>
      <c r="X192" s="53">
        <v>70.602082144313513</v>
      </c>
      <c r="Y192" s="52">
        <v>0.34448724203499648</v>
      </c>
    </row>
    <row r="193" spans="1:25" ht="14.45" customHeight="1">
      <c r="A193" s="51" t="s">
        <v>5</v>
      </c>
      <c r="B193" s="52">
        <v>63.402722590458488</v>
      </c>
      <c r="C193" s="52">
        <v>1.0594068241903454</v>
      </c>
      <c r="D193" s="52">
        <v>54.418146943406384</v>
      </c>
      <c r="E193" s="52">
        <v>0.26860747351988845</v>
      </c>
      <c r="F193" s="52">
        <v>118.51107649456165</v>
      </c>
      <c r="G193" s="52">
        <v>0.34090198561524954</v>
      </c>
      <c r="H193" s="52">
        <v>75.718649396617295</v>
      </c>
      <c r="I193" s="52">
        <v>0.111961564728702</v>
      </c>
      <c r="J193" s="52">
        <v>78.345615714811444</v>
      </c>
      <c r="K193" s="52">
        <v>0.21702459699590726</v>
      </c>
      <c r="L193" s="52">
        <v>65.910259717162248</v>
      </c>
      <c r="M193" s="52">
        <v>0.38791392887400633</v>
      </c>
      <c r="N193" s="52">
        <v>73.200072483361112</v>
      </c>
      <c r="O193" s="52">
        <v>2.1447566885296476</v>
      </c>
      <c r="P193" s="52">
        <v>87.719005242492599</v>
      </c>
      <c r="Q193" s="52">
        <v>-0.1588773466883131</v>
      </c>
      <c r="R193" s="53">
        <v>84.261670602229003</v>
      </c>
      <c r="S193" s="52">
        <v>-4.8545008078781926E-2</v>
      </c>
      <c r="T193" s="53">
        <v>53.655642100981325</v>
      </c>
      <c r="U193" s="52">
        <v>0</v>
      </c>
      <c r="V193" s="53">
        <v>74.3308790072211</v>
      </c>
      <c r="W193" s="52">
        <v>-0.22249949615416043</v>
      </c>
      <c r="X193" s="53">
        <v>70.808616588445233</v>
      </c>
      <c r="Y193" s="52">
        <v>0.29253307814569585</v>
      </c>
    </row>
    <row r="194" spans="1:25" ht="14.45" customHeight="1">
      <c r="A194" s="51" t="s">
        <v>6</v>
      </c>
      <c r="B194" s="52">
        <v>63.499609913759627</v>
      </c>
      <c r="C194" s="52">
        <v>0.15281255968606633</v>
      </c>
      <c r="D194" s="52">
        <v>54.157143889674764</v>
      </c>
      <c r="E194" s="52">
        <v>-0.47962503023680769</v>
      </c>
      <c r="F194" s="52">
        <v>118.76725163829069</v>
      </c>
      <c r="G194" s="52">
        <v>0.21616135074158382</v>
      </c>
      <c r="H194" s="52">
        <v>75.717641281629497</v>
      </c>
      <c r="I194" s="52">
        <v>-1.3313958923344416E-3</v>
      </c>
      <c r="J194" s="52">
        <v>78.415562501394859</v>
      </c>
      <c r="K194" s="52">
        <v>8.9279771363370841E-2</v>
      </c>
      <c r="L194" s="52">
        <v>66.323988519659778</v>
      </c>
      <c r="M194" s="52">
        <v>0.62771532728431723</v>
      </c>
      <c r="N194" s="52">
        <v>73.903209666129214</v>
      </c>
      <c r="O194" s="52">
        <v>0.9605689706494891</v>
      </c>
      <c r="P194" s="52">
        <v>87.719005242492599</v>
      </c>
      <c r="Q194" s="52">
        <v>0</v>
      </c>
      <c r="R194" s="53">
        <v>84.434324281614195</v>
      </c>
      <c r="S194" s="52">
        <v>0.20490179953853715</v>
      </c>
      <c r="T194" s="53">
        <v>53.655642100981325</v>
      </c>
      <c r="U194" s="52">
        <v>0</v>
      </c>
      <c r="V194" s="53">
        <v>74.794055960329047</v>
      </c>
      <c r="W194" s="52">
        <v>0.62312858302528973</v>
      </c>
      <c r="X194" s="53">
        <v>71.025225133433679</v>
      </c>
      <c r="Y194" s="52">
        <v>0.30590704270840874</v>
      </c>
    </row>
    <row r="195" spans="1:25" ht="14.45" customHeight="1">
      <c r="A195" s="51" t="s">
        <v>7</v>
      </c>
      <c r="B195" s="52">
        <v>63.544701869040061</v>
      </c>
      <c r="C195" s="52">
        <v>7.1011389426911542E-2</v>
      </c>
      <c r="D195" s="52">
        <v>54.524404414930608</v>
      </c>
      <c r="E195" s="52">
        <v>0.67813865148429464</v>
      </c>
      <c r="F195" s="52">
        <v>119.35308083252211</v>
      </c>
      <c r="G195" s="52">
        <v>0.49325818872663074</v>
      </c>
      <c r="H195" s="52">
        <v>75.956868224733185</v>
      </c>
      <c r="I195" s="52">
        <v>0.31594611117624627</v>
      </c>
      <c r="J195" s="52">
        <v>78.477824886266035</v>
      </c>
      <c r="K195" s="52">
        <v>7.9400546122543325E-2</v>
      </c>
      <c r="L195" s="52">
        <v>66.625727382030746</v>
      </c>
      <c r="M195" s="52">
        <v>0.45494679844462205</v>
      </c>
      <c r="N195" s="52">
        <v>74.334223490865639</v>
      </c>
      <c r="O195" s="52">
        <v>0.58321394521780867</v>
      </c>
      <c r="P195" s="52">
        <v>87.719005242492599</v>
      </c>
      <c r="Q195" s="52">
        <v>0</v>
      </c>
      <c r="R195" s="53">
        <v>84.65931471436771</v>
      </c>
      <c r="S195" s="52">
        <v>0.26646797338378825</v>
      </c>
      <c r="T195" s="53">
        <v>54.363275884297899</v>
      </c>
      <c r="U195" s="52">
        <v>1.3188431926409283</v>
      </c>
      <c r="V195" s="53">
        <v>74.6859689845802</v>
      </c>
      <c r="W195" s="52">
        <v>-0.14451278829721304</v>
      </c>
      <c r="X195" s="53">
        <v>71.240699185138794</v>
      </c>
      <c r="Y195" s="52">
        <v>0.30337679507570492</v>
      </c>
    </row>
    <row r="196" spans="1:25" ht="14.45" customHeight="1">
      <c r="A196" s="51" t="s">
        <v>8</v>
      </c>
      <c r="B196" s="52">
        <v>63.722088869327351</v>
      </c>
      <c r="C196" s="52">
        <v>0.27915309234256558</v>
      </c>
      <c r="D196" s="52">
        <v>54.393934582072106</v>
      </c>
      <c r="E196" s="52">
        <v>-0.23928703900298887</v>
      </c>
      <c r="F196" s="52">
        <v>119.73690394099992</v>
      </c>
      <c r="G196" s="52">
        <v>0.32158625969311849</v>
      </c>
      <c r="H196" s="52">
        <v>75.900136301554767</v>
      </c>
      <c r="I196" s="52">
        <v>-7.468965546415518E-2</v>
      </c>
      <c r="J196" s="52">
        <v>78.533612837565826</v>
      </c>
      <c r="K196" s="52">
        <v>7.1087535084779496E-2</v>
      </c>
      <c r="L196" s="52">
        <v>66.872546858059621</v>
      </c>
      <c r="M196" s="52">
        <v>0.37045670753224069</v>
      </c>
      <c r="N196" s="52">
        <v>73.340226422209497</v>
      </c>
      <c r="O196" s="52">
        <v>-1.337199774177078</v>
      </c>
      <c r="P196" s="52">
        <v>87.719005242492599</v>
      </c>
      <c r="Q196" s="52">
        <v>0</v>
      </c>
      <c r="R196" s="53">
        <v>85.011574763756457</v>
      </c>
      <c r="S196" s="52">
        <v>0.41609130735023037</v>
      </c>
      <c r="T196" s="53">
        <v>54.363275884297899</v>
      </c>
      <c r="U196" s="52">
        <v>0</v>
      </c>
      <c r="V196" s="53">
        <v>75.121524628743217</v>
      </c>
      <c r="W196" s="52">
        <v>0.58318269158821323</v>
      </c>
      <c r="X196" s="53">
        <v>71.510168711453474</v>
      </c>
      <c r="Y196" s="52">
        <v>0.37825222014509219</v>
      </c>
    </row>
    <row r="197" spans="1:25" ht="14.45" customHeight="1">
      <c r="A197" s="51" t="s">
        <v>9</v>
      </c>
      <c r="B197" s="52">
        <v>63.75882283753301</v>
      </c>
      <c r="C197" s="52">
        <v>5.7647150081652221E-2</v>
      </c>
      <c r="D197" s="52">
        <v>54.433171801469534</v>
      </c>
      <c r="E197" s="52">
        <v>7.2135284382168763E-2</v>
      </c>
      <c r="F197" s="52">
        <v>120.25075205642193</v>
      </c>
      <c r="G197" s="52">
        <v>0.42914765499131313</v>
      </c>
      <c r="H197" s="52">
        <v>76.275371383383487</v>
      </c>
      <c r="I197" s="52">
        <v>0.49437998416483886</v>
      </c>
      <c r="J197" s="52">
        <v>78.638444325485196</v>
      </c>
      <c r="K197" s="52">
        <v>0.13348613941421839</v>
      </c>
      <c r="L197" s="52">
        <v>67.270365999859081</v>
      </c>
      <c r="M197" s="52">
        <v>0.59489156685454958</v>
      </c>
      <c r="N197" s="52">
        <v>73.945732501025162</v>
      </c>
      <c r="O197" s="52">
        <v>0.82561250265285047</v>
      </c>
      <c r="P197" s="52">
        <v>88.690505861037536</v>
      </c>
      <c r="Q197" s="52">
        <v>1.1075144045002538</v>
      </c>
      <c r="R197" s="53">
        <v>84.87859478599286</v>
      </c>
      <c r="S197" s="52">
        <v>-0.15642573159377893</v>
      </c>
      <c r="T197" s="53">
        <v>54.363275884297899</v>
      </c>
      <c r="U197" s="52">
        <v>0</v>
      </c>
      <c r="V197" s="53">
        <v>74.836531262693185</v>
      </c>
      <c r="W197" s="52">
        <v>-0.37937644031919016</v>
      </c>
      <c r="X197" s="53">
        <v>72.081697304993952</v>
      </c>
      <c r="Y197" s="52">
        <v>0.79922702440631266</v>
      </c>
    </row>
    <row r="198" spans="1:25" ht="14.45" customHeight="1">
      <c r="A198" s="51" t="s">
        <v>10</v>
      </c>
      <c r="B198" s="52">
        <v>64.143773368461083</v>
      </c>
      <c r="C198" s="52">
        <v>0.6037604111810202</v>
      </c>
      <c r="D198" s="52">
        <v>54.55438001325102</v>
      </c>
      <c r="E198" s="52">
        <v>0.22267343197188705</v>
      </c>
      <c r="F198" s="52">
        <v>120.74809671581743</v>
      </c>
      <c r="G198" s="52">
        <v>0.41358964571143186</v>
      </c>
      <c r="H198" s="52">
        <v>76.597815407786655</v>
      </c>
      <c r="I198" s="52">
        <v>0.4227367478585764</v>
      </c>
      <c r="J198" s="52">
        <v>78.964276755013955</v>
      </c>
      <c r="K198" s="52">
        <v>0.41434241524429538</v>
      </c>
      <c r="L198" s="52">
        <v>67.759551650981578</v>
      </c>
      <c r="M198" s="52">
        <v>0.72719338426598945</v>
      </c>
      <c r="N198" s="52">
        <v>73.336730856106925</v>
      </c>
      <c r="O198" s="52">
        <v>-0.82357916315156654</v>
      </c>
      <c r="P198" s="52">
        <v>88.690505861037536</v>
      </c>
      <c r="Q198" s="52">
        <v>0</v>
      </c>
      <c r="R198" s="53">
        <v>85.206543987990017</v>
      </c>
      <c r="S198" s="52">
        <v>0.38637444790881048</v>
      </c>
      <c r="T198" s="53">
        <v>55.222531598585569</v>
      </c>
      <c r="U198" s="52">
        <v>1.5805811925617475</v>
      </c>
      <c r="V198" s="53">
        <v>75.035075538231624</v>
      </c>
      <c r="W198" s="52">
        <v>0.26530395274668717</v>
      </c>
      <c r="X198" s="53">
        <v>72.592266574377632</v>
      </c>
      <c r="Y198" s="52">
        <v>0.70832026502281042</v>
      </c>
    </row>
    <row r="199" spans="1:25" ht="14.45" customHeight="1">
      <c r="A199" s="51" t="s">
        <v>11</v>
      </c>
      <c r="B199" s="52">
        <v>64.491058843750039</v>
      </c>
      <c r="C199" s="52">
        <v>0.54141728347356644</v>
      </c>
      <c r="D199" s="52">
        <v>54.817927425463083</v>
      </c>
      <c r="E199" s="52">
        <v>0.48309120578045039</v>
      </c>
      <c r="F199" s="52">
        <v>121.20225996809543</v>
      </c>
      <c r="G199" s="52">
        <v>0.37612456397295713</v>
      </c>
      <c r="H199" s="52">
        <v>77.209403122816241</v>
      </c>
      <c r="I199" s="52">
        <v>0.79844015364360921</v>
      </c>
      <c r="J199" s="52">
        <v>79.25052562419755</v>
      </c>
      <c r="K199" s="52">
        <v>0.36250426261952295</v>
      </c>
      <c r="L199" s="52">
        <v>68.006498460356042</v>
      </c>
      <c r="M199" s="52">
        <v>0.36444575466858531</v>
      </c>
      <c r="N199" s="52">
        <v>73.606121294976631</v>
      </c>
      <c r="O199" s="52">
        <v>0.36733357994682692</v>
      </c>
      <c r="P199" s="52">
        <v>89.272506734415202</v>
      </c>
      <c r="Q199" s="52">
        <v>0.65621553031793844</v>
      </c>
      <c r="R199" s="53">
        <v>86.282244064293138</v>
      </c>
      <c r="S199" s="52">
        <v>1.2624618086314543</v>
      </c>
      <c r="T199" s="53">
        <v>58.180413473534131</v>
      </c>
      <c r="U199" s="52">
        <v>5.3562953188193152</v>
      </c>
      <c r="V199" s="53">
        <v>75.328312076817923</v>
      </c>
      <c r="W199" s="52">
        <v>0.39079928484497817</v>
      </c>
      <c r="X199" s="53">
        <v>72.953298463117008</v>
      </c>
      <c r="Y199" s="52">
        <v>0.49734208032954363</v>
      </c>
    </row>
    <row r="200" spans="1:25" ht="14.45" customHeight="1">
      <c r="A200" s="51" t="s">
        <v>12</v>
      </c>
      <c r="B200" s="52">
        <v>64.8644278433365</v>
      </c>
      <c r="C200" s="52">
        <v>0.57894692113997781</v>
      </c>
      <c r="D200" s="52">
        <v>54.714806947747533</v>
      </c>
      <c r="E200" s="52">
        <v>-0.18811451391657075</v>
      </c>
      <c r="F200" s="52">
        <v>121.64111002387607</v>
      </c>
      <c r="G200" s="52">
        <v>0.36208075319399402</v>
      </c>
      <c r="H200" s="52">
        <v>77.868647699411582</v>
      </c>
      <c r="I200" s="52">
        <v>0.85383975258388478</v>
      </c>
      <c r="J200" s="52">
        <v>79.321602944296387</v>
      </c>
      <c r="K200" s="52">
        <v>8.9686875309680225E-2</v>
      </c>
      <c r="L200" s="52">
        <v>68.356929370996454</v>
      </c>
      <c r="M200" s="52">
        <v>0.51529033044495076</v>
      </c>
      <c r="N200" s="52">
        <v>74.82154097274622</v>
      </c>
      <c r="O200" s="52">
        <v>1.6512480978297939</v>
      </c>
      <c r="P200" s="52">
        <v>89.272506734415202</v>
      </c>
      <c r="Q200" s="52">
        <v>0</v>
      </c>
      <c r="R200" s="53">
        <v>86.533665827976421</v>
      </c>
      <c r="S200" s="52">
        <v>0.29139455795323954</v>
      </c>
      <c r="T200" s="53">
        <v>58.180413473534131</v>
      </c>
      <c r="U200" s="52">
        <v>0</v>
      </c>
      <c r="V200" s="53">
        <v>75.069318009752394</v>
      </c>
      <c r="W200" s="52">
        <v>-0.34382035110704923</v>
      </c>
      <c r="X200" s="53">
        <v>73.244553034724376</v>
      </c>
      <c r="Y200" s="52">
        <v>0.39923427417694057</v>
      </c>
    </row>
    <row r="201" spans="1:25" ht="14.45" customHeight="1">
      <c r="A201" s="51" t="s">
        <v>13</v>
      </c>
      <c r="B201" s="52">
        <v>64.665219721943728</v>
      </c>
      <c r="C201" s="52">
        <v>-0.30711458963903482</v>
      </c>
      <c r="D201" s="52">
        <v>54.918166436023462</v>
      </c>
      <c r="E201" s="52">
        <v>0.37167176422669979</v>
      </c>
      <c r="F201" s="52">
        <v>122.14742716786319</v>
      </c>
      <c r="G201" s="52">
        <v>0.41623851006271639</v>
      </c>
      <c r="H201" s="52">
        <v>78.767582054895541</v>
      </c>
      <c r="I201" s="52">
        <v>1.154423997388565</v>
      </c>
      <c r="J201" s="52">
        <v>79.509038667422899</v>
      </c>
      <c r="K201" s="52">
        <v>0.23629845611936595</v>
      </c>
      <c r="L201" s="52">
        <v>68.875602323234801</v>
      </c>
      <c r="M201" s="52">
        <v>0.75877157884511881</v>
      </c>
      <c r="N201" s="52">
        <v>75.349483864289567</v>
      </c>
      <c r="O201" s="52">
        <v>0.70560280459293079</v>
      </c>
      <c r="P201" s="52">
        <v>89.441957605985039</v>
      </c>
      <c r="Q201" s="52">
        <v>0.18981305417349326</v>
      </c>
      <c r="R201" s="53">
        <v>86.82370431974347</v>
      </c>
      <c r="S201" s="52">
        <v>0.33517416486621432</v>
      </c>
      <c r="T201" s="53">
        <v>58.180413473534131</v>
      </c>
      <c r="U201" s="52">
        <v>0</v>
      </c>
      <c r="V201" s="53">
        <v>75.14175710611697</v>
      </c>
      <c r="W201" s="52">
        <v>9.6496276088675614E-2</v>
      </c>
      <c r="X201" s="53">
        <v>73.501422540224013</v>
      </c>
      <c r="Y201" s="52">
        <v>0.35070117142752544</v>
      </c>
    </row>
    <row r="202" spans="1:25" ht="14.45" customHeight="1">
      <c r="A202" s="51" t="s">
        <v>14</v>
      </c>
      <c r="B202" s="52">
        <v>65.234636977228291</v>
      </c>
      <c r="C202" s="52">
        <v>0.88056185030069845</v>
      </c>
      <c r="D202" s="52">
        <v>55.008098477486236</v>
      </c>
      <c r="E202" s="52">
        <v>0.1637564530992508</v>
      </c>
      <c r="F202" s="52">
        <v>122.77551903114188</v>
      </c>
      <c r="G202" s="52">
        <v>0.51420801718200515</v>
      </c>
      <c r="H202" s="52">
        <v>81.889049175101619</v>
      </c>
      <c r="I202" s="52">
        <v>3.9628830018301642</v>
      </c>
      <c r="J202" s="52">
        <v>79.782447349878652</v>
      </c>
      <c r="K202" s="52">
        <v>0.3438711963295038</v>
      </c>
      <c r="L202" s="52">
        <v>69.385185929648244</v>
      </c>
      <c r="M202" s="52">
        <v>0.7398608349324487</v>
      </c>
      <c r="N202" s="52">
        <v>76.006207748782444</v>
      </c>
      <c r="O202" s="52">
        <v>0.87157051490318604</v>
      </c>
      <c r="P202" s="52">
        <v>89.441957605985039</v>
      </c>
      <c r="Q202" s="52">
        <v>0</v>
      </c>
      <c r="R202" s="53">
        <v>86.852437248350896</v>
      </c>
      <c r="S202" s="52">
        <v>3.3093414790985598E-2</v>
      </c>
      <c r="T202" s="53">
        <v>58.180413473534131</v>
      </c>
      <c r="U202" s="52">
        <v>0</v>
      </c>
      <c r="V202" s="53">
        <v>74.853778856050567</v>
      </c>
      <c r="W202" s="52">
        <v>-0.38324662765033546</v>
      </c>
      <c r="X202" s="53">
        <v>73.791759948003175</v>
      </c>
      <c r="Y202" s="52">
        <v>0.3950092362093649</v>
      </c>
    </row>
    <row r="203" spans="1:25" ht="5.0999999999999996" customHeight="1">
      <c r="A203" s="5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3"/>
      <c r="S203" s="52"/>
      <c r="T203" s="53"/>
      <c r="U203" s="52"/>
      <c r="V203" s="53"/>
      <c r="W203" s="52"/>
      <c r="X203" s="53"/>
      <c r="Y203" s="52"/>
    </row>
    <row r="204" spans="1:25" ht="14.1" customHeight="1">
      <c r="A204" s="51">
        <v>2011</v>
      </c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3"/>
      <c r="S204" s="52"/>
      <c r="T204" s="53"/>
      <c r="U204" s="52"/>
      <c r="V204" s="53"/>
      <c r="W204" s="52"/>
      <c r="X204" s="53"/>
      <c r="Y204" s="52"/>
    </row>
    <row r="205" spans="1:25" ht="14.45" customHeight="1">
      <c r="A205" s="51" t="s">
        <v>3</v>
      </c>
      <c r="B205" s="52">
        <v>66.350801615908665</v>
      </c>
      <c r="C205" s="52">
        <v>1.7109999999999959</v>
      </c>
      <c r="D205" s="52">
        <v>55.116629455782316</v>
      </c>
      <c r="E205" s="52">
        <v>0.19730000000000025</v>
      </c>
      <c r="F205" s="52">
        <v>123.10099693209344</v>
      </c>
      <c r="G205" s="52">
        <v>0.26509999999999589</v>
      </c>
      <c r="H205" s="52">
        <v>82.917166187495013</v>
      </c>
      <c r="I205" s="52">
        <v>1.2554999999999872</v>
      </c>
      <c r="J205" s="52">
        <v>79.999694954012369</v>
      </c>
      <c r="K205" s="52">
        <v>0.2723000000000031</v>
      </c>
      <c r="L205" s="52">
        <v>69.718373592482408</v>
      </c>
      <c r="M205" s="52">
        <v>0.4801999999999973</v>
      </c>
      <c r="N205" s="52">
        <v>78.157867483942724</v>
      </c>
      <c r="O205" s="52">
        <v>2.8308999999999918</v>
      </c>
      <c r="P205" s="52">
        <v>89.441957605985039</v>
      </c>
      <c r="Q205" s="53">
        <v>0</v>
      </c>
      <c r="R205" s="52">
        <v>86.838888268140153</v>
      </c>
      <c r="S205" s="53">
        <v>-1.5600000000004499E-2</v>
      </c>
      <c r="T205" s="52">
        <v>58.806841985403672</v>
      </c>
      <c r="U205" s="53">
        <v>1.0766999999999971</v>
      </c>
      <c r="V205" s="52">
        <v>75.217583192046746</v>
      </c>
      <c r="W205" s="53">
        <v>0.48601999999999812</v>
      </c>
      <c r="X205" s="53">
        <v>73.990399986607201</v>
      </c>
      <c r="Y205" s="52">
        <v>0.26918999999998583</v>
      </c>
    </row>
    <row r="206" spans="1:25" ht="14.45" customHeight="1">
      <c r="A206" s="51" t="s">
        <v>4</v>
      </c>
      <c r="B206" s="52">
        <v>67.49306010937994</v>
      </c>
      <c r="C206" s="52">
        <v>1.7215443757312432</v>
      </c>
      <c r="D206" s="52">
        <v>56.007595626822152</v>
      </c>
      <c r="E206" s="52">
        <v>1.6165106245377592</v>
      </c>
      <c r="F206" s="52">
        <v>123.50235010380624</v>
      </c>
      <c r="G206" s="52">
        <v>0.3260356794138719</v>
      </c>
      <c r="H206" s="52">
        <v>83.731552781541396</v>
      </c>
      <c r="I206" s="52">
        <v>0.98216886983917284</v>
      </c>
      <c r="J206" s="52">
        <v>80.364061391059266</v>
      </c>
      <c r="K206" s="52">
        <v>0.45545978301086976</v>
      </c>
      <c r="L206" s="52">
        <v>70.065854603618092</v>
      </c>
      <c r="M206" s="52">
        <v>0.4984066512606633</v>
      </c>
      <c r="N206" s="52">
        <v>80.103702408519311</v>
      </c>
      <c r="O206" s="52">
        <v>2.4896213103259957</v>
      </c>
      <c r="P206" s="52">
        <v>89.441957605985039</v>
      </c>
      <c r="Q206" s="53">
        <v>0</v>
      </c>
      <c r="R206" s="52">
        <v>87.171185693052351</v>
      </c>
      <c r="S206" s="53">
        <v>0.38265969491242391</v>
      </c>
      <c r="T206" s="52">
        <v>58.807016526644091</v>
      </c>
      <c r="U206" s="53">
        <v>2.9680430801981572E-4</v>
      </c>
      <c r="V206" s="52">
        <v>75.656211365387435</v>
      </c>
      <c r="W206" s="53">
        <v>0.58314579480807094</v>
      </c>
      <c r="X206" s="53">
        <v>74.277309728461034</v>
      </c>
      <c r="Y206" s="52">
        <v>0.38776617224094423</v>
      </c>
    </row>
    <row r="207" spans="1:25" ht="14.45" customHeight="1">
      <c r="A207" s="51" t="s">
        <v>5</v>
      </c>
      <c r="B207" s="52">
        <v>68.484626591433795</v>
      </c>
      <c r="C207" s="52">
        <v>1.4691384276352526</v>
      </c>
      <c r="D207" s="52">
        <v>56.465263006154842</v>
      </c>
      <c r="E207" s="52">
        <v>0.81715234194683628</v>
      </c>
      <c r="F207" s="52">
        <v>123.65336399221455</v>
      </c>
      <c r="G207" s="52">
        <v>0.12227612533801668</v>
      </c>
      <c r="H207" s="52">
        <v>84.684741313939583</v>
      </c>
      <c r="I207" s="52">
        <v>1.138386308068462</v>
      </c>
      <c r="J207" s="52">
        <v>80.799611646513668</v>
      </c>
      <c r="K207" s="52">
        <v>0.54197143339356213</v>
      </c>
      <c r="L207" s="52">
        <v>70.312865865527641</v>
      </c>
      <c r="M207" s="52">
        <v>0.35254156722552832</v>
      </c>
      <c r="N207" s="52">
        <v>82.181712128371018</v>
      </c>
      <c r="O207" s="52">
        <v>2.5941494055469638</v>
      </c>
      <c r="P207" s="52">
        <v>89.441957605985039</v>
      </c>
      <c r="Q207" s="53">
        <v>0</v>
      </c>
      <c r="R207" s="52">
        <v>87.552467892572608</v>
      </c>
      <c r="S207" s="53">
        <v>0.43739476122630627</v>
      </c>
      <c r="T207" s="52">
        <v>58.807016526644091</v>
      </c>
      <c r="U207" s="53">
        <v>0</v>
      </c>
      <c r="V207" s="52">
        <v>76.195158573150991</v>
      </c>
      <c r="W207" s="53">
        <v>0.71236346366945202</v>
      </c>
      <c r="X207" s="53">
        <v>74.465478716328448</v>
      </c>
      <c r="Y207" s="52">
        <v>0.25333306840986669</v>
      </c>
    </row>
    <row r="208" spans="1:25" ht="14.45" customHeight="1">
      <c r="A208" s="51" t="s">
        <v>6</v>
      </c>
      <c r="B208" s="52">
        <v>68.692072737021391</v>
      </c>
      <c r="C208" s="52">
        <v>0.30290907012631152</v>
      </c>
      <c r="D208" s="52">
        <v>56.636338192419821</v>
      </c>
      <c r="E208" s="52">
        <v>0.30297421309510852</v>
      </c>
      <c r="F208" s="52">
        <v>123.78227828719723</v>
      </c>
      <c r="G208" s="52">
        <v>0.10425457975473673</v>
      </c>
      <c r="H208" s="52">
        <v>85.516734053558622</v>
      </c>
      <c r="I208" s="52">
        <v>0.98245885470054084</v>
      </c>
      <c r="J208" s="52">
        <v>81.130770710091596</v>
      </c>
      <c r="K208" s="52">
        <v>0.40985229610595031</v>
      </c>
      <c r="L208" s="52">
        <v>70.661873350753766</v>
      </c>
      <c r="M208" s="52">
        <v>0.4963636184216913</v>
      </c>
      <c r="N208" s="52">
        <v>84.663314811368764</v>
      </c>
      <c r="O208" s="52">
        <v>3.019653179190751</v>
      </c>
      <c r="P208" s="52">
        <v>89.173631733167099</v>
      </c>
      <c r="Q208" s="53">
        <v>-0.29999999999997806</v>
      </c>
      <c r="R208" s="52">
        <v>87.694905889659907</v>
      </c>
      <c r="S208" s="53">
        <v>0.16268872884550589</v>
      </c>
      <c r="T208" s="52">
        <v>58.808761939048303</v>
      </c>
      <c r="U208" s="53">
        <v>2.9680342709115237E-3</v>
      </c>
      <c r="V208" s="52">
        <v>76.515532746654884</v>
      </c>
      <c r="W208" s="53">
        <v>0.42046526249606142</v>
      </c>
      <c r="X208" s="53">
        <v>74.67726106737922</v>
      </c>
      <c r="Y208" s="52">
        <v>0.28440339698552197</v>
      </c>
    </row>
    <row r="209" spans="1:25" ht="14.45" customHeight="1">
      <c r="A209" s="51" t="s">
        <v>7</v>
      </c>
      <c r="B209" s="52">
        <v>68.500935250678111</v>
      </c>
      <c r="C209" s="52">
        <v>-0.27825261158594961</v>
      </c>
      <c r="D209" s="52">
        <v>56.678144347262716</v>
      </c>
      <c r="E209" s="52">
        <v>7.3815073815075571E-2</v>
      </c>
      <c r="F209" s="52">
        <v>123.70001868944638</v>
      </c>
      <c r="G209" s="52">
        <v>-6.6455068438786569E-2</v>
      </c>
      <c r="H209" s="52">
        <v>85.926179299434125</v>
      </c>
      <c r="I209" s="52">
        <v>0.47878961984104684</v>
      </c>
      <c r="J209" s="52">
        <v>81.473037409222584</v>
      </c>
      <c r="K209" s="52">
        <v>0.42187039040222363</v>
      </c>
      <c r="L209" s="52">
        <v>70.935250983316578</v>
      </c>
      <c r="M209" s="52">
        <v>0.38688138256088855</v>
      </c>
      <c r="N209" s="52">
        <v>85.499383096605357</v>
      </c>
      <c r="O209" s="52">
        <v>0.9875213214830536</v>
      </c>
      <c r="P209" s="52">
        <v>88.234491178304253</v>
      </c>
      <c r="Q209" s="53">
        <v>-1.053159478435306</v>
      </c>
      <c r="R209" s="52">
        <v>87.065225719609359</v>
      </c>
      <c r="S209" s="53">
        <v>-0.7180350599187979</v>
      </c>
      <c r="T209" s="52">
        <v>58.994939262163612</v>
      </c>
      <c r="U209" s="53">
        <v>0.31658092599919918</v>
      </c>
      <c r="V209" s="52">
        <v>76.82842154227319</v>
      </c>
      <c r="W209" s="53">
        <v>0.40892193308552649</v>
      </c>
      <c r="X209" s="53">
        <v>74.812299988084064</v>
      </c>
      <c r="Y209" s="52">
        <v>0.18083003952569232</v>
      </c>
    </row>
    <row r="210" spans="1:25" ht="14.45" customHeight="1">
      <c r="A210" s="51" t="s">
        <v>8</v>
      </c>
      <c r="B210" s="52">
        <v>69.420743632057025</v>
      </c>
      <c r="C210" s="52">
        <v>1.3427676250154619</v>
      </c>
      <c r="D210" s="52">
        <v>56.627536896663429</v>
      </c>
      <c r="E210" s="52">
        <v>-8.9289180480611741E-2</v>
      </c>
      <c r="F210" s="52">
        <v>123.81297216695502</v>
      </c>
      <c r="G210" s="52">
        <v>9.1312417496247633E-2</v>
      </c>
      <c r="H210" s="52">
        <v>88.477023181238536</v>
      </c>
      <c r="I210" s="52">
        <v>2.9686457638425479</v>
      </c>
      <c r="J210" s="52">
        <v>81.782593304940107</v>
      </c>
      <c r="K210" s="52">
        <v>0.37994888316570385</v>
      </c>
      <c r="L210" s="52">
        <v>71.628408990753769</v>
      </c>
      <c r="M210" s="52">
        <v>0.97717002171489042</v>
      </c>
      <c r="N210" s="52">
        <v>86.326330636912118</v>
      </c>
      <c r="O210" s="52">
        <v>0.96719708418526729</v>
      </c>
      <c r="P210" s="52">
        <v>88.234491178304253</v>
      </c>
      <c r="Q210" s="53">
        <v>0</v>
      </c>
      <c r="R210" s="52">
        <v>87.369209249978582</v>
      </c>
      <c r="S210" s="53">
        <v>0.34914459574042489</v>
      </c>
      <c r="T210" s="52">
        <v>58.994939262163612</v>
      </c>
      <c r="U210" s="53">
        <v>0</v>
      </c>
      <c r="V210" s="52">
        <v>77.154035480296997</v>
      </c>
      <c r="W210" s="53">
        <v>0.42381963795083966</v>
      </c>
      <c r="X210" s="53">
        <v>75.074998653498952</v>
      </c>
      <c r="Y210" s="52">
        <v>0.35114368286595088</v>
      </c>
    </row>
    <row r="211" spans="1:25" ht="14.45" customHeight="1">
      <c r="A211" s="51" t="s">
        <v>9</v>
      </c>
      <c r="B211" s="52">
        <v>70.809589053302219</v>
      </c>
      <c r="C211" s="52">
        <v>2.0006202016595198</v>
      </c>
      <c r="D211" s="52">
        <v>56.728641781665047</v>
      </c>
      <c r="E211" s="52">
        <v>0.17854367423064677</v>
      </c>
      <c r="F211" s="52">
        <v>124.01677952854672</v>
      </c>
      <c r="G211" s="52">
        <v>0.16460905349795496</v>
      </c>
      <c r="H211" s="52">
        <v>89.056797649398263</v>
      </c>
      <c r="I211" s="52">
        <v>0.65528252117175168</v>
      </c>
      <c r="J211" s="52">
        <v>82.042684083300713</v>
      </c>
      <c r="K211" s="52">
        <v>0.31802706156653926</v>
      </c>
      <c r="L211" s="52">
        <v>72.223733886030146</v>
      </c>
      <c r="M211" s="52">
        <v>0.83112958065734155</v>
      </c>
      <c r="N211" s="52">
        <v>86.80288955949699</v>
      </c>
      <c r="O211" s="52">
        <v>0.55204352955677827</v>
      </c>
      <c r="P211" s="52">
        <v>88.302467066084802</v>
      </c>
      <c r="Q211" s="53">
        <v>7.704004054738256E-2</v>
      </c>
      <c r="R211" s="52">
        <v>87.63324065921357</v>
      </c>
      <c r="S211" s="53">
        <v>0.30220189870271419</v>
      </c>
      <c r="T211" s="52">
        <v>58.994939262163612</v>
      </c>
      <c r="U211" s="53">
        <v>0</v>
      </c>
      <c r="V211" s="52">
        <v>77.703462217100409</v>
      </c>
      <c r="W211" s="53">
        <v>0.71211665518613465</v>
      </c>
      <c r="X211" s="53">
        <v>75.266857229363751</v>
      </c>
      <c r="Y211" s="52">
        <v>0.25555588319128297</v>
      </c>
    </row>
    <row r="212" spans="1:25" ht="14.45" customHeight="1">
      <c r="A212" s="51" t="s">
        <v>10</v>
      </c>
      <c r="B212" s="52">
        <v>71.066613522992498</v>
      </c>
      <c r="C212" s="52">
        <v>0.36297975052050901</v>
      </c>
      <c r="D212" s="52">
        <v>56.905877874959508</v>
      </c>
      <c r="E212" s="52">
        <v>0.31242788074603567</v>
      </c>
      <c r="F212" s="52">
        <v>123.86822115051905</v>
      </c>
      <c r="G212" s="52">
        <v>-0.11978893387848411</v>
      </c>
      <c r="H212" s="52">
        <v>89.332763745118356</v>
      </c>
      <c r="I212" s="52">
        <v>0.30987650915377252</v>
      </c>
      <c r="J212" s="52">
        <v>82.407289867689656</v>
      </c>
      <c r="K212" s="52">
        <v>0.44440986842744223</v>
      </c>
      <c r="L212" s="52">
        <v>72.583843001005022</v>
      </c>
      <c r="M212" s="52">
        <v>0.4986021846269173</v>
      </c>
      <c r="N212" s="52">
        <v>87.179120287853465</v>
      </c>
      <c r="O212" s="52">
        <v>0.43343111072196017</v>
      </c>
      <c r="P212" s="52">
        <v>88.332877331670829</v>
      </c>
      <c r="Q212" s="53">
        <v>3.443874967079541E-2</v>
      </c>
      <c r="R212" s="52">
        <v>87.755702595733752</v>
      </c>
      <c r="S212" s="53">
        <v>0.13974370410014814</v>
      </c>
      <c r="T212" s="52">
        <v>61.205794974157911</v>
      </c>
      <c r="U212" s="53">
        <v>3.7475345167652829</v>
      </c>
      <c r="V212" s="52">
        <v>78.297052683428888</v>
      </c>
      <c r="W212" s="53">
        <v>0.76391765487875407</v>
      </c>
      <c r="X212" s="53">
        <v>75.540624658770852</v>
      </c>
      <c r="Y212" s="52">
        <v>0.36372905616723905</v>
      </c>
    </row>
    <row r="213" spans="1:25" ht="14.45" customHeight="1">
      <c r="A213" s="51" t="s">
        <v>11</v>
      </c>
      <c r="B213" s="52">
        <v>71.184035869551508</v>
      </c>
      <c r="C213" s="52">
        <v>0.16522856618321757</v>
      </c>
      <c r="D213" s="52">
        <v>57.015894071914481</v>
      </c>
      <c r="E213" s="52">
        <v>0.19333011116482446</v>
      </c>
      <c r="F213" s="52">
        <v>123.90505380622838</v>
      </c>
      <c r="G213" s="52">
        <v>2.9735355337479064E-2</v>
      </c>
      <c r="H213" s="52">
        <v>89.971498328684149</v>
      </c>
      <c r="I213" s="52">
        <v>0.71500595838298597</v>
      </c>
      <c r="J213" s="52">
        <v>82.590789496594368</v>
      </c>
      <c r="K213" s="52">
        <v>0.22267402459095198</v>
      </c>
      <c r="L213" s="52">
        <v>72.861383744723625</v>
      </c>
      <c r="M213" s="52">
        <v>0.38237262212026391</v>
      </c>
      <c r="N213" s="52">
        <v>86.867494836083452</v>
      </c>
      <c r="O213" s="52">
        <v>-0.35745422842197172</v>
      </c>
      <c r="P213" s="52">
        <v>88.332877331670829</v>
      </c>
      <c r="Q213" s="53">
        <v>0</v>
      </c>
      <c r="R213" s="52">
        <v>87.460404309089355</v>
      </c>
      <c r="S213" s="53">
        <v>-0.33650039588282166</v>
      </c>
      <c r="T213" s="52">
        <v>62.607942938870082</v>
      </c>
      <c r="U213" s="53">
        <v>2.2908745247148365</v>
      </c>
      <c r="V213" s="52">
        <v>78.529099397882646</v>
      </c>
      <c r="W213" s="53">
        <v>0.29636711281071371</v>
      </c>
      <c r="X213" s="53">
        <v>75.776758290604462</v>
      </c>
      <c r="Y213" s="52">
        <v>0.31259157956433636</v>
      </c>
    </row>
    <row r="214" spans="1:25" ht="14.45" customHeight="1">
      <c r="A214" s="51" t="s">
        <v>12</v>
      </c>
      <c r="B214" s="52">
        <v>71.51673251813537</v>
      </c>
      <c r="C214" s="52">
        <v>0.46737536656891177</v>
      </c>
      <c r="D214" s="52">
        <v>57.087404599935212</v>
      </c>
      <c r="E214" s="52">
        <v>0.125422093584171</v>
      </c>
      <c r="F214" s="52">
        <v>123.45078438581315</v>
      </c>
      <c r="G214" s="52">
        <v>-0.36662703131193908</v>
      </c>
      <c r="H214" s="52">
        <v>90.118898617199321</v>
      </c>
      <c r="I214" s="52">
        <v>0.16382998088648737</v>
      </c>
      <c r="J214" s="52">
        <v>82.718441412354196</v>
      </c>
      <c r="K214" s="52">
        <v>0.15455950540961272</v>
      </c>
      <c r="L214" s="52">
        <v>73.027908190954776</v>
      </c>
      <c r="M214" s="52">
        <v>0.22854966193694981</v>
      </c>
      <c r="N214" s="52">
        <v>86.031426550846845</v>
      </c>
      <c r="O214" s="52">
        <v>-0.96246390760346134</v>
      </c>
      <c r="P214" s="52">
        <v>88.332877331670829</v>
      </c>
      <c r="Q214" s="53">
        <v>0</v>
      </c>
      <c r="R214" s="52">
        <v>87.912036982780776</v>
      </c>
      <c r="S214" s="53">
        <v>0.51638530287982931</v>
      </c>
      <c r="T214" s="52">
        <v>62.637033145606843</v>
      </c>
      <c r="U214" s="53">
        <v>4.646408326363094E-2</v>
      </c>
      <c r="V214" s="52">
        <v>78.80605837965004</v>
      </c>
      <c r="W214" s="53">
        <v>0.3526832523115031</v>
      </c>
      <c r="X214" s="53">
        <v>75.946479338484878</v>
      </c>
      <c r="Y214" s="52">
        <v>0.22397507060085697</v>
      </c>
    </row>
    <row r="215" spans="1:25" ht="14.45" customHeight="1">
      <c r="A215" s="51" t="s">
        <v>13</v>
      </c>
      <c r="B215" s="52">
        <v>71.164465478458339</v>
      </c>
      <c r="C215" s="52">
        <v>-0.49256590349356921</v>
      </c>
      <c r="D215" s="52">
        <v>57.186419177194686</v>
      </c>
      <c r="E215" s="52">
        <v>0.1734438234727298</v>
      </c>
      <c r="F215" s="52">
        <v>123.79455583910035</v>
      </c>
      <c r="G215" s="52">
        <v>0.27846842366983093</v>
      </c>
      <c r="H215" s="52">
        <v>90.356376859807128</v>
      </c>
      <c r="I215" s="52">
        <v>0.26351658337120387</v>
      </c>
      <c r="J215" s="52">
        <v>82.893962796523923</v>
      </c>
      <c r="K215" s="52">
        <v>0.21219135802468259</v>
      </c>
      <c r="L215" s="52">
        <v>73.354018564824116</v>
      </c>
      <c r="M215" s="52">
        <v>0.44655581947743439</v>
      </c>
      <c r="N215" s="52">
        <v>86.472262555789783</v>
      </c>
      <c r="O215" s="52">
        <v>0.51241275731070957</v>
      </c>
      <c r="P215" s="52">
        <v>88.332877331670829</v>
      </c>
      <c r="Q215" s="53">
        <v>0</v>
      </c>
      <c r="R215" s="52">
        <v>88.033630394928466</v>
      </c>
      <c r="S215" s="53">
        <v>0.13831258644536604</v>
      </c>
      <c r="T215" s="52">
        <v>62.637033145606843</v>
      </c>
      <c r="U215" s="53">
        <v>0</v>
      </c>
      <c r="V215" s="52">
        <v>78.925824425819712</v>
      </c>
      <c r="W215" s="53">
        <v>0.15197568389055949</v>
      </c>
      <c r="X215" s="53">
        <v>76.138337914349677</v>
      </c>
      <c r="Y215" s="52">
        <v>0.25262339681304535</v>
      </c>
    </row>
    <row r="216" spans="1:25" ht="14.45" customHeight="1">
      <c r="A216" s="51" t="s">
        <v>14</v>
      </c>
      <c r="B216" s="52">
        <v>71.568920227717157</v>
      </c>
      <c r="C216" s="52">
        <v>0.56833806948390908</v>
      </c>
      <c r="D216" s="52">
        <v>57.285433754454161</v>
      </c>
      <c r="E216" s="52">
        <v>0.1731435167372064</v>
      </c>
      <c r="F216" s="52">
        <v>124.13832729238756</v>
      </c>
      <c r="G216" s="52">
        <v>0.27769513041753235</v>
      </c>
      <c r="H216" s="52">
        <v>90.282676715549528</v>
      </c>
      <c r="I216" s="52">
        <v>-8.1566068515503964E-2</v>
      </c>
      <c r="J216" s="52">
        <v>83.053527691223664</v>
      </c>
      <c r="K216" s="52">
        <v>0.19249278152067006</v>
      </c>
      <c r="L216" s="52">
        <v>73.520543011055267</v>
      </c>
      <c r="M216" s="52">
        <v>0.22701475595912068</v>
      </c>
      <c r="N216" s="52">
        <v>85.879414135349279</v>
      </c>
      <c r="O216" s="52">
        <v>-0.68559374175969356</v>
      </c>
      <c r="P216" s="52">
        <v>88.332877331670829</v>
      </c>
      <c r="Q216" s="53">
        <v>0</v>
      </c>
      <c r="R216" s="52">
        <v>88.511318799794395</v>
      </c>
      <c r="S216" s="53">
        <v>0.54262036306236272</v>
      </c>
      <c r="T216" s="52">
        <v>62.637033145606843</v>
      </c>
      <c r="U216" s="53">
        <v>0</v>
      </c>
      <c r="V216" s="52">
        <v>79.127929628731053</v>
      </c>
      <c r="W216" s="53">
        <v>0.25606980273140678</v>
      </c>
      <c r="X216" s="53">
        <v>76.440884130136496</v>
      </c>
      <c r="Y216" s="52">
        <v>0.3973638301996596</v>
      </c>
    </row>
    <row r="217" spans="1:25" ht="5.0999999999999996" customHeight="1">
      <c r="A217" s="5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3"/>
      <c r="R217" s="52"/>
      <c r="S217" s="53"/>
      <c r="T217" s="52"/>
      <c r="U217" s="53"/>
      <c r="V217" s="52"/>
      <c r="W217" s="53"/>
      <c r="X217" s="53"/>
      <c r="Y217" s="52"/>
    </row>
    <row r="218" spans="1:25" ht="14.1" customHeight="1">
      <c r="A218" s="51">
        <v>2012</v>
      </c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3"/>
      <c r="R218" s="52"/>
      <c r="S218" s="53"/>
      <c r="T218" s="52"/>
      <c r="U218" s="53"/>
      <c r="V218" s="52"/>
      <c r="W218" s="53"/>
      <c r="X218" s="53"/>
      <c r="Y218" s="52"/>
    </row>
    <row r="219" spans="1:25" ht="14.45" customHeight="1">
      <c r="A219" s="51" t="s">
        <v>3</v>
      </c>
      <c r="B219" s="52">
        <v>72.195172742698546</v>
      </c>
      <c r="C219" s="52">
        <v>0.87503418102268249</v>
      </c>
      <c r="D219" s="52">
        <v>57.351443472627153</v>
      </c>
      <c r="E219" s="52">
        <v>0.11522949875168997</v>
      </c>
      <c r="F219" s="52">
        <v>124.18743750000002</v>
      </c>
      <c r="G219" s="52">
        <v>3.9560874295330173E-2</v>
      </c>
      <c r="H219" s="52">
        <v>90.430077004064714</v>
      </c>
      <c r="I219" s="52">
        <v>0.16326530612245094</v>
      </c>
      <c r="J219" s="52">
        <v>83.245005564863391</v>
      </c>
      <c r="K219" s="52">
        <v>0.23054755043230291</v>
      </c>
      <c r="L219" s="52">
        <v>73.694005975879392</v>
      </c>
      <c r="M219" s="52">
        <v>0.23593808984523346</v>
      </c>
      <c r="N219" s="52">
        <v>86.145435862470023</v>
      </c>
      <c r="O219" s="52">
        <v>0.30976192583416218</v>
      </c>
      <c r="P219" s="52">
        <v>88.332877331670829</v>
      </c>
      <c r="Q219" s="53">
        <v>0</v>
      </c>
      <c r="R219" s="52">
        <v>88.989007204660325</v>
      </c>
      <c r="S219" s="53">
        <v>0.53969188499656262</v>
      </c>
      <c r="T219" s="52">
        <v>62.893026964890396</v>
      </c>
      <c r="U219" s="53">
        <v>0.4086940367824754</v>
      </c>
      <c r="V219" s="52">
        <v>79.577052301867354</v>
      </c>
      <c r="W219" s="53">
        <v>0.56759057799640189</v>
      </c>
      <c r="X219" s="53">
        <v>76.625363530006496</v>
      </c>
      <c r="Y219" s="52">
        <v>0.24133603629692413</v>
      </c>
    </row>
    <row r="220" spans="1:25" ht="14.45" customHeight="1">
      <c r="A220" s="51" t="s">
        <v>4</v>
      </c>
      <c r="B220" s="52">
        <v>72.6387682741437</v>
      </c>
      <c r="C220" s="52">
        <v>0.61443932411675561</v>
      </c>
      <c r="D220" s="52">
        <v>58.484610301263359</v>
      </c>
      <c r="E220" s="52">
        <v>1.9758296566276368</v>
      </c>
      <c r="F220" s="52">
        <v>124.22427015570936</v>
      </c>
      <c r="G220" s="52">
        <v>2.9658922392483689E-2</v>
      </c>
      <c r="H220" s="52">
        <v>90.192598761456921</v>
      </c>
      <c r="I220" s="52">
        <v>-0.26260979806211893</v>
      </c>
      <c r="J220" s="52">
        <v>83.404570459563146</v>
      </c>
      <c r="K220" s="52">
        <v>0.19168104274487341</v>
      </c>
      <c r="L220" s="52">
        <v>73.992362275376891</v>
      </c>
      <c r="M220" s="52">
        <v>0.40485829959515662</v>
      </c>
      <c r="N220" s="52">
        <v>86.715482420585886</v>
      </c>
      <c r="O220" s="52">
        <v>0.66172578083640854</v>
      </c>
      <c r="P220" s="52">
        <v>87.903555935162103</v>
      </c>
      <c r="Q220" s="53">
        <v>-0.48602673147022379</v>
      </c>
      <c r="R220" s="52">
        <v>89.058489154459025</v>
      </c>
      <c r="S220" s="53">
        <v>7.8079250439211378E-2</v>
      </c>
      <c r="T220" s="52">
        <v>62.881390882195689</v>
      </c>
      <c r="U220" s="53">
        <v>-1.8501387604075159E-2</v>
      </c>
      <c r="V220" s="52">
        <v>79.786642882664296</v>
      </c>
      <c r="W220" s="53">
        <v>0.26338067914588592</v>
      </c>
      <c r="X220" s="53">
        <v>76.780326225897298</v>
      </c>
      <c r="Y220" s="52">
        <v>0.20223420647149659</v>
      </c>
    </row>
    <row r="221" spans="1:25" ht="14.45" customHeight="1">
      <c r="A221" s="51" t="s">
        <v>5</v>
      </c>
      <c r="B221" s="52">
        <v>72.62572134674825</v>
      </c>
      <c r="C221" s="52">
        <v>-1.7961383026499078E-2</v>
      </c>
      <c r="D221" s="52">
        <v>59.001686426951736</v>
      </c>
      <c r="E221" s="52">
        <v>0.88412340105343823</v>
      </c>
      <c r="F221" s="52">
        <v>123.96644156574395</v>
      </c>
      <c r="G221" s="52">
        <v>-0.20755089938724325</v>
      </c>
      <c r="H221" s="52">
        <v>89.873231469674025</v>
      </c>
      <c r="I221" s="52">
        <v>-0.35409478845106479</v>
      </c>
      <c r="J221" s="52">
        <v>83.556157109527916</v>
      </c>
      <c r="K221" s="52">
        <v>0.181748612971111</v>
      </c>
      <c r="L221" s="52">
        <v>74.332349686432153</v>
      </c>
      <c r="M221" s="52">
        <v>0.45948987246808848</v>
      </c>
      <c r="N221" s="52">
        <v>87.217123391727853</v>
      </c>
      <c r="O221" s="52">
        <v>0.57849066526427517</v>
      </c>
      <c r="P221" s="52">
        <v>87.9214443266833</v>
      </c>
      <c r="Q221" s="53">
        <v>2.0350020350012876E-2</v>
      </c>
      <c r="R221" s="52">
        <v>89.006377692110007</v>
      </c>
      <c r="S221" s="53">
        <v>-5.8513750731425951E-2</v>
      </c>
      <c r="T221" s="52">
        <v>62.881390882195689</v>
      </c>
      <c r="U221" s="53">
        <v>0</v>
      </c>
      <c r="V221" s="52">
        <v>79.996233463461252</v>
      </c>
      <c r="W221" s="53">
        <v>0.26268880758046897</v>
      </c>
      <c r="X221" s="53">
        <v>76.935288921788114</v>
      </c>
      <c r="Y221" s="52">
        <v>0.20182604517060554</v>
      </c>
    </row>
    <row r="222" spans="1:25" ht="14.45" customHeight="1">
      <c r="A222" s="51" t="s">
        <v>6</v>
      </c>
      <c r="B222" s="52">
        <v>72.234313524884882</v>
      </c>
      <c r="C222" s="52">
        <v>-0.53893829156561601</v>
      </c>
      <c r="D222" s="52">
        <v>59.238221250404926</v>
      </c>
      <c r="E222" s="52">
        <v>0.40089502144322609</v>
      </c>
      <c r="F222" s="52">
        <v>123.85594359861592</v>
      </c>
      <c r="G222" s="52">
        <v>-8.9135386748540046E-2</v>
      </c>
      <c r="H222" s="52">
        <v>90.028820663106714</v>
      </c>
      <c r="I222" s="52">
        <v>0.1731207289293879</v>
      </c>
      <c r="J222" s="52">
        <v>83.667852535817744</v>
      </c>
      <c r="K222" s="52">
        <v>0.13367707438174392</v>
      </c>
      <c r="L222" s="52">
        <v>74.596013392964821</v>
      </c>
      <c r="M222" s="52">
        <v>0.35470923177449709</v>
      </c>
      <c r="N222" s="52">
        <v>87.475544498073717</v>
      </c>
      <c r="O222" s="52">
        <v>0.29629629629630561</v>
      </c>
      <c r="P222" s="52">
        <v>88.48492865960101</v>
      </c>
      <c r="Q222" s="53">
        <v>0.6408952187182182</v>
      </c>
      <c r="R222" s="52">
        <v>88.841358061338141</v>
      </c>
      <c r="S222" s="53">
        <v>-0.18540202966432773</v>
      </c>
      <c r="T222" s="52">
        <v>62.904663047585103</v>
      </c>
      <c r="U222" s="53">
        <v>3.7009622501860129E-2</v>
      </c>
      <c r="V222" s="52">
        <v>80.160911776944559</v>
      </c>
      <c r="W222" s="53">
        <v>0.20585758398052878</v>
      </c>
      <c r="X222" s="53">
        <v>77.060734913699719</v>
      </c>
      <c r="Y222" s="52">
        <v>0.16305390370228157</v>
      </c>
    </row>
    <row r="223" spans="1:25" ht="14.45" customHeight="1">
      <c r="A223" s="51" t="s">
        <v>7</v>
      </c>
      <c r="B223" s="52">
        <v>71.477591735949034</v>
      </c>
      <c r="C223" s="52">
        <v>-1.0475932448297698</v>
      </c>
      <c r="D223" s="52">
        <v>59.331735017816648</v>
      </c>
      <c r="E223" s="52">
        <v>0.15786052558268704</v>
      </c>
      <c r="F223" s="52">
        <v>123.91733135813151</v>
      </c>
      <c r="G223" s="52">
        <v>4.9563838223631862E-2</v>
      </c>
      <c r="H223" s="52">
        <v>89.824098040168963</v>
      </c>
      <c r="I223" s="52">
        <v>-0.22739676187011337</v>
      </c>
      <c r="J223" s="52">
        <v>83.787526206842557</v>
      </c>
      <c r="K223" s="52">
        <v>0.14303423285972894</v>
      </c>
      <c r="L223" s="52">
        <v>74.852738580904514</v>
      </c>
      <c r="M223" s="52">
        <v>0.34415403218304164</v>
      </c>
      <c r="N223" s="52">
        <v>87.407138911099807</v>
      </c>
      <c r="O223" s="52">
        <v>-7.8199669823619811E-2</v>
      </c>
      <c r="P223" s="52">
        <v>88.48492865960101</v>
      </c>
      <c r="Q223" s="53">
        <v>0</v>
      </c>
      <c r="R223" s="52">
        <v>88.311558194123208</v>
      </c>
      <c r="S223" s="53">
        <v>-0.59634372861471219</v>
      </c>
      <c r="T223" s="52">
        <v>63.160656866868656</v>
      </c>
      <c r="U223" s="53">
        <v>0.40695523492415564</v>
      </c>
      <c r="V223" s="52">
        <v>80.175882532715761</v>
      </c>
      <c r="W223" s="53">
        <v>1.8675880100849085E-2</v>
      </c>
      <c r="X223" s="53">
        <v>77.267351841554117</v>
      </c>
      <c r="Y223" s="52">
        <v>0.26812218711096403</v>
      </c>
    </row>
    <row r="224" spans="1:25" ht="14.45" customHeight="1">
      <c r="A224" s="51" t="s">
        <v>8</v>
      </c>
      <c r="B224" s="52">
        <v>72.410447044723398</v>
      </c>
      <c r="C224" s="52">
        <v>1.3051017614310378</v>
      </c>
      <c r="D224" s="52">
        <v>59.947825720764499</v>
      </c>
      <c r="E224" s="52">
        <v>1.0383830891897095</v>
      </c>
      <c r="F224" s="52">
        <v>123.77000073529413</v>
      </c>
      <c r="G224" s="52">
        <v>-0.11889428316654849</v>
      </c>
      <c r="H224" s="52">
        <v>89.095285502510549</v>
      </c>
      <c r="I224" s="52">
        <v>-0.8113775184611316</v>
      </c>
      <c r="J224" s="52">
        <v>83.923156367337356</v>
      </c>
      <c r="K224" s="52">
        <v>0.16187392877546891</v>
      </c>
      <c r="L224" s="52">
        <v>75.102525250251247</v>
      </c>
      <c r="M224" s="52">
        <v>0.33370411568409697</v>
      </c>
      <c r="N224" s="52">
        <v>86.943501043832228</v>
      </c>
      <c r="O224" s="52">
        <v>-0.53043478260870192</v>
      </c>
      <c r="P224" s="52">
        <v>88.395486701995026</v>
      </c>
      <c r="Q224" s="53">
        <v>-0.10108157282927577</v>
      </c>
      <c r="R224" s="52">
        <v>88.216020513149999</v>
      </c>
      <c r="S224" s="53">
        <v>-0.10818253343826134</v>
      </c>
      <c r="T224" s="52">
        <v>63.160656866868656</v>
      </c>
      <c r="U224" s="53">
        <v>0</v>
      </c>
      <c r="V224" s="52">
        <v>80.400443869283919</v>
      </c>
      <c r="W224" s="53">
        <v>0.280085893007187</v>
      </c>
      <c r="X224" s="53">
        <v>77.422314537444933</v>
      </c>
      <c r="Y224" s="52">
        <v>0.20055391080127105</v>
      </c>
    </row>
    <row r="225" spans="1:25" ht="14.45" customHeight="1">
      <c r="A225" s="51" t="s">
        <v>9</v>
      </c>
      <c r="B225" s="52">
        <v>72.345212407746175</v>
      </c>
      <c r="C225" s="52">
        <v>-9.0090090090078068E-2</v>
      </c>
      <c r="D225" s="52">
        <v>60.261371882086166</v>
      </c>
      <c r="E225" s="52">
        <v>0.52303174894474669</v>
      </c>
      <c r="F225" s="52">
        <v>123.54900480103807</v>
      </c>
      <c r="G225" s="52">
        <v>-0.17855371490924643</v>
      </c>
      <c r="H225" s="52">
        <v>88.169939246831902</v>
      </c>
      <c r="I225" s="52">
        <v>-1.0386029411764697</v>
      </c>
      <c r="J225" s="52">
        <v>84.050808283097155</v>
      </c>
      <c r="K225" s="52">
        <v>0.15210571347086255</v>
      </c>
      <c r="L225" s="52">
        <v>75.338434882412059</v>
      </c>
      <c r="M225" s="52">
        <v>0.31411677753141465</v>
      </c>
      <c r="N225" s="52">
        <v>86.244243932543426</v>
      </c>
      <c r="O225" s="52">
        <v>-0.80426610717720948</v>
      </c>
      <c r="P225" s="52">
        <v>88.395486701995026</v>
      </c>
      <c r="Q225" s="53">
        <v>0</v>
      </c>
      <c r="R225" s="52">
        <v>88.485263068619886</v>
      </c>
      <c r="S225" s="53">
        <v>0.30520823077679893</v>
      </c>
      <c r="T225" s="52">
        <v>63.207201197647478</v>
      </c>
      <c r="U225" s="53">
        <v>7.3691967575517658E-2</v>
      </c>
      <c r="V225" s="52">
        <v>80.595063694309644</v>
      </c>
      <c r="W225" s="53">
        <v>0.24206312261427776</v>
      </c>
      <c r="X225" s="53">
        <v>77.651068993283744</v>
      </c>
      <c r="Y225" s="52">
        <v>0.29546321006481691</v>
      </c>
    </row>
    <row r="226" spans="1:25" ht="14.45" customHeight="1">
      <c r="A226" s="51" t="s">
        <v>10</v>
      </c>
      <c r="B226" s="52">
        <v>73.036699559704786</v>
      </c>
      <c r="C226" s="52">
        <v>0.95581605049592788</v>
      </c>
      <c r="D226" s="52">
        <v>60.371388079041139</v>
      </c>
      <c r="E226" s="52">
        <v>0.18256503879507946</v>
      </c>
      <c r="F226" s="52">
        <v>123.56128235294119</v>
      </c>
      <c r="G226" s="52">
        <v>9.937394415193701E-3</v>
      </c>
      <c r="H226" s="52">
        <v>88.022538958316716</v>
      </c>
      <c r="I226" s="52">
        <v>-0.16717748676512434</v>
      </c>
      <c r="J226" s="52">
        <v>84.234307912001881</v>
      </c>
      <c r="K226" s="52">
        <v>0.21831988609397612</v>
      </c>
      <c r="L226" s="52">
        <v>75.636791181909544</v>
      </c>
      <c r="M226" s="52">
        <v>0.39602136673420052</v>
      </c>
      <c r="N226" s="52">
        <v>87.445142014974195</v>
      </c>
      <c r="O226" s="52">
        <v>1.3924385300079445</v>
      </c>
      <c r="P226" s="52">
        <v>88.395486701995026</v>
      </c>
      <c r="Q226" s="53">
        <v>0</v>
      </c>
      <c r="R226" s="52">
        <v>88.47657782489506</v>
      </c>
      <c r="S226" s="53">
        <v>-9.8154691794194449E-3</v>
      </c>
      <c r="T226" s="52">
        <v>70.823017321333097</v>
      </c>
      <c r="U226" s="53">
        <v>12.048969072164951</v>
      </c>
      <c r="V226" s="52">
        <v>80.759742007792951</v>
      </c>
      <c r="W226" s="53">
        <v>0.20432803937957544</v>
      </c>
      <c r="X226" s="53">
        <v>77.850306745143357</v>
      </c>
      <c r="Y226" s="52">
        <v>0.25658082295922924</v>
      </c>
    </row>
    <row r="227" spans="1:25" ht="14.45" customHeight="1">
      <c r="A227" s="51" t="s">
        <v>11</v>
      </c>
      <c r="B227" s="52">
        <v>73.786897884942917</v>
      </c>
      <c r="C227" s="52">
        <v>1.0271525544837568</v>
      </c>
      <c r="D227" s="52">
        <v>60.442898607061871</v>
      </c>
      <c r="E227" s="52">
        <v>0.1184510250569426</v>
      </c>
      <c r="F227" s="52">
        <v>123.20523334775086</v>
      </c>
      <c r="G227" s="52">
        <v>-0.28815580286170039</v>
      </c>
      <c r="H227" s="52">
        <v>88.391039679604674</v>
      </c>
      <c r="I227" s="52">
        <v>0.41864359475300983</v>
      </c>
      <c r="J227" s="52">
        <v>84.42578578564158</v>
      </c>
      <c r="K227" s="52">
        <v>0.22731577950367843</v>
      </c>
      <c r="L227" s="52">
        <v>75.997594148743715</v>
      </c>
      <c r="M227" s="52">
        <v>0.477020456838817</v>
      </c>
      <c r="N227" s="52">
        <v>88.205204092462026</v>
      </c>
      <c r="O227" s="52">
        <v>0.86918730986529358</v>
      </c>
      <c r="P227" s="52">
        <v>88.395486701995026</v>
      </c>
      <c r="Q227" s="53">
        <v>0</v>
      </c>
      <c r="R227" s="52">
        <v>88.294187706673526</v>
      </c>
      <c r="S227" s="53">
        <v>-0.20614508687543109</v>
      </c>
      <c r="T227" s="52">
        <v>72.556793642844411</v>
      </c>
      <c r="U227" s="53">
        <v>2.4480407459130715</v>
      </c>
      <c r="V227" s="52">
        <v>81.08909863475958</v>
      </c>
      <c r="W227" s="53">
        <v>0.40782278246362935</v>
      </c>
      <c r="X227" s="53">
        <v>78.049544497002955</v>
      </c>
      <c r="Y227" s="52">
        <v>0.25592417061610639</v>
      </c>
    </row>
    <row r="228" spans="1:25" ht="14.45" customHeight="1">
      <c r="A228" s="51" t="s">
        <v>12</v>
      </c>
      <c r="B228" s="52">
        <v>73.989125259572333</v>
      </c>
      <c r="C228" s="52">
        <v>0.27406948987711566</v>
      </c>
      <c r="D228" s="52">
        <v>60.503407515387103</v>
      </c>
      <c r="E228" s="52">
        <v>0.10010921004732776</v>
      </c>
      <c r="F228" s="52">
        <v>122.29669450692042</v>
      </c>
      <c r="G228" s="52">
        <v>-0.73741903338315762</v>
      </c>
      <c r="H228" s="52">
        <v>88.718595876305088</v>
      </c>
      <c r="I228" s="52">
        <v>0.37057624606262607</v>
      </c>
      <c r="J228" s="52">
        <v>84.537481211931407</v>
      </c>
      <c r="K228" s="52">
        <v>0.13230013230012272</v>
      </c>
      <c r="L228" s="52">
        <v>76.212688225125632</v>
      </c>
      <c r="M228" s="52">
        <v>0.28302748105542008</v>
      </c>
      <c r="N228" s="52">
        <v>88.638439476630083</v>
      </c>
      <c r="O228" s="52">
        <v>0.49116760017233752</v>
      </c>
      <c r="P228" s="52">
        <v>88.395486701995026</v>
      </c>
      <c r="Q228" s="53">
        <v>0</v>
      </c>
      <c r="R228" s="52">
        <v>88.381040143921879</v>
      </c>
      <c r="S228" s="53">
        <v>9.8367106039742858E-2</v>
      </c>
      <c r="T228" s="52">
        <v>72.556793642844411</v>
      </c>
      <c r="U228" s="53">
        <v>0</v>
      </c>
      <c r="V228" s="52">
        <v>81.373542994412574</v>
      </c>
      <c r="W228" s="53">
        <v>0.35078002400075192</v>
      </c>
      <c r="X228" s="53">
        <v>78.130715432945763</v>
      </c>
      <c r="Y228" s="52">
        <v>0.10399924364186131</v>
      </c>
    </row>
    <row r="229" spans="1:25" ht="14.45" customHeight="1">
      <c r="A229" s="51" t="s">
        <v>13</v>
      </c>
      <c r="B229" s="52">
        <v>75.25467721693056</v>
      </c>
      <c r="C229" s="52">
        <v>1.7104567095750367</v>
      </c>
      <c r="D229" s="52">
        <v>60.607922902494337</v>
      </c>
      <c r="E229" s="52">
        <v>0.17274297663425475</v>
      </c>
      <c r="F229" s="52">
        <v>122.71413127162631</v>
      </c>
      <c r="G229" s="52">
        <v>0.34133119164743153</v>
      </c>
      <c r="H229" s="52">
        <v>89.160796741850632</v>
      </c>
      <c r="I229" s="52">
        <v>0.49843086579286489</v>
      </c>
      <c r="J229" s="52">
        <v>84.792785043451033</v>
      </c>
      <c r="K229" s="52">
        <v>0.30200075500190771</v>
      </c>
      <c r="L229" s="52">
        <v>76.441659338693469</v>
      </c>
      <c r="M229" s="52">
        <v>0.30043699927166934</v>
      </c>
      <c r="N229" s="52">
        <v>88.782851271352769</v>
      </c>
      <c r="O229" s="52">
        <v>0.16292231178185457</v>
      </c>
      <c r="P229" s="52">
        <v>88.395486701995026</v>
      </c>
      <c r="Q229" s="53">
        <v>0</v>
      </c>
      <c r="R229" s="52">
        <v>88.311558194123208</v>
      </c>
      <c r="S229" s="53">
        <v>-7.8616352201243966E-2</v>
      </c>
      <c r="T229" s="52">
        <v>72.789515296738557</v>
      </c>
      <c r="U229" s="53">
        <v>0.32074412637319583</v>
      </c>
      <c r="V229" s="52">
        <v>81.613075086751934</v>
      </c>
      <c r="W229" s="53">
        <v>0.29436114432894733</v>
      </c>
      <c r="X229" s="53">
        <v>78.293057304831365</v>
      </c>
      <c r="Y229" s="52">
        <v>0.20778239516432429</v>
      </c>
    </row>
    <row r="230" spans="1:25" ht="14.45" customHeight="1">
      <c r="A230" s="51" t="s">
        <v>14</v>
      </c>
      <c r="B230" s="52">
        <v>76.109250961332251</v>
      </c>
      <c r="C230" s="52">
        <v>1.1355755894590924</v>
      </c>
      <c r="D230" s="52">
        <v>64.13944282474894</v>
      </c>
      <c r="E230" s="52">
        <v>5.8268288255581613</v>
      </c>
      <c r="F230" s="52">
        <v>122.64046596020762</v>
      </c>
      <c r="G230" s="52">
        <v>-6.0030015007506154E-2</v>
      </c>
      <c r="H230" s="52">
        <v>89.521108558221073</v>
      </c>
      <c r="I230" s="52">
        <v>0.40411462160174771</v>
      </c>
      <c r="J230" s="52">
        <v>85.127871322320516</v>
      </c>
      <c r="K230" s="52">
        <v>0.39518253669550418</v>
      </c>
      <c r="L230" s="52">
        <v>76.691446008040202</v>
      </c>
      <c r="M230" s="52">
        <v>0.32676772261051035</v>
      </c>
      <c r="N230" s="52">
        <v>88.661241338954724</v>
      </c>
      <c r="O230" s="52">
        <v>-0.13697457409467262</v>
      </c>
      <c r="P230" s="52">
        <v>88.395486701995026</v>
      </c>
      <c r="Q230" s="53">
        <v>0</v>
      </c>
      <c r="R230" s="52">
        <v>89.605659509123626</v>
      </c>
      <c r="S230" s="53">
        <v>1.4653815892997413</v>
      </c>
      <c r="T230" s="52">
        <v>72.812787462127972</v>
      </c>
      <c r="U230" s="53">
        <v>3.1971864759006152E-2</v>
      </c>
      <c r="V230" s="52">
        <v>82.196934561829124</v>
      </c>
      <c r="W230" s="53">
        <v>0.71539943134917294</v>
      </c>
      <c r="X230" s="53">
        <v>78.551328464649387</v>
      </c>
      <c r="Y230" s="52">
        <v>0.32987747408106394</v>
      </c>
    </row>
    <row r="231" spans="1:25" ht="5.0999999999999996" customHeight="1">
      <c r="A231" s="5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3"/>
      <c r="R231" s="52"/>
      <c r="S231" s="53"/>
      <c r="T231" s="52"/>
      <c r="U231" s="53"/>
      <c r="V231" s="52"/>
      <c r="W231" s="53"/>
      <c r="X231" s="53"/>
      <c r="Y231" s="52"/>
    </row>
    <row r="232" spans="1:25" ht="14.1" customHeight="1">
      <c r="A232" s="51">
        <v>2013</v>
      </c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3"/>
      <c r="R232" s="52"/>
      <c r="S232" s="53"/>
      <c r="T232" s="52"/>
      <c r="U232" s="53"/>
      <c r="V232" s="52"/>
      <c r="W232" s="53"/>
      <c r="X232" s="53"/>
      <c r="Y232" s="52"/>
    </row>
    <row r="233" spans="1:25" ht="14.45" customHeight="1">
      <c r="A233" s="51" t="s">
        <v>3</v>
      </c>
      <c r="B233" s="52">
        <v>76.931207387245323</v>
      </c>
      <c r="C233" s="52">
        <v>1.0799691437387349</v>
      </c>
      <c r="D233" s="52">
        <v>66.43878134110787</v>
      </c>
      <c r="E233" s="52">
        <v>3.5849056603773688</v>
      </c>
      <c r="F233" s="52">
        <v>122.8000741349481</v>
      </c>
      <c r="G233" s="52">
        <v>0.13014315747321703</v>
      </c>
      <c r="H233" s="52">
        <v>90.241732190961983</v>
      </c>
      <c r="I233" s="52">
        <v>0.80497621661179686</v>
      </c>
      <c r="J233" s="52">
        <v>85.973565264229237</v>
      </c>
      <c r="K233" s="52">
        <v>0.99343955014059571</v>
      </c>
      <c r="L233" s="52">
        <v>77.204896383919589</v>
      </c>
      <c r="M233" s="52">
        <v>0.66950149280737836</v>
      </c>
      <c r="N233" s="52">
        <v>90.006551216108164</v>
      </c>
      <c r="O233" s="52">
        <v>1.5173596228032382</v>
      </c>
      <c r="P233" s="52">
        <v>90.264823615960111</v>
      </c>
      <c r="Q233" s="53">
        <v>2.1147424870990639</v>
      </c>
      <c r="R233" s="52">
        <v>91.655377028184702</v>
      </c>
      <c r="S233" s="53">
        <v>2.2874866724823084</v>
      </c>
      <c r="T233" s="52">
        <v>73.732037995009804</v>
      </c>
      <c r="U233" s="53">
        <v>1.2624850179784097</v>
      </c>
      <c r="V233" s="52">
        <v>83.836232318776638</v>
      </c>
      <c r="W233" s="53">
        <v>1.9943538839814368</v>
      </c>
      <c r="X233" s="53">
        <v>79.163800072217811</v>
      </c>
      <c r="Y233" s="52">
        <v>0.77970878346640404</v>
      </c>
    </row>
    <row r="234" spans="1:25" ht="14.45" customHeight="1">
      <c r="A234" s="51" t="s">
        <v>4</v>
      </c>
      <c r="B234" s="52">
        <v>76.011399005866394</v>
      </c>
      <c r="C234" s="52">
        <v>-1.1956245230221429</v>
      </c>
      <c r="D234" s="52">
        <v>67.093377712989962</v>
      </c>
      <c r="E234" s="52">
        <v>0.98526246067229817</v>
      </c>
      <c r="F234" s="52">
        <v>122.56680064878893</v>
      </c>
      <c r="G234" s="52">
        <v>-0.18996200759848758</v>
      </c>
      <c r="H234" s="52">
        <v>91.191645161393154</v>
      </c>
      <c r="I234" s="52">
        <v>1.0526315789473495</v>
      </c>
      <c r="J234" s="52">
        <v>86.571933619353331</v>
      </c>
      <c r="K234" s="52">
        <v>0.69599109131404102</v>
      </c>
      <c r="L234" s="52">
        <v>77.968133429145738</v>
      </c>
      <c r="M234" s="52">
        <v>0.98858632156018089</v>
      </c>
      <c r="N234" s="52">
        <v>91.260653643963067</v>
      </c>
      <c r="O234" s="52">
        <v>1.3933457186285914</v>
      </c>
      <c r="P234" s="52">
        <v>90.264823615960111</v>
      </c>
      <c r="Q234" s="53">
        <v>0</v>
      </c>
      <c r="R234" s="52">
        <v>92.202547382849318</v>
      </c>
      <c r="S234" s="53">
        <v>0.59698663887046699</v>
      </c>
      <c r="T234" s="52">
        <v>73.732037995009804</v>
      </c>
      <c r="U234" s="53">
        <v>0</v>
      </c>
      <c r="V234" s="52">
        <v>84.367694148654593</v>
      </c>
      <c r="W234" s="53">
        <v>0.63392857142856585</v>
      </c>
      <c r="X234" s="53">
        <v>79.968130255651047</v>
      </c>
      <c r="Y234" s="52">
        <v>1.0160328113348216</v>
      </c>
    </row>
    <row r="235" spans="1:25" ht="14.45" customHeight="1">
      <c r="A235" s="51" t="s">
        <v>5</v>
      </c>
      <c r="B235" s="52">
        <v>76.357142581845707</v>
      </c>
      <c r="C235" s="52">
        <v>0.45485753518710315</v>
      </c>
      <c r="D235" s="52">
        <v>67.225397149335919</v>
      </c>
      <c r="E235" s="52">
        <v>0.19676969746658113</v>
      </c>
      <c r="F235" s="52">
        <v>122.65274351211075</v>
      </c>
      <c r="G235" s="52">
        <v>7.0119202644502998E-2</v>
      </c>
      <c r="H235" s="52">
        <v>91.32266764007332</v>
      </c>
      <c r="I235" s="52">
        <v>0.14367816091953589</v>
      </c>
      <c r="J235" s="52">
        <v>86.962867611367727</v>
      </c>
      <c r="K235" s="52">
        <v>0.45157128375263866</v>
      </c>
      <c r="L235" s="52">
        <v>78.294243803015078</v>
      </c>
      <c r="M235" s="52">
        <v>0.41826110171754305</v>
      </c>
      <c r="N235" s="52">
        <v>91.823099581304064</v>
      </c>
      <c r="O235" s="52">
        <v>0.61630715416007842</v>
      </c>
      <c r="P235" s="52">
        <v>90.264823615960111</v>
      </c>
      <c r="Q235" s="53">
        <v>0</v>
      </c>
      <c r="R235" s="52">
        <v>92.463104694594364</v>
      </c>
      <c r="S235" s="53">
        <v>0.28259231348906066</v>
      </c>
      <c r="T235" s="52">
        <v>73.732037995009804</v>
      </c>
      <c r="U235" s="53">
        <v>0</v>
      </c>
      <c r="V235" s="52">
        <v>84.479974816938665</v>
      </c>
      <c r="W235" s="53">
        <v>0.13308490817141028</v>
      </c>
      <c r="X235" s="53">
        <v>80.469914223297465</v>
      </c>
      <c r="Y235" s="52">
        <v>0.62747992986988965</v>
      </c>
    </row>
    <row r="236" spans="1:25" ht="14.45" customHeight="1">
      <c r="A236" s="51" t="s">
        <v>6</v>
      </c>
      <c r="B236" s="52">
        <v>76.357142581845707</v>
      </c>
      <c r="C236" s="52">
        <v>0</v>
      </c>
      <c r="D236" s="52">
        <v>67.329912536443146</v>
      </c>
      <c r="E236" s="52">
        <v>0.15547009246379417</v>
      </c>
      <c r="F236" s="52">
        <v>122.55452309688582</v>
      </c>
      <c r="G236" s="52">
        <v>-8.0080080080091598E-2</v>
      </c>
      <c r="H236" s="52">
        <v>91.060622682713003</v>
      </c>
      <c r="I236" s="52">
        <v>-0.28694404591104172</v>
      </c>
      <c r="J236" s="52">
        <v>87.226149687622325</v>
      </c>
      <c r="K236" s="52">
        <v>0.30275229357799027</v>
      </c>
      <c r="L236" s="52">
        <v>78.620354176884419</v>
      </c>
      <c r="M236" s="52">
        <v>0.41651896490604301</v>
      </c>
      <c r="N236" s="52">
        <v>91.367062334811365</v>
      </c>
      <c r="O236" s="52">
        <v>-0.49664762850757382</v>
      </c>
      <c r="P236" s="52">
        <v>90.264823615960111</v>
      </c>
      <c r="Q236" s="53">
        <v>0</v>
      </c>
      <c r="R236" s="52">
        <v>92.011472020902943</v>
      </c>
      <c r="S236" s="53">
        <v>-0.48844636483186266</v>
      </c>
      <c r="T236" s="52">
        <v>73.732037995009804</v>
      </c>
      <c r="U236" s="53">
        <v>0</v>
      </c>
      <c r="V236" s="52">
        <v>84.659623886193188</v>
      </c>
      <c r="W236" s="53">
        <v>0.21265284423179764</v>
      </c>
      <c r="X236" s="53">
        <v>80.77246043908427</v>
      </c>
      <c r="Y236" s="52">
        <v>0.37597432370470862</v>
      </c>
    </row>
    <row r="237" spans="1:25" ht="14.45" customHeight="1">
      <c r="A237" s="51" t="s">
        <v>7</v>
      </c>
      <c r="B237" s="52">
        <v>75.763507385352938</v>
      </c>
      <c r="C237" s="52">
        <v>-0.77744553609567779</v>
      </c>
      <c r="D237" s="52">
        <v>67.340914156138652</v>
      </c>
      <c r="E237" s="52">
        <v>1.6339869281067898E-2</v>
      </c>
      <c r="F237" s="52">
        <v>121.7564822231834</v>
      </c>
      <c r="G237" s="52">
        <v>-0.65117210979763751</v>
      </c>
      <c r="H237" s="52">
        <v>90.888655679445279</v>
      </c>
      <c r="I237" s="52">
        <v>-0.18884892086331595</v>
      </c>
      <c r="J237" s="52">
        <v>87.377736337587095</v>
      </c>
      <c r="K237" s="52">
        <v>0.17378578615201423</v>
      </c>
      <c r="L237" s="52">
        <v>78.842386771859296</v>
      </c>
      <c r="M237" s="52">
        <v>0.28241108463507025</v>
      </c>
      <c r="N237" s="52">
        <v>91.313857989387216</v>
      </c>
      <c r="O237" s="52">
        <v>-5.8231428333754831E-2</v>
      </c>
      <c r="P237" s="52">
        <v>90.264823615960111</v>
      </c>
      <c r="Q237" s="53">
        <v>0</v>
      </c>
      <c r="R237" s="52">
        <v>91.698803246808879</v>
      </c>
      <c r="S237" s="53">
        <v>-0.33981498961676015</v>
      </c>
      <c r="T237" s="52">
        <v>74.296388005703093</v>
      </c>
      <c r="U237" s="53">
        <v>0.76540677029908188</v>
      </c>
      <c r="V237" s="52">
        <v>84.794360688134091</v>
      </c>
      <c r="W237" s="53">
        <v>0.15915119363396624</v>
      </c>
      <c r="X237" s="53">
        <v>80.934802310969886</v>
      </c>
      <c r="Y237" s="52">
        <v>0.20098666179426683</v>
      </c>
    </row>
    <row r="238" spans="1:25" ht="14.45" customHeight="1">
      <c r="A238" s="51" t="s">
        <v>8</v>
      </c>
      <c r="B238" s="52">
        <v>75.352529172396402</v>
      </c>
      <c r="C238" s="52">
        <v>-0.54244876872739933</v>
      </c>
      <c r="D238" s="52">
        <v>67.395922254616124</v>
      </c>
      <c r="E238" s="52">
        <v>8.1685999019742717E-2</v>
      </c>
      <c r="F238" s="52">
        <v>121.42498832179932</v>
      </c>
      <c r="G238" s="52">
        <v>-0.27225975597457985</v>
      </c>
      <c r="H238" s="52">
        <v>91.011489253207941</v>
      </c>
      <c r="I238" s="52">
        <v>0.13514731056853968</v>
      </c>
      <c r="J238" s="52">
        <v>87.53730123228685</v>
      </c>
      <c r="K238" s="52">
        <v>0.18261504747991708</v>
      </c>
      <c r="L238" s="52">
        <v>79.168497145728637</v>
      </c>
      <c r="M238" s="52">
        <v>0.41362316289712542</v>
      </c>
      <c r="N238" s="52">
        <v>91.785096477429676</v>
      </c>
      <c r="O238" s="52">
        <v>0.51606459131015026</v>
      </c>
      <c r="P238" s="52">
        <v>90.264823615960111</v>
      </c>
      <c r="Q238" s="53">
        <v>0</v>
      </c>
      <c r="R238" s="52">
        <v>91.785655684057232</v>
      </c>
      <c r="S238" s="53">
        <v>9.4714908126536379E-2</v>
      </c>
      <c r="T238" s="52">
        <v>74.319660171092494</v>
      </c>
      <c r="U238" s="53">
        <v>3.1323414252137916E-2</v>
      </c>
      <c r="V238" s="52">
        <v>84.951553623731783</v>
      </c>
      <c r="W238" s="53">
        <v>0.1853813559321793</v>
      </c>
      <c r="X238" s="53">
        <v>81.193073470787894</v>
      </c>
      <c r="Y238" s="52">
        <v>0.31911013858496595</v>
      </c>
    </row>
    <row r="239" spans="1:25" ht="14.45" customHeight="1">
      <c r="A239" s="51" t="s">
        <v>9</v>
      </c>
      <c r="B239" s="52">
        <v>76.487611855800168</v>
      </c>
      <c r="C239" s="52">
        <v>1.5063630854471377</v>
      </c>
      <c r="D239" s="52">
        <v>67.285906057661151</v>
      </c>
      <c r="E239" s="52">
        <v>-0.16323865491348899</v>
      </c>
      <c r="F239" s="52">
        <v>121.32676790657439</v>
      </c>
      <c r="G239" s="52">
        <v>-8.0889787664317758E-2</v>
      </c>
      <c r="H239" s="52">
        <v>91.142511731888092</v>
      </c>
      <c r="I239" s="52">
        <v>0.14396256973185917</v>
      </c>
      <c r="J239" s="52">
        <v>87.696866126986606</v>
      </c>
      <c r="K239" s="52">
        <v>0.18228217280349401</v>
      </c>
      <c r="L239" s="52">
        <v>79.41828381507537</v>
      </c>
      <c r="M239" s="52">
        <v>0.31551270815073362</v>
      </c>
      <c r="N239" s="52">
        <v>92.499554830268238</v>
      </c>
      <c r="O239" s="52">
        <v>0.77840344484929602</v>
      </c>
      <c r="P239" s="52">
        <v>90.264823615960111</v>
      </c>
      <c r="Q239" s="53">
        <v>0</v>
      </c>
      <c r="R239" s="52">
        <v>92.350196526171516</v>
      </c>
      <c r="S239" s="53">
        <v>0.61506434519302822</v>
      </c>
      <c r="T239" s="52">
        <v>74.319660171092494</v>
      </c>
      <c r="U239" s="53">
        <v>0</v>
      </c>
      <c r="V239" s="52">
        <v>85.041378158359052</v>
      </c>
      <c r="W239" s="53">
        <v>0.10573618821041464</v>
      </c>
      <c r="X239" s="53">
        <v>81.377552870657908</v>
      </c>
      <c r="Y239" s="52">
        <v>0.22721076070162383</v>
      </c>
    </row>
    <row r="240" spans="1:25" ht="14.45" customHeight="1">
      <c r="A240" s="51" t="s">
        <v>10</v>
      </c>
      <c r="B240" s="52">
        <v>76.859449286570367</v>
      </c>
      <c r="C240" s="52">
        <v>0.48614072494668203</v>
      </c>
      <c r="D240" s="52">
        <v>67.192392290249444</v>
      </c>
      <c r="E240" s="52">
        <v>-0.13897972531062841</v>
      </c>
      <c r="F240" s="52">
        <v>121.1426046280277</v>
      </c>
      <c r="G240" s="52">
        <v>-0.15179113539767197</v>
      </c>
      <c r="H240" s="52">
        <v>92.018724558061692</v>
      </c>
      <c r="I240" s="52">
        <v>0.96136567834681497</v>
      </c>
      <c r="J240" s="52">
        <v>87.936213469036247</v>
      </c>
      <c r="K240" s="52">
        <v>0.27292576419215564</v>
      </c>
      <c r="L240" s="52">
        <v>79.827656412060293</v>
      </c>
      <c r="M240" s="52">
        <v>0.51546391752577136</v>
      </c>
      <c r="N240" s="52">
        <v>93.791660361997529</v>
      </c>
      <c r="O240" s="52">
        <v>1.3968775677896339</v>
      </c>
      <c r="P240" s="52">
        <v>90.264823615960111</v>
      </c>
      <c r="Q240" s="53">
        <v>0</v>
      </c>
      <c r="R240" s="52">
        <v>92.79314395613811</v>
      </c>
      <c r="S240" s="53">
        <v>0.4796388601523649</v>
      </c>
      <c r="T240" s="52">
        <v>75.855623086793798</v>
      </c>
      <c r="U240" s="53">
        <v>2.0666979802724361</v>
      </c>
      <c r="V240" s="52">
        <v>85.138688070871908</v>
      </c>
      <c r="W240" s="53">
        <v>0.11442654695887899</v>
      </c>
      <c r="X240" s="53">
        <v>81.606307326496719</v>
      </c>
      <c r="Y240" s="52">
        <v>0.28110264780558669</v>
      </c>
    </row>
    <row r="241" spans="1:25" ht="14.45" customHeight="1">
      <c r="A241" s="51" t="s">
        <v>11</v>
      </c>
      <c r="B241" s="52">
        <v>77.068200124897501</v>
      </c>
      <c r="C241" s="52">
        <v>0.27160074690206759</v>
      </c>
      <c r="D241" s="52">
        <v>67.439928733398119</v>
      </c>
      <c r="E241" s="52">
        <v>0.36839950880063199</v>
      </c>
      <c r="F241" s="52">
        <v>120.88477603806228</v>
      </c>
      <c r="G241" s="52">
        <v>-0.21283064761327131</v>
      </c>
      <c r="H241" s="52">
        <v>92.845803954730201</v>
      </c>
      <c r="I241" s="52">
        <v>0.89881641007385493</v>
      </c>
      <c r="J241" s="52">
        <v>88.095778363736002</v>
      </c>
      <c r="K241" s="52">
        <v>0.18145527127562122</v>
      </c>
      <c r="L241" s="52">
        <v>80.195397897487439</v>
      </c>
      <c r="M241" s="52">
        <v>0.46066927422860893</v>
      </c>
      <c r="N241" s="52">
        <v>94.452914369411928</v>
      </c>
      <c r="O241" s="52">
        <v>0.70502431118313336</v>
      </c>
      <c r="P241" s="52">
        <v>90.264823615960111</v>
      </c>
      <c r="Q241" s="53">
        <v>0</v>
      </c>
      <c r="R241" s="52">
        <v>92.66286530026558</v>
      </c>
      <c r="S241" s="53">
        <v>-0.14039685511044731</v>
      </c>
      <c r="T241" s="52">
        <v>77.758122607378368</v>
      </c>
      <c r="U241" s="53">
        <v>2.5080533824206164</v>
      </c>
      <c r="V241" s="52">
        <v>85.363249407440065</v>
      </c>
      <c r="W241" s="53">
        <v>0.26375945138035206</v>
      </c>
      <c r="X241" s="53">
        <v>81.798165902361518</v>
      </c>
      <c r="Y241" s="52">
        <v>0.23510263134098874</v>
      </c>
    </row>
    <row r="242" spans="1:25" ht="14.45" customHeight="1">
      <c r="A242" s="51" t="s">
        <v>12</v>
      </c>
      <c r="B242" s="52">
        <v>77.08777051599067</v>
      </c>
      <c r="C242" s="52">
        <v>2.5393600812595452E-2</v>
      </c>
      <c r="D242" s="52">
        <v>68.001011337868491</v>
      </c>
      <c r="E242" s="52">
        <v>0.83197389885809603</v>
      </c>
      <c r="F242" s="52">
        <v>120.39367396193772</v>
      </c>
      <c r="G242" s="52">
        <v>-0.40625634775542929</v>
      </c>
      <c r="H242" s="52">
        <v>92.911315194070283</v>
      </c>
      <c r="I242" s="52">
        <v>7.0559181513485392E-2</v>
      </c>
      <c r="J242" s="52">
        <v>88.263321503170744</v>
      </c>
      <c r="K242" s="52">
        <v>0.190182937873562</v>
      </c>
      <c r="L242" s="52">
        <v>80.431307529648237</v>
      </c>
      <c r="M242" s="52">
        <v>0.29416854127011227</v>
      </c>
      <c r="N242" s="52">
        <v>93.449632427128009</v>
      </c>
      <c r="O242" s="52">
        <v>-1.0622032670797421</v>
      </c>
      <c r="P242" s="52">
        <v>89.951776764339158</v>
      </c>
      <c r="Q242" s="53">
        <v>-0.34680935394372225</v>
      </c>
      <c r="R242" s="52">
        <v>92.708897092007192</v>
      </c>
      <c r="S242" s="53">
        <v>4.9676633236472867E-2</v>
      </c>
      <c r="T242" s="52">
        <v>77.769758690073061</v>
      </c>
      <c r="U242" s="53">
        <v>1.4964459408894903E-2</v>
      </c>
      <c r="V242" s="52">
        <v>85.527927720923387</v>
      </c>
      <c r="W242" s="53">
        <v>0.19291476674851982</v>
      </c>
      <c r="X242" s="53">
        <v>81.930991070267922</v>
      </c>
      <c r="Y242" s="52">
        <v>0.16238159675237007</v>
      </c>
    </row>
    <row r="243" spans="1:25" ht="14.45" customHeight="1">
      <c r="A243" s="51" t="s">
        <v>13</v>
      </c>
      <c r="B243" s="52">
        <v>77.309568281713254</v>
      </c>
      <c r="C243" s="52">
        <v>0.28772107980030714</v>
      </c>
      <c r="D243" s="52">
        <v>68.534589893100105</v>
      </c>
      <c r="E243" s="52">
        <v>0.78466267594239358</v>
      </c>
      <c r="F243" s="52">
        <v>120.209510683391</v>
      </c>
      <c r="G243" s="52">
        <v>-0.15296757087498447</v>
      </c>
      <c r="H243" s="52">
        <v>92.993204243245401</v>
      </c>
      <c r="I243" s="52">
        <v>8.8136788295445356E-2</v>
      </c>
      <c r="J243" s="52">
        <v>88.351082195255614</v>
      </c>
      <c r="K243" s="52">
        <v>9.9430534213151844E-2</v>
      </c>
      <c r="L243" s="52">
        <v>80.597831975879387</v>
      </c>
      <c r="M243" s="52">
        <v>0.20703933747412417</v>
      </c>
      <c r="N243" s="52">
        <v>93.016397042959952</v>
      </c>
      <c r="O243" s="52">
        <v>-0.46360309068727013</v>
      </c>
      <c r="P243" s="52">
        <v>89.951776764339158</v>
      </c>
      <c r="Q243" s="53">
        <v>0</v>
      </c>
      <c r="R243" s="52">
        <v>92.732347250064251</v>
      </c>
      <c r="S243" s="53">
        <v>2.5294398695940856E-2</v>
      </c>
      <c r="T243" s="52">
        <v>77.769758690073061</v>
      </c>
      <c r="U243" s="53">
        <v>0</v>
      </c>
      <c r="V243" s="52">
        <v>85.685120656521079</v>
      </c>
      <c r="W243" s="53">
        <v>0.18379135305441885</v>
      </c>
      <c r="X243" s="53">
        <v>82.181883054091145</v>
      </c>
      <c r="Y243" s="52">
        <v>0.30622354318654565</v>
      </c>
    </row>
    <row r="244" spans="1:25" ht="14.45" customHeight="1">
      <c r="A244" s="57" t="s">
        <v>14</v>
      </c>
      <c r="B244" s="58">
        <v>77.348709063899577</v>
      </c>
      <c r="C244" s="58">
        <v>5.0628638933414294E-2</v>
      </c>
      <c r="D244" s="58">
        <v>68.738119857466799</v>
      </c>
      <c r="E244" s="58">
        <v>0.29697407496587225</v>
      </c>
      <c r="F244" s="58">
        <v>120.56555968858133</v>
      </c>
      <c r="G244" s="58">
        <v>0.29619037891943645</v>
      </c>
      <c r="H244" s="58">
        <v>93.664694446481221</v>
      </c>
      <c r="I244" s="58">
        <v>0.72208524128212215</v>
      </c>
      <c r="J244" s="58">
        <v>88.454799376810456</v>
      </c>
      <c r="K244" s="58">
        <v>0.11739208957919356</v>
      </c>
      <c r="L244" s="58">
        <v>80.826803089447239</v>
      </c>
      <c r="M244" s="58">
        <v>0.28409090909091717</v>
      </c>
      <c r="N244" s="58">
        <v>93.700452912698992</v>
      </c>
      <c r="O244" s="58">
        <v>0.73541428337964287</v>
      </c>
      <c r="P244" s="58">
        <v>89.951776764339158</v>
      </c>
      <c r="Q244" s="58">
        <v>0</v>
      </c>
      <c r="R244" s="58">
        <v>93.522704429024259</v>
      </c>
      <c r="S244" s="58">
        <v>0.85229933501922428</v>
      </c>
      <c r="T244" s="58">
        <v>77.769758690073061</v>
      </c>
      <c r="U244" s="58">
        <v>0</v>
      </c>
      <c r="V244" s="59">
        <v>85.909681993089237</v>
      </c>
      <c r="W244" s="58">
        <v>0.2620774001921955</v>
      </c>
      <c r="X244" s="59">
        <v>82.617254437784354</v>
      </c>
      <c r="Y244" s="58">
        <v>0.52976564604469978</v>
      </c>
    </row>
    <row r="245" spans="1:25" ht="5.0999999999999996" customHeight="1">
      <c r="A245" s="5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3"/>
      <c r="W245" s="52"/>
      <c r="X245" s="53"/>
      <c r="Y245" s="52"/>
    </row>
    <row r="246" spans="1:25" ht="14.1" customHeight="1">
      <c r="A246" s="51">
        <v>2014</v>
      </c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3"/>
      <c r="R246" s="52"/>
      <c r="S246" s="53"/>
      <c r="T246" s="52"/>
      <c r="U246" s="53"/>
      <c r="V246" s="52"/>
      <c r="W246" s="53"/>
      <c r="X246" s="53"/>
      <c r="Y246" s="52"/>
    </row>
    <row r="247" spans="1:25" ht="14.45" customHeight="1">
      <c r="A247" s="51" t="s">
        <v>3</v>
      </c>
      <c r="B247" s="52">
        <v>77.492225265249488</v>
      </c>
      <c r="C247" s="52">
        <v>0.18554440414946249</v>
      </c>
      <c r="D247" s="52">
        <v>68.980155490767743</v>
      </c>
      <c r="E247" s="52">
        <v>0.35211267605634866</v>
      </c>
      <c r="F247" s="52">
        <v>120.51644948096886</v>
      </c>
      <c r="G247" s="52">
        <v>-4.0733197556019896E-2</v>
      </c>
      <c r="H247" s="52">
        <v>94.164217646449345</v>
      </c>
      <c r="I247" s="52">
        <v>0.53331001923413446</v>
      </c>
      <c r="J247" s="52">
        <v>88.678190229390125</v>
      </c>
      <c r="K247" s="52">
        <v>0.25254802922343167</v>
      </c>
      <c r="L247" s="52">
        <v>81.139036426130644</v>
      </c>
      <c r="M247" s="52">
        <v>0.38629925315476488</v>
      </c>
      <c r="N247" s="52">
        <v>93.624446704950216</v>
      </c>
      <c r="O247" s="52">
        <v>-8.1116158338734312E-2</v>
      </c>
      <c r="P247" s="52">
        <v>89.951776764339158</v>
      </c>
      <c r="Q247" s="53">
        <v>0</v>
      </c>
      <c r="R247" s="52">
        <v>94.130671489762705</v>
      </c>
      <c r="S247" s="53">
        <v>0.6500742942050497</v>
      </c>
      <c r="T247" s="52">
        <v>78.37483499019784</v>
      </c>
      <c r="U247" s="53">
        <v>0.77803546046235628</v>
      </c>
      <c r="V247" s="52">
        <v>86.13424332965738</v>
      </c>
      <c r="W247" s="53">
        <v>0.26139234991722216</v>
      </c>
      <c r="X247" s="53">
        <v>82.831250541633565</v>
      </c>
      <c r="Y247" s="52">
        <v>0.25902107895676707</v>
      </c>
    </row>
    <row r="248" spans="1:25" ht="14.45" customHeight="1">
      <c r="A248" s="51" t="s">
        <v>4</v>
      </c>
      <c r="B248" s="52">
        <v>77.263904035829185</v>
      </c>
      <c r="C248" s="52">
        <v>-0.29463759575721893</v>
      </c>
      <c r="D248" s="52">
        <v>70.085818270165205</v>
      </c>
      <c r="E248" s="52">
        <v>1.602870813397117</v>
      </c>
      <c r="F248" s="52">
        <v>120.16040047577856</v>
      </c>
      <c r="G248" s="52">
        <v>-0.29543602281987269</v>
      </c>
      <c r="H248" s="52">
        <v>95.384364479158364</v>
      </c>
      <c r="I248" s="52">
        <v>1.2957648491173313</v>
      </c>
      <c r="J248" s="52">
        <v>88.981363529319651</v>
      </c>
      <c r="K248" s="52">
        <v>0.34188034188031846</v>
      </c>
      <c r="L248" s="52">
        <v>81.409638651256273</v>
      </c>
      <c r="M248" s="52">
        <v>0.33350436121086791</v>
      </c>
      <c r="N248" s="52">
        <v>94.202093883840959</v>
      </c>
      <c r="O248" s="52">
        <v>0.61698327650592244</v>
      </c>
      <c r="P248" s="52">
        <v>89.951776764339158</v>
      </c>
      <c r="Q248" s="53">
        <v>0</v>
      </c>
      <c r="R248" s="52">
        <v>94.58230416345414</v>
      </c>
      <c r="S248" s="53">
        <v>0.47979331980070317</v>
      </c>
      <c r="T248" s="52">
        <v>78.37483499019784</v>
      </c>
      <c r="U248" s="53">
        <v>0</v>
      </c>
      <c r="V248" s="52">
        <v>86.426173067195975</v>
      </c>
      <c r="W248" s="53">
        <v>0.3389241331363424</v>
      </c>
      <c r="X248" s="53">
        <v>83.237105221347576</v>
      </c>
      <c r="Y248" s="52">
        <v>0.48997772828507369</v>
      </c>
    </row>
    <row r="249" spans="1:25" ht="14.45" customHeight="1">
      <c r="A249" s="51" t="s">
        <v>5</v>
      </c>
      <c r="B249" s="52">
        <v>78.294611300069391</v>
      </c>
      <c r="C249" s="52">
        <v>1.3340087808172862</v>
      </c>
      <c r="D249" s="52">
        <v>71.004453514739239</v>
      </c>
      <c r="E249" s="52">
        <v>1.3107291421395662</v>
      </c>
      <c r="F249" s="52">
        <v>120.08673516435988</v>
      </c>
      <c r="G249" s="52">
        <v>-6.1305813834677814E-2</v>
      </c>
      <c r="H249" s="52">
        <v>95.277908715230723</v>
      </c>
      <c r="I249" s="52">
        <v>-0.11160714285715079</v>
      </c>
      <c r="J249" s="52">
        <v>89.172841402959364</v>
      </c>
      <c r="K249" s="52">
        <v>0.21518873845602915</v>
      </c>
      <c r="L249" s="52">
        <v>81.610855690452269</v>
      </c>
      <c r="M249" s="52">
        <v>0.24716611267368016</v>
      </c>
      <c r="N249" s="52">
        <v>94.703734854982912</v>
      </c>
      <c r="O249" s="52">
        <v>0.53251573341939196</v>
      </c>
      <c r="P249" s="52">
        <v>89.951776764339158</v>
      </c>
      <c r="Q249" s="53">
        <v>0</v>
      </c>
      <c r="R249" s="52">
        <v>94.573618919729299</v>
      </c>
      <c r="S249" s="53">
        <v>-9.1827364554708524E-3</v>
      </c>
      <c r="T249" s="52">
        <v>78.37483499019784</v>
      </c>
      <c r="U249" s="53">
        <v>0</v>
      </c>
      <c r="V249" s="52">
        <v>86.650734403764147</v>
      </c>
      <c r="W249" s="53">
        <v>0.25983024424045542</v>
      </c>
      <c r="X249" s="53">
        <v>83.487997205170799</v>
      </c>
      <c r="Y249" s="52">
        <v>0.30141843971631666</v>
      </c>
    </row>
    <row r="250" spans="1:25" ht="14.45" customHeight="1">
      <c r="A250" s="51" t="s">
        <v>6</v>
      </c>
      <c r="B250" s="52">
        <v>79.031762697912072</v>
      </c>
      <c r="C250" s="52">
        <v>0.9415097483752799</v>
      </c>
      <c r="D250" s="52">
        <v>71.026456754130223</v>
      </c>
      <c r="E250" s="52">
        <v>3.0988534242304411E-2</v>
      </c>
      <c r="F250" s="52">
        <v>120.02534740484431</v>
      </c>
      <c r="G250" s="52">
        <v>-5.111951743175247E-2</v>
      </c>
      <c r="H250" s="52">
        <v>95.228775285725675</v>
      </c>
      <c r="I250" s="52">
        <v>-5.1568543188640348E-2</v>
      </c>
      <c r="J250" s="52">
        <v>89.340384542394119</v>
      </c>
      <c r="K250" s="52">
        <v>0.18788583698667871</v>
      </c>
      <c r="L250" s="52">
        <v>81.825949766834171</v>
      </c>
      <c r="M250" s="52">
        <v>0.26356061894234895</v>
      </c>
      <c r="N250" s="52">
        <v>95.167372722250491</v>
      </c>
      <c r="O250" s="52">
        <v>0.48956661316212902</v>
      </c>
      <c r="P250" s="52">
        <v>91.418624869077306</v>
      </c>
      <c r="Q250" s="53">
        <v>1.6307049816048469</v>
      </c>
      <c r="R250" s="52">
        <v>94.391228801507765</v>
      </c>
      <c r="S250" s="53">
        <v>-0.19285517494719295</v>
      </c>
      <c r="T250" s="52">
        <v>78.403925196934594</v>
      </c>
      <c r="U250" s="53">
        <v>3.7116769356382306E-2</v>
      </c>
      <c r="V250" s="52">
        <v>86.837868850904272</v>
      </c>
      <c r="W250" s="53">
        <v>0.21596406357982101</v>
      </c>
      <c r="X250" s="53">
        <v>83.635580725066802</v>
      </c>
      <c r="Y250" s="52">
        <v>0.17677214071061265</v>
      </c>
    </row>
    <row r="251" spans="1:25" ht="14.45" customHeight="1">
      <c r="A251" s="51" t="s">
        <v>7</v>
      </c>
      <c r="B251" s="52">
        <v>78.907816887655329</v>
      </c>
      <c r="C251" s="52">
        <v>-0.15683037556748491</v>
      </c>
      <c r="D251" s="52">
        <v>71.064962423064458</v>
      </c>
      <c r="E251" s="52">
        <v>5.421313506814851E-2</v>
      </c>
      <c r="F251" s="52">
        <v>119.58335553633219</v>
      </c>
      <c r="G251" s="52">
        <v>-0.36824877250409838</v>
      </c>
      <c r="H251" s="52">
        <v>95.081374997210489</v>
      </c>
      <c r="I251" s="52">
        <v>-0.15478545016768264</v>
      </c>
      <c r="J251" s="52">
        <v>89.499949437093875</v>
      </c>
      <c r="K251" s="52">
        <v>0.17860332202179752</v>
      </c>
      <c r="L251" s="52">
        <v>81.936966064321609</v>
      </c>
      <c r="M251" s="52">
        <v>0.13567370474010243</v>
      </c>
      <c r="N251" s="52">
        <v>95.387790724721967</v>
      </c>
      <c r="O251" s="52">
        <v>0.23161089369858612</v>
      </c>
      <c r="P251" s="52">
        <v>91.418624869077306</v>
      </c>
      <c r="Q251" s="53">
        <v>0</v>
      </c>
      <c r="R251" s="52">
        <v>94.06987478368886</v>
      </c>
      <c r="S251" s="53">
        <v>-0.34044902465956151</v>
      </c>
      <c r="T251" s="52">
        <v>78.403925196934594</v>
      </c>
      <c r="U251" s="53">
        <v>0</v>
      </c>
      <c r="V251" s="52">
        <v>87.032488675929997</v>
      </c>
      <c r="W251" s="53">
        <v>0.22411861046460757</v>
      </c>
      <c r="X251" s="53">
        <v>83.856956004910813</v>
      </c>
      <c r="Y251" s="52">
        <v>0.26469031233458118</v>
      </c>
    </row>
    <row r="252" spans="1:25" ht="14.45" customHeight="1">
      <c r="A252" s="51" t="s">
        <v>8</v>
      </c>
      <c r="B252" s="52">
        <v>78.490315211001075</v>
      </c>
      <c r="C252" s="52">
        <v>-0.52910052910052352</v>
      </c>
      <c r="D252" s="52">
        <v>71.163977000323939</v>
      </c>
      <c r="E252" s="52">
        <v>0.13932966947907133</v>
      </c>
      <c r="F252" s="52">
        <v>119.65702084775087</v>
      </c>
      <c r="G252" s="52">
        <v>6.1601642710473747E-2</v>
      </c>
      <c r="H252" s="52">
        <v>94.974919233282861</v>
      </c>
      <c r="I252" s="52">
        <v>-0.11196279390233155</v>
      </c>
      <c r="J252" s="52">
        <v>89.715362044938544</v>
      </c>
      <c r="K252" s="52">
        <v>0.24068461401318686</v>
      </c>
      <c r="L252" s="52">
        <v>82.165937177889447</v>
      </c>
      <c r="M252" s="52">
        <v>0.27944787873654953</v>
      </c>
      <c r="N252" s="52">
        <v>95.8970323166388</v>
      </c>
      <c r="O252" s="52">
        <v>0.53386454183266263</v>
      </c>
      <c r="P252" s="52">
        <v>91.418624869077306</v>
      </c>
      <c r="Q252" s="53">
        <v>0</v>
      </c>
      <c r="R252" s="52">
        <v>94.03513380878951</v>
      </c>
      <c r="S252" s="53">
        <v>-3.6931031299058947E-2</v>
      </c>
      <c r="T252" s="52">
        <v>78.433015403671362</v>
      </c>
      <c r="U252" s="53">
        <v>3.7102997922233705E-2</v>
      </c>
      <c r="V252" s="52">
        <v>87.197166989413304</v>
      </c>
      <c r="W252" s="53">
        <v>0.18921475875117721</v>
      </c>
      <c r="X252" s="53">
        <v>84.041435404780813</v>
      </c>
      <c r="Y252" s="52">
        <v>0.21999296022525705</v>
      </c>
    </row>
    <row r="253" spans="1:25" ht="14.45" customHeight="1">
      <c r="A253" s="51" t="s">
        <v>9</v>
      </c>
      <c r="B253" s="52">
        <v>79.05133308900524</v>
      </c>
      <c r="C253" s="52">
        <v>0.71476063829787329</v>
      </c>
      <c r="D253" s="52">
        <v>72.55568189180434</v>
      </c>
      <c r="E253" s="52">
        <v>1.9556311355028111</v>
      </c>
      <c r="F253" s="52">
        <v>119.5956330882353</v>
      </c>
      <c r="G253" s="52">
        <v>-5.1303098707156103E-2</v>
      </c>
      <c r="H253" s="52">
        <v>94.925785803777785</v>
      </c>
      <c r="I253" s="52">
        <v>-5.1733057423708484E-2</v>
      </c>
      <c r="J253" s="52">
        <v>89.866948694903314</v>
      </c>
      <c r="K253" s="52">
        <v>0.16896398399288692</v>
      </c>
      <c r="L253" s="52">
        <v>82.339400142713572</v>
      </c>
      <c r="M253" s="52">
        <v>0.21111298767100273</v>
      </c>
      <c r="N253" s="52">
        <v>96.246660872283201</v>
      </c>
      <c r="O253" s="52">
        <v>0.36458746136165399</v>
      </c>
      <c r="P253" s="52">
        <v>91.418624869077306</v>
      </c>
      <c r="Q253" s="53">
        <v>0</v>
      </c>
      <c r="R253" s="52">
        <v>94.356487826608415</v>
      </c>
      <c r="S253" s="53">
        <v>0.34173824697516508</v>
      </c>
      <c r="T253" s="52">
        <v>78.433015403671362</v>
      </c>
      <c r="U253" s="53">
        <v>0</v>
      </c>
      <c r="V253" s="52">
        <v>87.384301436553429</v>
      </c>
      <c r="W253" s="53">
        <v>0.21461069619710393</v>
      </c>
      <c r="X253" s="53">
        <v>84.18901892467683</v>
      </c>
      <c r="Y253" s="52">
        <v>0.17560804284837417</v>
      </c>
    </row>
    <row r="254" spans="1:25" ht="14.45" customHeight="1">
      <c r="A254" s="51" t="s">
        <v>10</v>
      </c>
      <c r="B254" s="52">
        <v>79.886336442313763</v>
      </c>
      <c r="C254" s="52">
        <v>1.0562799141772494</v>
      </c>
      <c r="D254" s="52">
        <v>73.188275024295436</v>
      </c>
      <c r="E254" s="52">
        <v>0.87187263078090105</v>
      </c>
      <c r="F254" s="52">
        <v>119.43602491349482</v>
      </c>
      <c r="G254" s="52">
        <v>-0.13345652397084296</v>
      </c>
      <c r="H254" s="52">
        <v>94.688307561169992</v>
      </c>
      <c r="I254" s="52">
        <v>-0.2501725327812232</v>
      </c>
      <c r="J254" s="52">
        <v>90.018535344868084</v>
      </c>
      <c r="K254" s="52">
        <v>0.16867897727272929</v>
      </c>
      <c r="L254" s="52">
        <v>82.464293477386931</v>
      </c>
      <c r="M254" s="52">
        <v>0.1516811325524392</v>
      </c>
      <c r="N254" s="52">
        <v>96.163054043759544</v>
      </c>
      <c r="O254" s="52">
        <v>-8.6867251046351956E-2</v>
      </c>
      <c r="P254" s="52">
        <v>91.418624869077306</v>
      </c>
      <c r="Q254" s="53">
        <v>0</v>
      </c>
      <c r="R254" s="52">
        <v>94.58230416345414</v>
      </c>
      <c r="S254" s="53">
        <v>0.23932253313698748</v>
      </c>
      <c r="T254" s="52">
        <v>80.021340691498835</v>
      </c>
      <c r="U254" s="53">
        <v>2.0250723240115676</v>
      </c>
      <c r="V254" s="52">
        <v>87.556465127922351</v>
      </c>
      <c r="W254" s="53">
        <v>0.19701901661812737</v>
      </c>
      <c r="X254" s="53">
        <v>84.380877500541629</v>
      </c>
      <c r="Y254" s="52">
        <v>0.22789026207379326</v>
      </c>
    </row>
    <row r="255" spans="1:25" ht="14.45" customHeight="1">
      <c r="A255" s="51" t="s">
        <v>11</v>
      </c>
      <c r="B255" s="52">
        <v>80.466924711411096</v>
      </c>
      <c r="C255" s="52">
        <v>0.7267679242201508</v>
      </c>
      <c r="D255" s="52">
        <v>73.523824425008101</v>
      </c>
      <c r="E255" s="52">
        <v>0.45847425779781403</v>
      </c>
      <c r="F255" s="52">
        <v>119.3378044982699</v>
      </c>
      <c r="G255" s="52">
        <v>-8.2236842105265495E-2</v>
      </c>
      <c r="H255" s="52">
        <v>94.565473987407344</v>
      </c>
      <c r="I255" s="52">
        <v>-0.1297241200380439</v>
      </c>
      <c r="J255" s="52">
        <v>90.225969707977768</v>
      </c>
      <c r="K255" s="52">
        <v>0.23043516795178132</v>
      </c>
      <c r="L255" s="52">
        <v>82.672449035175887</v>
      </c>
      <c r="M255" s="52">
        <v>0.25241901556585233</v>
      </c>
      <c r="N255" s="52">
        <v>95.608208727193428</v>
      </c>
      <c r="O255" s="52">
        <v>-0.57698387606702761</v>
      </c>
      <c r="P255" s="52">
        <v>91.418624869077306</v>
      </c>
      <c r="Q255" s="53">
        <v>0</v>
      </c>
      <c r="R255" s="52">
        <v>94.339117339158747</v>
      </c>
      <c r="S255" s="53">
        <v>-0.25711662075299513</v>
      </c>
      <c r="T255" s="52">
        <v>81.347854118695423</v>
      </c>
      <c r="U255" s="53">
        <v>1.6576995783045056</v>
      </c>
      <c r="V255" s="52">
        <v>87.766055708719293</v>
      </c>
      <c r="W255" s="53">
        <v>0.23937761819270431</v>
      </c>
      <c r="X255" s="53">
        <v>84.557977724416844</v>
      </c>
      <c r="Y255" s="52">
        <v>0.20988194140796335</v>
      </c>
    </row>
    <row r="256" spans="1:25" ht="14.45" customHeight="1">
      <c r="A256" s="51" t="s">
        <v>12</v>
      </c>
      <c r="B256" s="52">
        <v>81.217123036649213</v>
      </c>
      <c r="C256" s="52">
        <v>0.93230644507498184</v>
      </c>
      <c r="D256" s="52">
        <v>73.683347910592801</v>
      </c>
      <c r="E256" s="52">
        <v>0.21696842735297039</v>
      </c>
      <c r="F256" s="52">
        <v>118.95720038927337</v>
      </c>
      <c r="G256" s="52">
        <v>-0.31893004115226553</v>
      </c>
      <c r="H256" s="52">
        <v>94.532718367737303</v>
      </c>
      <c r="I256" s="52">
        <v>-3.463803255975284E-2</v>
      </c>
      <c r="J256" s="52">
        <v>90.337665134267596</v>
      </c>
      <c r="K256" s="52">
        <v>0.12379520735696925</v>
      </c>
      <c r="L256" s="52">
        <v>82.762649776884416</v>
      </c>
      <c r="M256" s="52">
        <v>0.10910616869490575</v>
      </c>
      <c r="N256" s="52">
        <v>93.791660361997529</v>
      </c>
      <c r="O256" s="52">
        <v>-1.8999920502424716</v>
      </c>
      <c r="P256" s="52">
        <v>91.418624869077306</v>
      </c>
      <c r="Q256" s="53">
        <v>0</v>
      </c>
      <c r="R256" s="52">
        <v>94.399914045232592</v>
      </c>
      <c r="S256" s="53">
        <v>6.444485361811747E-2</v>
      </c>
      <c r="T256" s="52">
        <v>81.347854118695423</v>
      </c>
      <c r="U256" s="53">
        <v>0</v>
      </c>
      <c r="V256" s="52">
        <v>88.013073178944254</v>
      </c>
      <c r="W256" s="53">
        <v>0.28144989339018434</v>
      </c>
      <c r="X256" s="53">
        <v>84.572736076406443</v>
      </c>
      <c r="Y256" s="52">
        <v>1.7453529976441118E-2</v>
      </c>
    </row>
    <row r="257" spans="1:25" ht="14.45" customHeight="1">
      <c r="A257" s="51" t="s">
        <v>13</v>
      </c>
      <c r="B257" s="52">
        <v>81.947750970794175</v>
      </c>
      <c r="C257" s="52">
        <v>0.89959839357429683</v>
      </c>
      <c r="D257" s="52">
        <v>73.809866537091025</v>
      </c>
      <c r="E257" s="52">
        <v>0.1717058603956767</v>
      </c>
      <c r="F257" s="52">
        <v>118.63798403979239</v>
      </c>
      <c r="G257" s="52">
        <v>-0.26834554649604048</v>
      </c>
      <c r="H257" s="52">
        <v>93.689261161233759</v>
      </c>
      <c r="I257" s="52">
        <v>-0.89223839223838697</v>
      </c>
      <c r="J257" s="52">
        <v>90.521164763172308</v>
      </c>
      <c r="K257" s="52">
        <v>0.20312637993462612</v>
      </c>
      <c r="L257" s="52">
        <v>82.880604592964829</v>
      </c>
      <c r="M257" s="52">
        <v>0.14252179745137816</v>
      </c>
      <c r="N257" s="52">
        <v>92.187929378498225</v>
      </c>
      <c r="O257" s="52">
        <v>-1.7098865478119896</v>
      </c>
      <c r="P257" s="52">
        <v>91.418624869077306</v>
      </c>
      <c r="Q257" s="53">
        <v>0</v>
      </c>
      <c r="R257" s="52">
        <v>94.234894414460726</v>
      </c>
      <c r="S257" s="53">
        <v>-0.17480909007268064</v>
      </c>
      <c r="T257" s="52">
        <v>81.347854118695423</v>
      </c>
      <c r="U257" s="53">
        <v>0</v>
      </c>
      <c r="V257" s="52">
        <v>88.162780736656359</v>
      </c>
      <c r="W257" s="53">
        <v>0.1700969552645093</v>
      </c>
      <c r="X257" s="53">
        <v>84.771973828266042</v>
      </c>
      <c r="Y257" s="52">
        <v>0.23558153738765242</v>
      </c>
    </row>
    <row r="258" spans="1:25" ht="14.45" customHeight="1">
      <c r="A258" s="51" t="s">
        <v>14</v>
      </c>
      <c r="B258" s="52">
        <v>82.802324715195866</v>
      </c>
      <c r="C258" s="52">
        <v>1.0428275752268679</v>
      </c>
      <c r="D258" s="52">
        <v>73.952887593132488</v>
      </c>
      <c r="E258" s="52">
        <v>0.19376956327321615</v>
      </c>
      <c r="F258" s="52">
        <v>118.83442487024223</v>
      </c>
      <c r="G258" s="52">
        <v>0.16558004760427458</v>
      </c>
      <c r="H258" s="52">
        <v>91.289912020403278</v>
      </c>
      <c r="I258" s="52">
        <v>-2.5609649506162069</v>
      </c>
      <c r="J258" s="52">
        <v>90.624881944727164</v>
      </c>
      <c r="K258" s="52">
        <v>0.11457782478407896</v>
      </c>
      <c r="L258" s="52">
        <v>82.936112741708541</v>
      </c>
      <c r="M258" s="52">
        <v>6.6973629133526558E-2</v>
      </c>
      <c r="N258" s="52">
        <v>88.266009058661041</v>
      </c>
      <c r="O258" s="52">
        <v>-4.2542666336878643</v>
      </c>
      <c r="P258" s="52">
        <v>91.418624869077306</v>
      </c>
      <c r="Q258" s="53">
        <v>0</v>
      </c>
      <c r="R258" s="52">
        <v>94.617045138353475</v>
      </c>
      <c r="S258" s="53">
        <v>0.40552995391704982</v>
      </c>
      <c r="T258" s="52">
        <v>81.347854118695423</v>
      </c>
      <c r="U258" s="53">
        <v>0</v>
      </c>
      <c r="V258" s="52">
        <v>88.447225096309353</v>
      </c>
      <c r="W258" s="53">
        <v>0.32263542197317197</v>
      </c>
      <c r="X258" s="53">
        <v>85.096657572037259</v>
      </c>
      <c r="Y258" s="52">
        <v>0.38300835654596632</v>
      </c>
    </row>
    <row r="259" spans="1:25" ht="5.0999999999999996" customHeight="1">
      <c r="A259" s="5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3"/>
      <c r="R259" s="52"/>
      <c r="S259" s="53"/>
      <c r="T259" s="52"/>
      <c r="U259" s="53"/>
      <c r="V259" s="52"/>
      <c r="W259" s="53"/>
      <c r="X259" s="53"/>
      <c r="Y259" s="52"/>
    </row>
    <row r="260" spans="1:25" ht="14.1" customHeight="1">
      <c r="A260" s="51">
        <v>2015</v>
      </c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3"/>
      <c r="R260" s="52"/>
      <c r="S260" s="53"/>
      <c r="T260" s="52"/>
      <c r="U260" s="53"/>
      <c r="V260" s="52"/>
      <c r="W260" s="53"/>
      <c r="X260" s="53"/>
      <c r="Y260" s="52"/>
    </row>
    <row r="261" spans="1:25" ht="14.45" customHeight="1">
      <c r="A261" s="51" t="s">
        <v>3</v>
      </c>
      <c r="B261" s="52">
        <v>83.780844269854299</v>
      </c>
      <c r="C261" s="52">
        <v>1.1817537225242258</v>
      </c>
      <c r="D261" s="52">
        <v>74.596482345319089</v>
      </c>
      <c r="E261" s="52">
        <v>0.87027670336210505</v>
      </c>
      <c r="F261" s="52">
        <v>118.65026159169551</v>
      </c>
      <c r="G261" s="52">
        <v>-0.1549746874677238</v>
      </c>
      <c r="H261" s="52">
        <v>90.094331902446797</v>
      </c>
      <c r="I261" s="52">
        <v>-1.3096519555077069</v>
      </c>
      <c r="J261" s="52">
        <v>90.78444683942692</v>
      </c>
      <c r="K261" s="52">
        <v>0.1760718373096104</v>
      </c>
      <c r="L261" s="52">
        <v>83.185899411055274</v>
      </c>
      <c r="M261" s="52">
        <v>0.30117962017903732</v>
      </c>
      <c r="N261" s="52">
        <v>85.735002340626593</v>
      </c>
      <c r="O261" s="52">
        <v>-2.8674761043657848</v>
      </c>
      <c r="P261" s="52">
        <v>91.284461932668336</v>
      </c>
      <c r="Q261" s="53">
        <v>-0.14675667742881648</v>
      </c>
      <c r="R261" s="52">
        <v>94.695212331876988</v>
      </c>
      <c r="S261" s="53">
        <v>8.2614283091597684E-2</v>
      </c>
      <c r="T261" s="52">
        <v>82.238014444840488</v>
      </c>
      <c r="U261" s="53">
        <v>1.0942640537834336</v>
      </c>
      <c r="V261" s="52">
        <v>88.821493990589602</v>
      </c>
      <c r="W261" s="53">
        <v>0.42315504400811665</v>
      </c>
      <c r="X261" s="53">
        <v>85.281136971907273</v>
      </c>
      <c r="Y261" s="52">
        <v>0.21678806798473005</v>
      </c>
    </row>
    <row r="262" spans="1:25" ht="14.45" customHeight="1">
      <c r="A262" s="51" t="s">
        <v>4</v>
      </c>
      <c r="B262" s="52">
        <v>83.572093431527165</v>
      </c>
      <c r="C262" s="52">
        <v>-0.24916296815385985</v>
      </c>
      <c r="D262" s="52">
        <v>75.157564949789432</v>
      </c>
      <c r="E262" s="52">
        <v>0.75215692058105965</v>
      </c>
      <c r="F262" s="52">
        <v>118.51520852076126</v>
      </c>
      <c r="G262" s="52">
        <v>-0.11382450331125504</v>
      </c>
      <c r="H262" s="52">
        <v>90.40551028931219</v>
      </c>
      <c r="I262" s="52">
        <v>0.34539174695511488</v>
      </c>
      <c r="J262" s="52">
        <v>90.975924713066618</v>
      </c>
      <c r="K262" s="52">
        <v>0.21091484313207065</v>
      </c>
      <c r="L262" s="52">
        <v>83.387116450251256</v>
      </c>
      <c r="M262" s="52">
        <v>0.24188839769789805</v>
      </c>
      <c r="N262" s="52">
        <v>86.487463797339544</v>
      </c>
      <c r="O262" s="52">
        <v>0.87765957446808152</v>
      </c>
      <c r="P262" s="52">
        <v>91.302350324189533</v>
      </c>
      <c r="Q262" s="53">
        <v>1.9596315892611571E-2</v>
      </c>
      <c r="R262" s="52">
        <v>94.7733795254005</v>
      </c>
      <c r="S262" s="53">
        <v>8.2546088232593462E-2</v>
      </c>
      <c r="T262" s="52">
        <v>82.238014444840488</v>
      </c>
      <c r="U262" s="53">
        <v>0</v>
      </c>
      <c r="V262" s="52">
        <v>89.001143059844125</v>
      </c>
      <c r="W262" s="53">
        <v>0.20225855385134217</v>
      </c>
      <c r="X262" s="53">
        <v>85.546787307720095</v>
      </c>
      <c r="Y262" s="52">
        <v>0.31149952409796899</v>
      </c>
    </row>
    <row r="263" spans="1:25" ht="14.45" customHeight="1">
      <c r="A263" s="51" t="s">
        <v>5</v>
      </c>
      <c r="B263" s="52">
        <v>82.769707396707247</v>
      </c>
      <c r="C263" s="52">
        <v>-0.96011240340333481</v>
      </c>
      <c r="D263" s="52">
        <v>75.515117589893109</v>
      </c>
      <c r="E263" s="52">
        <v>0.4757373929591191</v>
      </c>
      <c r="F263" s="52">
        <v>118.380155449827</v>
      </c>
      <c r="G263" s="52">
        <v>-0.11395421112607718</v>
      </c>
      <c r="H263" s="52">
        <v>90.945978013867858</v>
      </c>
      <c r="I263" s="52">
        <v>0.59782608695650996</v>
      </c>
      <c r="J263" s="52">
        <v>91.183359076176316</v>
      </c>
      <c r="K263" s="52">
        <v>0.22801017276157243</v>
      </c>
      <c r="L263" s="52">
        <v>83.664657193969845</v>
      </c>
      <c r="M263" s="52">
        <v>0.33283408221000954</v>
      </c>
      <c r="N263" s="52">
        <v>87.870776778367372</v>
      </c>
      <c r="O263" s="52">
        <v>1.5994375604182931</v>
      </c>
      <c r="P263" s="52">
        <v>91.302350324189533</v>
      </c>
      <c r="Q263" s="53">
        <v>0</v>
      </c>
      <c r="R263" s="52">
        <v>94.634415625803129</v>
      </c>
      <c r="S263" s="53">
        <v>-0.14662756598241566</v>
      </c>
      <c r="T263" s="52">
        <v>82.296194858314024</v>
      </c>
      <c r="U263" s="53">
        <v>7.0746374248309429E-2</v>
      </c>
      <c r="V263" s="52">
        <v>89.135879861785014</v>
      </c>
      <c r="W263" s="53">
        <v>0.15138772077374352</v>
      </c>
      <c r="X263" s="53">
        <v>85.716508355600482</v>
      </c>
      <c r="Y263" s="52">
        <v>0.19839558354177722</v>
      </c>
    </row>
    <row r="264" spans="1:25" ht="14.45" customHeight="1">
      <c r="A264" s="51" t="s">
        <v>6</v>
      </c>
      <c r="B264" s="52">
        <v>81.941227507096457</v>
      </c>
      <c r="C264" s="52">
        <v>-1.000945775535933</v>
      </c>
      <c r="D264" s="52">
        <v>75.735149983803055</v>
      </c>
      <c r="E264" s="52">
        <v>0.29137529137528428</v>
      </c>
      <c r="F264" s="52">
        <v>117.39795129757786</v>
      </c>
      <c r="G264" s="52">
        <v>-0.82970338104128016</v>
      </c>
      <c r="H264" s="52">
        <v>90.642988531919968</v>
      </c>
      <c r="I264" s="52">
        <v>-0.33315325049524391</v>
      </c>
      <c r="J264" s="52">
        <v>91.374836949816014</v>
      </c>
      <c r="K264" s="52">
        <v>0.20999212529528855</v>
      </c>
      <c r="L264" s="52">
        <v>83.983829049246239</v>
      </c>
      <c r="M264" s="52">
        <v>0.38148946757341484</v>
      </c>
      <c r="N264" s="52">
        <v>87.961984227665923</v>
      </c>
      <c r="O264" s="52">
        <v>0.10379724937290558</v>
      </c>
      <c r="P264" s="52">
        <v>91.302350324189533</v>
      </c>
      <c r="Q264" s="53">
        <v>0</v>
      </c>
      <c r="R264" s="52">
        <v>94.226209170735885</v>
      </c>
      <c r="S264" s="53">
        <v>-0.4313509544787042</v>
      </c>
      <c r="T264" s="52">
        <v>82.307830941008731</v>
      </c>
      <c r="U264" s="53">
        <v>1.4139271827517952E-2</v>
      </c>
      <c r="V264" s="52">
        <v>89.337985064696355</v>
      </c>
      <c r="W264" s="53">
        <v>0.22673832717501341</v>
      </c>
      <c r="X264" s="53">
        <v>85.952641987434106</v>
      </c>
      <c r="Y264" s="52">
        <v>0.27548209366392573</v>
      </c>
    </row>
    <row r="265" spans="1:25" ht="14.45" customHeight="1">
      <c r="A265" s="51" t="s">
        <v>7</v>
      </c>
      <c r="B265" s="52">
        <v>81.823805160537447</v>
      </c>
      <c r="C265" s="52">
        <v>-0.14330069262001865</v>
      </c>
      <c r="D265" s="52">
        <v>75.872670229996771</v>
      </c>
      <c r="E265" s="52">
        <v>0.18158047646716913</v>
      </c>
      <c r="F265" s="52">
        <v>117.64350233564014</v>
      </c>
      <c r="G265" s="52">
        <v>0.2091612633340123</v>
      </c>
      <c r="H265" s="52">
        <v>90.986922538455403</v>
      </c>
      <c r="I265" s="52">
        <v>0.37943807028639753</v>
      </c>
      <c r="J265" s="52">
        <v>91.518445355045799</v>
      </c>
      <c r="K265" s="52">
        <v>0.15716406181787157</v>
      </c>
      <c r="L265" s="52">
        <v>84.185046088442206</v>
      </c>
      <c r="M265" s="52">
        <v>0.23959021810970871</v>
      </c>
      <c r="N265" s="52">
        <v>89.00326927382423</v>
      </c>
      <c r="O265" s="52">
        <v>1.1837898556986026</v>
      </c>
      <c r="P265" s="52">
        <v>91.302350324189533</v>
      </c>
      <c r="Q265" s="53">
        <v>0</v>
      </c>
      <c r="R265" s="52">
        <v>94.026448565064683</v>
      </c>
      <c r="S265" s="53">
        <v>-0.21200110609271849</v>
      </c>
      <c r="T265" s="52">
        <v>82.779092290144362</v>
      </c>
      <c r="U265" s="53">
        <v>0.57255955326218633</v>
      </c>
      <c r="V265" s="52">
        <v>89.405353465666792</v>
      </c>
      <c r="W265" s="53">
        <v>7.5408462505244245E-2</v>
      </c>
      <c r="X265" s="53">
        <v>86.144500563298905</v>
      </c>
      <c r="Y265" s="52">
        <v>0.22321428571427937</v>
      </c>
    </row>
    <row r="266" spans="1:25" ht="14.45" customHeight="1">
      <c r="A266" s="51" t="s">
        <v>8</v>
      </c>
      <c r="B266" s="52">
        <v>82.90670013435944</v>
      </c>
      <c r="C266" s="52">
        <v>1.3234473411464664</v>
      </c>
      <c r="D266" s="52">
        <v>75.960683187560747</v>
      </c>
      <c r="E266" s="52">
        <v>0.11600087000651627</v>
      </c>
      <c r="F266" s="52">
        <v>117.43478395328721</v>
      </c>
      <c r="G266" s="52">
        <v>-0.17741598831140237</v>
      </c>
      <c r="H266" s="52">
        <v>90.168032046704383</v>
      </c>
      <c r="I266" s="52">
        <v>-0.90000900009000739</v>
      </c>
      <c r="J266" s="52">
        <v>91.741836207625454</v>
      </c>
      <c r="K266" s="52">
        <v>0.24409380176095841</v>
      </c>
      <c r="L266" s="52">
        <v>84.46258683216081</v>
      </c>
      <c r="M266" s="52">
        <v>0.32967938679635544</v>
      </c>
      <c r="N266" s="52">
        <v>89.504910244966212</v>
      </c>
      <c r="O266" s="52">
        <v>0.56362083689156517</v>
      </c>
      <c r="P266" s="52">
        <v>91.302350324189533</v>
      </c>
      <c r="Q266" s="53">
        <v>0</v>
      </c>
      <c r="R266" s="52">
        <v>94.017763321339842</v>
      </c>
      <c r="S266" s="53">
        <v>-9.2370219841209078E-3</v>
      </c>
      <c r="T266" s="52">
        <v>82.784910331491716</v>
      </c>
      <c r="U266" s="53">
        <v>7.0283947146476677E-3</v>
      </c>
      <c r="V266" s="52">
        <v>89.510148756065263</v>
      </c>
      <c r="W266" s="53">
        <v>0.11721366376422626</v>
      </c>
      <c r="X266" s="53">
        <v>86.299463259189721</v>
      </c>
      <c r="Y266" s="52">
        <v>0.17988692821655494</v>
      </c>
    </row>
    <row r="267" spans="1:25" ht="14.45" customHeight="1">
      <c r="A267" s="51" t="s">
        <v>9</v>
      </c>
      <c r="B267" s="52">
        <v>83.819985052040636</v>
      </c>
      <c r="C267" s="52">
        <v>1.1015815563773623</v>
      </c>
      <c r="D267" s="52">
        <v>76.037694525429217</v>
      </c>
      <c r="E267" s="52">
        <v>0.10138315591279312</v>
      </c>
      <c r="F267" s="52">
        <v>116.93140432525952</v>
      </c>
      <c r="G267" s="52">
        <v>-0.42864610559331107</v>
      </c>
      <c r="H267" s="52">
        <v>89.791342420498921</v>
      </c>
      <c r="I267" s="52">
        <v>-0.41776405412768947</v>
      </c>
      <c r="J267" s="52">
        <v>91.821618654975339</v>
      </c>
      <c r="K267" s="52">
        <v>8.6964083833374062E-2</v>
      </c>
      <c r="L267" s="52">
        <v>84.677680908542712</v>
      </c>
      <c r="M267" s="52">
        <v>0.25466195678960357</v>
      </c>
      <c r="N267" s="52">
        <v>89.276891621719855</v>
      </c>
      <c r="O267" s="52">
        <v>-0.25475543478261642</v>
      </c>
      <c r="P267" s="52">
        <v>91.302350324189533</v>
      </c>
      <c r="Q267" s="53">
        <v>0</v>
      </c>
      <c r="R267" s="52">
        <v>94.278320633084903</v>
      </c>
      <c r="S267" s="53">
        <v>0.27713625866052638</v>
      </c>
      <c r="T267" s="52">
        <v>82.784910331491716</v>
      </c>
      <c r="U267" s="53">
        <v>0</v>
      </c>
      <c r="V267" s="52">
        <v>89.592487912806916</v>
      </c>
      <c r="W267" s="53">
        <v>9.1988626860683986E-2</v>
      </c>
      <c r="X267" s="53">
        <v>86.432288427096111</v>
      </c>
      <c r="Y267" s="52">
        <v>0.15391192817442167</v>
      </c>
    </row>
    <row r="268" spans="1:25" ht="14.45" customHeight="1">
      <c r="A268" s="51" t="s">
        <v>10</v>
      </c>
      <c r="B268" s="52">
        <v>85.118154327887467</v>
      </c>
      <c r="C268" s="52">
        <v>1.54875865826134</v>
      </c>
      <c r="D268" s="52">
        <v>76.923324910916747</v>
      </c>
      <c r="E268" s="52">
        <v>1.1647254575707144</v>
      </c>
      <c r="F268" s="52">
        <v>116.3911920415225</v>
      </c>
      <c r="G268" s="52">
        <v>-0.4619907601847939</v>
      </c>
      <c r="H268" s="52">
        <v>89.422841699210963</v>
      </c>
      <c r="I268" s="52">
        <v>-0.41039671682626677</v>
      </c>
      <c r="J268" s="52">
        <v>91.925335836530181</v>
      </c>
      <c r="K268" s="52">
        <v>0.1129550786341138</v>
      </c>
      <c r="L268" s="52">
        <v>84.885836466331654</v>
      </c>
      <c r="M268" s="52">
        <v>0.24582104228121349</v>
      </c>
      <c r="N268" s="52">
        <v>88.266009058661041</v>
      </c>
      <c r="O268" s="52">
        <v>-1.1323003575685386</v>
      </c>
      <c r="P268" s="52">
        <v>91.302350324189533</v>
      </c>
      <c r="Q268" s="53">
        <v>0</v>
      </c>
      <c r="R268" s="52">
        <v>94.234894414460726</v>
      </c>
      <c r="S268" s="53">
        <v>-4.6061722708434782E-2</v>
      </c>
      <c r="T268" s="52">
        <v>84.45468819818214</v>
      </c>
      <c r="U268" s="53">
        <v>2.0170075198538306</v>
      </c>
      <c r="V268" s="52">
        <v>89.749680848404637</v>
      </c>
      <c r="W268" s="53">
        <v>0.17545325424013214</v>
      </c>
      <c r="X268" s="53">
        <v>86.55035524301293</v>
      </c>
      <c r="Y268" s="52">
        <v>0.13660035857594455</v>
      </c>
    </row>
    <row r="269" spans="1:25" ht="14.45" customHeight="1">
      <c r="A269" s="51" t="s">
        <v>11</v>
      </c>
      <c r="B269" s="52">
        <v>86.585933659875096</v>
      </c>
      <c r="C269" s="52">
        <v>1.7244022072348208</v>
      </c>
      <c r="D269" s="52">
        <v>78.1170006478782</v>
      </c>
      <c r="E269" s="52">
        <v>1.5517734553775808</v>
      </c>
      <c r="F269" s="52">
        <v>115.8755348615917</v>
      </c>
      <c r="G269" s="52">
        <v>-0.44303797468354666</v>
      </c>
      <c r="H269" s="52">
        <v>89.774964610663901</v>
      </c>
      <c r="I269" s="52">
        <v>0.39377289377289237</v>
      </c>
      <c r="J269" s="52">
        <v>92.021074773350037</v>
      </c>
      <c r="K269" s="52">
        <v>0.10414858531504478</v>
      </c>
      <c r="L269" s="52">
        <v>85.087053505527635</v>
      </c>
      <c r="M269" s="52">
        <v>0.23704430276278998</v>
      </c>
      <c r="N269" s="52">
        <v>85.75780420295122</v>
      </c>
      <c r="O269" s="52">
        <v>-2.8416429863084458</v>
      </c>
      <c r="P269" s="52">
        <v>91.302350324189533</v>
      </c>
      <c r="Q269" s="53">
        <v>0</v>
      </c>
      <c r="R269" s="52">
        <v>94.313061607984238</v>
      </c>
      <c r="S269" s="53">
        <v>8.2949308755764228E-2</v>
      </c>
      <c r="T269" s="52">
        <v>85.55429801283195</v>
      </c>
      <c r="U269" s="53">
        <v>1.3020115734362125</v>
      </c>
      <c r="V269" s="52">
        <v>89.989212940743997</v>
      </c>
      <c r="W269" s="53">
        <v>0.26688907422851571</v>
      </c>
      <c r="X269" s="53">
        <v>86.661042882934936</v>
      </c>
      <c r="Y269" s="52">
        <v>0.12788814050643804</v>
      </c>
    </row>
    <row r="270" spans="1:25" ht="14.45" customHeight="1">
      <c r="A270" s="51" t="s">
        <v>12</v>
      </c>
      <c r="B270" s="52">
        <v>88.627777797262368</v>
      </c>
      <c r="C270" s="52">
        <v>2.3581707225194259</v>
      </c>
      <c r="D270" s="52">
        <v>78.612073534175579</v>
      </c>
      <c r="E270" s="52">
        <v>0.63375818604323175</v>
      </c>
      <c r="F270" s="52">
        <v>115.5194858564014</v>
      </c>
      <c r="G270" s="52">
        <v>-0.30726848908666504</v>
      </c>
      <c r="H270" s="52">
        <v>90.34818795488961</v>
      </c>
      <c r="I270" s="52">
        <v>0.63851135638055556</v>
      </c>
      <c r="J270" s="52">
        <v>92.05298775228998</v>
      </c>
      <c r="K270" s="52">
        <v>3.4680076296167428E-2</v>
      </c>
      <c r="L270" s="52">
        <v>85.302147581909551</v>
      </c>
      <c r="M270" s="52">
        <v>0.25279295441573701</v>
      </c>
      <c r="N270" s="52">
        <v>85.537386200479759</v>
      </c>
      <c r="O270" s="52">
        <v>-0.25702384117698429</v>
      </c>
      <c r="P270" s="52">
        <v>91.302350324189533</v>
      </c>
      <c r="Q270" s="53">
        <v>0</v>
      </c>
      <c r="R270" s="52">
        <v>94.339117339158747</v>
      </c>
      <c r="S270" s="53">
        <v>2.7626853301421228E-2</v>
      </c>
      <c r="T270" s="52">
        <v>85.55429801283195</v>
      </c>
      <c r="U270" s="53">
        <v>0</v>
      </c>
      <c r="V270" s="52">
        <v>90.378452590795447</v>
      </c>
      <c r="W270" s="53">
        <v>0.4325403427050345</v>
      </c>
      <c r="X270" s="53">
        <v>86.690559586914134</v>
      </c>
      <c r="Y270" s="52">
        <v>3.4059945504094635E-2</v>
      </c>
    </row>
    <row r="271" spans="1:25" ht="14.45" customHeight="1">
      <c r="A271" s="51" t="s">
        <v>13</v>
      </c>
      <c r="B271" s="52">
        <v>88.888716345171261</v>
      </c>
      <c r="C271" s="52">
        <v>0.29442072721916901</v>
      </c>
      <c r="D271" s="52">
        <v>78.876112406867506</v>
      </c>
      <c r="E271" s="52">
        <v>0.33587572598137161</v>
      </c>
      <c r="F271" s="52">
        <v>115.24937971453289</v>
      </c>
      <c r="G271" s="52">
        <v>-0.23381868423849594</v>
      </c>
      <c r="H271" s="52">
        <v>90.438265908982217</v>
      </c>
      <c r="I271" s="52">
        <v>9.9700897308063752E-2</v>
      </c>
      <c r="J271" s="52">
        <v>92.148726689109836</v>
      </c>
      <c r="K271" s="52">
        <v>0.10400416016640435</v>
      </c>
      <c r="L271" s="52">
        <v>85.524180176884428</v>
      </c>
      <c r="M271" s="52">
        <v>0.26028957214900839</v>
      </c>
      <c r="N271" s="52">
        <v>85.620993029003429</v>
      </c>
      <c r="O271" s="52">
        <v>9.7743024702334758E-2</v>
      </c>
      <c r="P271" s="52">
        <v>91.302350324189533</v>
      </c>
      <c r="Q271" s="53">
        <v>0</v>
      </c>
      <c r="R271" s="52">
        <v>94.043819052514351</v>
      </c>
      <c r="S271" s="53">
        <v>-0.31301786043086421</v>
      </c>
      <c r="T271" s="52">
        <v>85.600842343610765</v>
      </c>
      <c r="U271" s="53">
        <v>5.4403264195834744E-2</v>
      </c>
      <c r="V271" s="52">
        <v>90.64792619467724</v>
      </c>
      <c r="W271" s="53">
        <v>0.29816133841311654</v>
      </c>
      <c r="X271" s="53">
        <v>86.897176514768546</v>
      </c>
      <c r="Y271" s="52">
        <v>0.23833844058562814</v>
      </c>
    </row>
    <row r="272" spans="1:25" ht="14.45" customHeight="1">
      <c r="A272" s="51" t="s">
        <v>14</v>
      </c>
      <c r="B272" s="52">
        <v>89.338835340314134</v>
      </c>
      <c r="C272" s="52">
        <v>0.50638485248788445</v>
      </c>
      <c r="D272" s="52">
        <v>78.920118885649501</v>
      </c>
      <c r="E272" s="52">
        <v>5.5791896227086468E-2</v>
      </c>
      <c r="F272" s="52">
        <v>115.26165726643599</v>
      </c>
      <c r="G272" s="52">
        <v>1.0653030787244333E-2</v>
      </c>
      <c r="H272" s="52">
        <v>90.069765187694259</v>
      </c>
      <c r="I272" s="52">
        <v>-0.4074610648315824</v>
      </c>
      <c r="J272" s="52">
        <v>92.188617912784778</v>
      </c>
      <c r="K272" s="52">
        <v>4.3290043290045155E-2</v>
      </c>
      <c r="L272" s="52">
        <v>85.73233573467337</v>
      </c>
      <c r="M272" s="52">
        <v>0.24338796040888067</v>
      </c>
      <c r="N272" s="52">
        <v>85.119352057861448</v>
      </c>
      <c r="O272" s="52">
        <v>-0.58588548601866686</v>
      </c>
      <c r="P272" s="52">
        <v>91.302350324189533</v>
      </c>
      <c r="Q272" s="53">
        <v>0</v>
      </c>
      <c r="R272" s="52">
        <v>94.443340263856769</v>
      </c>
      <c r="S272" s="53">
        <v>0.42482452899890166</v>
      </c>
      <c r="T272" s="52">
        <v>85.600842343610765</v>
      </c>
      <c r="U272" s="53">
        <v>0</v>
      </c>
      <c r="V272" s="52">
        <v>91.007224333186272</v>
      </c>
      <c r="W272" s="53">
        <v>0.39636663914119907</v>
      </c>
      <c r="X272" s="53">
        <v>87.155447674586554</v>
      </c>
      <c r="Y272" s="52">
        <v>0.29721467391303769</v>
      </c>
    </row>
    <row r="273" spans="1:25" ht="5.0999999999999996" customHeight="1">
      <c r="A273" s="5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3"/>
      <c r="R273" s="52"/>
      <c r="S273" s="53"/>
      <c r="T273" s="52"/>
      <c r="U273" s="53"/>
      <c r="V273" s="52"/>
      <c r="W273" s="53"/>
      <c r="X273" s="53"/>
      <c r="Y273" s="52"/>
    </row>
    <row r="274" spans="1:25" ht="13.5" customHeight="1">
      <c r="A274" s="51">
        <v>2016</v>
      </c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3"/>
      <c r="R274" s="52"/>
      <c r="S274" s="53"/>
      <c r="T274" s="52"/>
      <c r="U274" s="53"/>
      <c r="V274" s="52"/>
      <c r="W274" s="53"/>
      <c r="X274" s="53"/>
      <c r="Y274" s="52"/>
    </row>
    <row r="275" spans="1:25" ht="14.45" customHeight="1">
      <c r="A275" s="51" t="s">
        <v>3</v>
      </c>
      <c r="B275" s="52">
        <v>89.691102379991179</v>
      </c>
      <c r="C275" s="52">
        <v>0.39430449069004503</v>
      </c>
      <c r="D275" s="52">
        <v>80.190805960479437</v>
      </c>
      <c r="E275" s="52">
        <v>1.6100927023070977</v>
      </c>
      <c r="F275" s="52">
        <v>114.74600008650519</v>
      </c>
      <c r="G275" s="52">
        <v>-0.44737963357477373</v>
      </c>
      <c r="H275" s="52">
        <v>89.832286945086466</v>
      </c>
      <c r="I275" s="52">
        <v>-0.26366033275752043</v>
      </c>
      <c r="J275" s="52">
        <v>92.29233509433962</v>
      </c>
      <c r="K275" s="52">
        <v>0.11250540891389882</v>
      </c>
      <c r="L275" s="52">
        <v>86.023753515577894</v>
      </c>
      <c r="M275" s="52">
        <v>0.33991583036581119</v>
      </c>
      <c r="N275" s="52">
        <v>83.827246526132157</v>
      </c>
      <c r="O275" s="52">
        <v>-1.5179926779176567</v>
      </c>
      <c r="P275" s="52">
        <v>91.302350324189533</v>
      </c>
      <c r="Q275" s="53">
        <v>0</v>
      </c>
      <c r="R275" s="52">
        <v>94.894972937548204</v>
      </c>
      <c r="S275" s="53">
        <v>0.47820489240391062</v>
      </c>
      <c r="T275" s="52">
        <v>85.897562452325786</v>
      </c>
      <c r="U275" s="53">
        <v>0.34663223000068744</v>
      </c>
      <c r="V275" s="52">
        <v>91.613539941920294</v>
      </c>
      <c r="W275" s="53">
        <v>0.6662279980260033</v>
      </c>
      <c r="X275" s="53">
        <v>87.332547898461755</v>
      </c>
      <c r="Y275" s="52">
        <v>0.20320040640080528</v>
      </c>
    </row>
    <row r="276" spans="1:25" ht="14.45" customHeight="1">
      <c r="A276" s="51" t="s">
        <v>4</v>
      </c>
      <c r="B276" s="52">
        <v>87.968907963792347</v>
      </c>
      <c r="C276" s="52">
        <v>-1.9201396465197473</v>
      </c>
      <c r="D276" s="52">
        <v>81.026929057337227</v>
      </c>
      <c r="E276" s="52">
        <v>1.0426670325147436</v>
      </c>
      <c r="F276" s="52">
        <v>114.50044904844292</v>
      </c>
      <c r="G276" s="52">
        <v>-0.21399529210356372</v>
      </c>
      <c r="H276" s="52">
        <v>89.889609279509031</v>
      </c>
      <c r="I276" s="52">
        <v>6.3810391978114112E-2</v>
      </c>
      <c r="J276" s="52">
        <v>92.340204562749548</v>
      </c>
      <c r="K276" s="52">
        <v>5.1867219917012264E-2</v>
      </c>
      <c r="L276" s="52">
        <v>86.398433519597987</v>
      </c>
      <c r="M276" s="52">
        <v>0.43555412163251983</v>
      </c>
      <c r="N276" s="52">
        <v>83.295203071890683</v>
      </c>
      <c r="O276" s="52">
        <v>-0.63469036177350446</v>
      </c>
      <c r="P276" s="52">
        <v>91.302350324189533</v>
      </c>
      <c r="Q276" s="53">
        <v>0</v>
      </c>
      <c r="R276" s="52">
        <v>95.233697442816762</v>
      </c>
      <c r="S276" s="53">
        <v>0.35694673256452258</v>
      </c>
      <c r="T276" s="52">
        <v>85.903380493673154</v>
      </c>
      <c r="U276" s="53">
        <v>6.773232186407796E-3</v>
      </c>
      <c r="V276" s="52">
        <v>91.658452209233928</v>
      </c>
      <c r="W276" s="53">
        <v>4.9023613040288794E-2</v>
      </c>
      <c r="X276" s="53">
        <v>87.531785650321368</v>
      </c>
      <c r="Y276" s="52">
        <v>0.22813688212928174</v>
      </c>
    </row>
    <row r="277" spans="1:25" ht="14.45" customHeight="1">
      <c r="A277" s="51" t="s">
        <v>5</v>
      </c>
      <c r="B277" s="52">
        <v>86.977341481738492</v>
      </c>
      <c r="C277" s="52">
        <v>-1.1271783463106977</v>
      </c>
      <c r="D277" s="52">
        <v>81.329473598963389</v>
      </c>
      <c r="E277" s="52">
        <v>0.37338764426340099</v>
      </c>
      <c r="F277" s="52">
        <v>114.1444000432526</v>
      </c>
      <c r="G277" s="52">
        <v>-0.31095861033669792</v>
      </c>
      <c r="H277" s="52">
        <v>90.905033489280299</v>
      </c>
      <c r="I277" s="52">
        <v>1.129634690716963</v>
      </c>
      <c r="J277" s="52">
        <v>92.332226318014563</v>
      </c>
      <c r="K277" s="52">
        <v>-8.6400552963494803E-3</v>
      </c>
      <c r="L277" s="52">
        <v>86.717605374874381</v>
      </c>
      <c r="M277" s="52">
        <v>0.36941856729844069</v>
      </c>
      <c r="N277" s="52">
        <v>83.979258941629709</v>
      </c>
      <c r="O277" s="52">
        <v>0.82124281412536693</v>
      </c>
      <c r="P277" s="52">
        <v>91.302350324189533</v>
      </c>
      <c r="Q277" s="53">
        <v>0</v>
      </c>
      <c r="R277" s="52">
        <v>95.320549880065116</v>
      </c>
      <c r="S277" s="53">
        <v>9.1199270405839528E-2</v>
      </c>
      <c r="T277" s="52">
        <v>85.903380493673154</v>
      </c>
      <c r="U277" s="53">
        <v>0</v>
      </c>
      <c r="V277" s="52">
        <v>91.823130522717236</v>
      </c>
      <c r="W277" s="53">
        <v>0.17966516945691069</v>
      </c>
      <c r="X277" s="53">
        <v>87.745781754170579</v>
      </c>
      <c r="Y277" s="52">
        <v>0.24447816557073843</v>
      </c>
    </row>
    <row r="278" spans="1:25" ht="14.45" customHeight="1">
      <c r="A278" s="51" t="s">
        <v>6</v>
      </c>
      <c r="B278" s="52">
        <v>86.194525838011728</v>
      </c>
      <c r="C278" s="52">
        <v>-0.90002250056254729</v>
      </c>
      <c r="D278" s="52">
        <v>81.477995464852611</v>
      </c>
      <c r="E278" s="52">
        <v>0.18261751775450197</v>
      </c>
      <c r="F278" s="52">
        <v>113.24813875432527</v>
      </c>
      <c r="G278" s="52">
        <v>-0.78519952672905236</v>
      </c>
      <c r="H278" s="52">
        <v>91.437312308918465</v>
      </c>
      <c r="I278" s="52">
        <v>0.58553283487974284</v>
      </c>
      <c r="J278" s="52">
        <v>92.435943499569404</v>
      </c>
      <c r="K278" s="52">
        <v>0.11233042426337381</v>
      </c>
      <c r="L278" s="52">
        <v>86.960453525628139</v>
      </c>
      <c r="M278" s="52">
        <v>0.28004480716914415</v>
      </c>
      <c r="N278" s="52">
        <v>84.435296188122408</v>
      </c>
      <c r="O278" s="52">
        <v>0.54303556882975279</v>
      </c>
      <c r="P278" s="52">
        <v>91.302350324189533</v>
      </c>
      <c r="Q278" s="53">
        <v>0</v>
      </c>
      <c r="R278" s="52">
        <v>94.868917206373695</v>
      </c>
      <c r="S278" s="53">
        <v>-0.47380410022778152</v>
      </c>
      <c r="T278" s="52">
        <v>85.903380493673154</v>
      </c>
      <c r="U278" s="53">
        <v>0</v>
      </c>
      <c r="V278" s="52">
        <v>91.980323458314928</v>
      </c>
      <c r="W278" s="53">
        <v>0.17119100024454159</v>
      </c>
      <c r="X278" s="53">
        <v>87.878606922076983</v>
      </c>
      <c r="Y278" s="52">
        <v>0.15137498948785133</v>
      </c>
    </row>
    <row r="279" spans="1:25" ht="14.45" customHeight="1">
      <c r="A279" s="51" t="s">
        <v>7</v>
      </c>
      <c r="B279" s="52">
        <v>85.855305725730162</v>
      </c>
      <c r="C279" s="52">
        <v>-0.39355180504047071</v>
      </c>
      <c r="D279" s="52">
        <v>81.621016520894074</v>
      </c>
      <c r="E279" s="52">
        <v>0.17553335133675407</v>
      </c>
      <c r="F279" s="52">
        <v>113.75151838235296</v>
      </c>
      <c r="G279" s="52">
        <v>0.44449262792716215</v>
      </c>
      <c r="H279" s="52">
        <v>92.002346748226657</v>
      </c>
      <c r="I279" s="52">
        <v>0.61794734013969066</v>
      </c>
      <c r="J279" s="52">
        <v>92.491791212714318</v>
      </c>
      <c r="K279" s="52">
        <v>6.0417745554985913E-2</v>
      </c>
      <c r="L279" s="52">
        <v>87.307379455276376</v>
      </c>
      <c r="M279" s="52">
        <v>0.39894678049947618</v>
      </c>
      <c r="N279" s="52">
        <v>85.514584338155132</v>
      </c>
      <c r="O279" s="52">
        <v>1.2782428661445744</v>
      </c>
      <c r="P279" s="52">
        <v>91.892667244389031</v>
      </c>
      <c r="Q279" s="53">
        <v>0.64655172413792261</v>
      </c>
      <c r="R279" s="52">
        <v>94.538877944829949</v>
      </c>
      <c r="S279" s="53">
        <v>-0.34788977387165687</v>
      </c>
      <c r="T279" s="52">
        <v>85.868472245589032</v>
      </c>
      <c r="U279" s="53">
        <v>-4.063664070437234E-2</v>
      </c>
      <c r="V279" s="52">
        <v>92.100089504484629</v>
      </c>
      <c r="W279" s="53">
        <v>0.13020833333334814</v>
      </c>
      <c r="X279" s="53">
        <v>88.092603025926195</v>
      </c>
      <c r="Y279" s="52">
        <v>0.24351330926191128</v>
      </c>
    </row>
    <row r="280" spans="1:25" ht="14.45" customHeight="1">
      <c r="A280" s="51" t="s">
        <v>8</v>
      </c>
      <c r="B280" s="52">
        <v>86.429370531129763</v>
      </c>
      <c r="C280" s="52">
        <v>0.66864220044069445</v>
      </c>
      <c r="D280" s="52">
        <v>81.698027858762558</v>
      </c>
      <c r="E280" s="52">
        <v>9.4352338590120155E-2</v>
      </c>
      <c r="F280" s="52">
        <v>112.99031016435987</v>
      </c>
      <c r="G280" s="52">
        <v>-0.66918510523475971</v>
      </c>
      <c r="H280" s="52">
        <v>92.166124846576864</v>
      </c>
      <c r="I280" s="52">
        <v>0.17801513128616886</v>
      </c>
      <c r="J280" s="52">
        <v>92.667312596884059</v>
      </c>
      <c r="K280" s="52">
        <v>0.18976968860520138</v>
      </c>
      <c r="L280" s="52">
        <v>87.571043161809044</v>
      </c>
      <c r="M280" s="52">
        <v>0.30199475482795002</v>
      </c>
      <c r="N280" s="52">
        <v>87.103114080104675</v>
      </c>
      <c r="O280" s="52">
        <v>1.8576126566527407</v>
      </c>
      <c r="P280" s="52">
        <v>91.892667244389031</v>
      </c>
      <c r="Q280" s="53">
        <v>0</v>
      </c>
      <c r="R280" s="52">
        <v>94.617045138353475</v>
      </c>
      <c r="S280" s="53">
        <v>8.2682590721194771E-2</v>
      </c>
      <c r="T280" s="52">
        <v>86.601545455355549</v>
      </c>
      <c r="U280" s="53">
        <v>0.85371637644824361</v>
      </c>
      <c r="V280" s="52">
        <v>92.159972527569465</v>
      </c>
      <c r="W280" s="53">
        <v>6.5019505851759973E-2</v>
      </c>
      <c r="X280" s="53">
        <v>88.380390889723401</v>
      </c>
      <c r="Y280" s="52">
        <v>0.32668788741831989</v>
      </c>
    </row>
    <row r="281" spans="1:25" ht="14.45" customHeight="1">
      <c r="A281" s="51" t="s">
        <v>9</v>
      </c>
      <c r="B281" s="52">
        <v>86.990388409133914</v>
      </c>
      <c r="C281" s="52">
        <v>0.6491055928749212</v>
      </c>
      <c r="D281" s="52">
        <v>81.764037576935536</v>
      </c>
      <c r="E281" s="52">
        <v>8.0797199030424594E-2</v>
      </c>
      <c r="F281" s="52">
        <v>112.99031016435987</v>
      </c>
      <c r="G281" s="52">
        <v>0</v>
      </c>
      <c r="H281" s="52">
        <v>92.198880466246905</v>
      </c>
      <c r="I281" s="52">
        <v>3.5539760106617635E-2</v>
      </c>
      <c r="J281" s="52">
        <v>92.786986267908873</v>
      </c>
      <c r="K281" s="52">
        <v>0.12914334911751091</v>
      </c>
      <c r="L281" s="52">
        <v>87.820829831155777</v>
      </c>
      <c r="M281" s="52">
        <v>0.28523888756832871</v>
      </c>
      <c r="N281" s="52">
        <v>86.890296698408079</v>
      </c>
      <c r="O281" s="52">
        <v>-0.24432809773123898</v>
      </c>
      <c r="P281" s="52">
        <v>91.892667244389031</v>
      </c>
      <c r="Q281" s="53">
        <v>0</v>
      </c>
      <c r="R281" s="52">
        <v>94.756009037950832</v>
      </c>
      <c r="S281" s="53">
        <v>0.14686983660729958</v>
      </c>
      <c r="T281" s="52">
        <v>86.671361951523792</v>
      </c>
      <c r="U281" s="53">
        <v>8.0618071884441811E-2</v>
      </c>
      <c r="V281" s="52">
        <v>92.212370172768686</v>
      </c>
      <c r="W281" s="53">
        <v>5.6855100714736651E-2</v>
      </c>
      <c r="X281" s="53">
        <v>88.535353585614217</v>
      </c>
      <c r="Y281" s="52">
        <v>0.1753360607831711</v>
      </c>
    </row>
    <row r="282" spans="1:25" ht="14.45" customHeight="1">
      <c r="A282" s="51" t="s">
        <v>10</v>
      </c>
      <c r="B282" s="52">
        <v>86.670738687945516</v>
      </c>
      <c r="C282" s="52">
        <v>-0.36745406824144622</v>
      </c>
      <c r="D282" s="52">
        <v>81.852050534499526</v>
      </c>
      <c r="E282" s="52">
        <v>0.10764262648010892</v>
      </c>
      <c r="F282" s="52">
        <v>112.33959991349482</v>
      </c>
      <c r="G282" s="52">
        <v>-0.57589916331630686</v>
      </c>
      <c r="H282" s="52">
        <v>92.010535653144174</v>
      </c>
      <c r="I282" s="52">
        <v>-0.20428101962873813</v>
      </c>
      <c r="J282" s="52">
        <v>92.882725204728729</v>
      </c>
      <c r="K282" s="52">
        <v>0.10318142734309088</v>
      </c>
      <c r="L282" s="52">
        <v>88.091432056281405</v>
      </c>
      <c r="M282" s="52">
        <v>0.30812988859918455</v>
      </c>
      <c r="N282" s="52">
        <v>86.510265659664171</v>
      </c>
      <c r="O282" s="52">
        <v>-0.43736878936319057</v>
      </c>
      <c r="P282" s="52">
        <v>91.892667244389031</v>
      </c>
      <c r="Q282" s="53">
        <v>0</v>
      </c>
      <c r="R282" s="52">
        <v>94.799435256575009</v>
      </c>
      <c r="S282" s="53">
        <v>4.5829514207151867E-2</v>
      </c>
      <c r="T282" s="52">
        <v>88.806583126002494</v>
      </c>
      <c r="U282" s="53">
        <v>2.4635832717996964</v>
      </c>
      <c r="V282" s="52">
        <v>92.294709329510354</v>
      </c>
      <c r="W282" s="53">
        <v>8.9292962091080952E-2</v>
      </c>
      <c r="X282" s="53">
        <v>88.668178753520621</v>
      </c>
      <c r="Y282" s="52">
        <v>0.15002500416736453</v>
      </c>
    </row>
    <row r="283" spans="1:25" ht="14.45" customHeight="1">
      <c r="A283" s="51" t="s">
        <v>11</v>
      </c>
      <c r="B283" s="52">
        <v>85.992298463382326</v>
      </c>
      <c r="C283" s="52">
        <v>-0.78277886497066795</v>
      </c>
      <c r="D283" s="52">
        <v>81.929061872367996</v>
      </c>
      <c r="E283" s="52">
        <v>9.4086021505357387E-2</v>
      </c>
      <c r="F283" s="52">
        <v>112.24137949826991</v>
      </c>
      <c r="G283" s="52">
        <v>-8.7431693989070691E-2</v>
      </c>
      <c r="H283" s="52">
        <v>92.48549213835976</v>
      </c>
      <c r="I283" s="52">
        <v>0.5161979352082513</v>
      </c>
      <c r="J283" s="52">
        <v>92.818899246848829</v>
      </c>
      <c r="K283" s="52">
        <v>-6.8716715340999546E-2</v>
      </c>
      <c r="L283" s="52">
        <v>88.355095762814074</v>
      </c>
      <c r="M283" s="52">
        <v>0.29930686830499376</v>
      </c>
      <c r="N283" s="52">
        <v>87.011906630806138</v>
      </c>
      <c r="O283" s="52">
        <v>0.57986294148655304</v>
      </c>
      <c r="P283" s="52">
        <v>91.892667244389031</v>
      </c>
      <c r="Q283" s="53">
        <v>0</v>
      </c>
      <c r="R283" s="52">
        <v>94.738638550501165</v>
      </c>
      <c r="S283" s="53">
        <v>-6.4131928538702088E-2</v>
      </c>
      <c r="T283" s="52">
        <v>89.941101188736411</v>
      </c>
      <c r="U283" s="53">
        <v>1.2775157232704393</v>
      </c>
      <c r="V283" s="52">
        <v>92.414475375680027</v>
      </c>
      <c r="W283" s="53">
        <v>0.12976480129764933</v>
      </c>
      <c r="X283" s="53">
        <v>88.941208265328228</v>
      </c>
      <c r="Y283" s="52">
        <v>0.30792276964046739</v>
      </c>
    </row>
    <row r="284" spans="1:25" ht="14.45" customHeight="1">
      <c r="A284" s="51" t="s">
        <v>12</v>
      </c>
      <c r="B284" s="52">
        <v>85.679172205891632</v>
      </c>
      <c r="C284" s="52">
        <v>-0.36413290851160518</v>
      </c>
      <c r="D284" s="52">
        <v>81.989570780693242</v>
      </c>
      <c r="E284" s="52">
        <v>7.3855243722320552E-2</v>
      </c>
      <c r="F284" s="52">
        <v>111.7993876297578</v>
      </c>
      <c r="G284" s="52">
        <v>-0.39378691752350869</v>
      </c>
      <c r="H284" s="52">
        <v>93.623749921893676</v>
      </c>
      <c r="I284" s="52">
        <v>1.2307419868957004</v>
      </c>
      <c r="J284" s="52">
        <v>92.794964512643858</v>
      </c>
      <c r="K284" s="52">
        <v>-2.5786487880363751E-2</v>
      </c>
      <c r="L284" s="52">
        <v>88.597943913567832</v>
      </c>
      <c r="M284" s="52">
        <v>0.27485471964816544</v>
      </c>
      <c r="N284" s="52">
        <v>88.228005954786653</v>
      </c>
      <c r="O284" s="52">
        <v>1.3976240391334604</v>
      </c>
      <c r="P284" s="52">
        <v>92.411430598503742</v>
      </c>
      <c r="Q284" s="53">
        <v>0.56453182791511569</v>
      </c>
      <c r="R284" s="52">
        <v>94.729953306776324</v>
      </c>
      <c r="S284" s="53">
        <v>-9.167583425018222E-3</v>
      </c>
      <c r="T284" s="52">
        <v>89.946919230083765</v>
      </c>
      <c r="U284" s="53">
        <v>6.4687237208094217E-3</v>
      </c>
      <c r="V284" s="52">
        <v>92.534241421849714</v>
      </c>
      <c r="W284" s="53">
        <v>0.12959663048761616</v>
      </c>
      <c r="X284" s="53">
        <v>89.037137553260635</v>
      </c>
      <c r="Y284" s="52">
        <v>0.10785696507094045</v>
      </c>
    </row>
    <row r="285" spans="1:25" ht="14.45" customHeight="1">
      <c r="A285" s="51" t="s">
        <v>13</v>
      </c>
      <c r="B285" s="52">
        <v>85.450850976471344</v>
      </c>
      <c r="C285" s="52">
        <v>-0.26648393482563426</v>
      </c>
      <c r="D285" s="52">
        <v>82.044578879170714</v>
      </c>
      <c r="E285" s="52">
        <v>6.7091580006684026E-2</v>
      </c>
      <c r="F285" s="52">
        <v>111.54155903979239</v>
      </c>
      <c r="G285" s="52">
        <v>-0.23061717548870098</v>
      </c>
      <c r="H285" s="52">
        <v>93.607372112058655</v>
      </c>
      <c r="I285" s="52">
        <v>-1.7493221376718715E-2</v>
      </c>
      <c r="J285" s="52">
        <v>92.81092100211383</v>
      </c>
      <c r="K285" s="52">
        <v>1.7195426016680671E-2</v>
      </c>
      <c r="L285" s="52">
        <v>88.806099471356774</v>
      </c>
      <c r="M285" s="52">
        <v>0.23494400501213875</v>
      </c>
      <c r="N285" s="52">
        <v>89.109677964672528</v>
      </c>
      <c r="O285" s="52">
        <v>0.99931082012405525</v>
      </c>
      <c r="P285" s="52">
        <v>92.411430598503742</v>
      </c>
      <c r="Q285" s="53">
        <v>0</v>
      </c>
      <c r="R285" s="52">
        <v>94.764694281675673</v>
      </c>
      <c r="S285" s="53">
        <v>3.6673695791700212E-2</v>
      </c>
      <c r="T285" s="52">
        <v>89.993463560862594</v>
      </c>
      <c r="U285" s="53">
        <v>5.1746442432087925E-2</v>
      </c>
      <c r="V285" s="52">
        <v>92.624065956476969</v>
      </c>
      <c r="W285" s="53">
        <v>9.7071671250592573E-2</v>
      </c>
      <c r="X285" s="53">
        <v>89.184721073156638</v>
      </c>
      <c r="Y285" s="52">
        <v>0.16575501408917503</v>
      </c>
    </row>
    <row r="286" spans="1:25" ht="14.45" customHeight="1">
      <c r="A286" s="51" t="s">
        <v>14</v>
      </c>
      <c r="B286" s="52">
        <v>87.186092320065612</v>
      </c>
      <c r="C286" s="52">
        <v>2.0306893656004243</v>
      </c>
      <c r="D286" s="52">
        <v>82.38012827988338</v>
      </c>
      <c r="E286" s="52">
        <v>0.40898424404960387</v>
      </c>
      <c r="F286" s="52">
        <v>111.50472638408304</v>
      </c>
      <c r="G286" s="52">
        <v>-3.3021463951576902E-2</v>
      </c>
      <c r="H286" s="52">
        <v>94.549096177572324</v>
      </c>
      <c r="I286" s="52">
        <v>1.0060362173038184</v>
      </c>
      <c r="J286" s="52">
        <v>92.874746959993729</v>
      </c>
      <c r="K286" s="52">
        <v>6.8769878793095707E-2</v>
      </c>
      <c r="L286" s="52">
        <v>89.076701696482402</v>
      </c>
      <c r="M286" s="52">
        <v>0.30471130557074844</v>
      </c>
      <c r="N286" s="52">
        <v>89.74052948898742</v>
      </c>
      <c r="O286" s="52">
        <v>0.7079495052882967</v>
      </c>
      <c r="P286" s="52">
        <v>93.97666485660848</v>
      </c>
      <c r="Q286" s="53">
        <v>1.6937669376693831</v>
      </c>
      <c r="R286" s="52">
        <v>94.912343424997871</v>
      </c>
      <c r="S286" s="53">
        <v>0.15580606727156887</v>
      </c>
      <c r="T286" s="52">
        <v>89.993463560862594</v>
      </c>
      <c r="U286" s="53">
        <v>0</v>
      </c>
      <c r="V286" s="52">
        <v>92.803715025731492</v>
      </c>
      <c r="W286" s="53">
        <v>0.19395506707613475</v>
      </c>
      <c r="X286" s="53">
        <v>89.546300696901852</v>
      </c>
      <c r="Y286" s="52">
        <v>0.40542776766505639</v>
      </c>
    </row>
    <row r="287" spans="1:25" ht="5.0999999999999996" customHeight="1">
      <c r="A287" s="5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3"/>
      <c r="R287" s="52"/>
      <c r="S287" s="53"/>
      <c r="T287" s="52"/>
      <c r="U287" s="53"/>
      <c r="V287" s="52"/>
      <c r="W287" s="53"/>
      <c r="X287" s="53"/>
      <c r="Y287" s="52"/>
    </row>
    <row r="288" spans="1:25" ht="14.1" customHeight="1">
      <c r="A288" s="51">
        <v>2017</v>
      </c>
    </row>
    <row r="289" spans="1:25" ht="14.45" customHeight="1">
      <c r="A289" s="51" t="s">
        <v>3</v>
      </c>
      <c r="B289" s="52">
        <v>87.871056008326491</v>
      </c>
      <c r="C289" s="52">
        <v>0.78563411896743762</v>
      </c>
      <c r="D289" s="52">
        <v>83.529797538062837</v>
      </c>
      <c r="E289" s="52">
        <v>1.395566239316226</v>
      </c>
      <c r="F289" s="52">
        <v>110.76807326989621</v>
      </c>
      <c r="G289" s="52">
        <v>-0.66064743448578378</v>
      </c>
      <c r="H289" s="52">
        <v>95.687353961106226</v>
      </c>
      <c r="I289" s="52">
        <v>1.2038801316473169</v>
      </c>
      <c r="J289" s="52">
        <v>92.970485896813585</v>
      </c>
      <c r="K289" s="52">
        <v>0.10308392749764916</v>
      </c>
      <c r="L289" s="52">
        <v>89.305672810050254</v>
      </c>
      <c r="M289" s="52">
        <v>0.25704938463937399</v>
      </c>
      <c r="N289" s="52">
        <v>90.515792808025012</v>
      </c>
      <c r="O289" s="52">
        <v>0.8638942999915411</v>
      </c>
      <c r="P289" s="52">
        <v>93.97666485660848</v>
      </c>
      <c r="Q289" s="53">
        <v>0</v>
      </c>
      <c r="R289" s="52">
        <v>95.164215493018077</v>
      </c>
      <c r="S289" s="53">
        <v>0.26537335285503616</v>
      </c>
      <c r="T289" s="52">
        <v>90.627630067724127</v>
      </c>
      <c r="U289" s="53">
        <v>0.70468063098010347</v>
      </c>
      <c r="V289" s="52">
        <v>93.073188629613284</v>
      </c>
      <c r="W289" s="53">
        <v>0.29036941442168729</v>
      </c>
      <c r="X289" s="53">
        <v>89.745538448761465</v>
      </c>
      <c r="Y289" s="52">
        <v>0.22249690976514636</v>
      </c>
    </row>
    <row r="290" spans="1:25" ht="14.45" customHeight="1">
      <c r="A290" s="51" t="s">
        <v>4</v>
      </c>
      <c r="B290" s="52">
        <v>88.197229193212635</v>
      </c>
      <c r="C290" s="52">
        <v>0.37119524870081744</v>
      </c>
      <c r="D290" s="52">
        <v>84.448432782636871</v>
      </c>
      <c r="E290" s="52">
        <v>1.0997695093842852</v>
      </c>
      <c r="F290" s="52">
        <v>110.27697119377163</v>
      </c>
      <c r="G290" s="52">
        <v>-0.44336067390823297</v>
      </c>
      <c r="H290" s="52">
        <v>96.547188977444804</v>
      </c>
      <c r="I290" s="52">
        <v>0.8985879332477742</v>
      </c>
      <c r="J290" s="52">
        <v>93.058246588898456</v>
      </c>
      <c r="K290" s="52">
        <v>9.4396292800147386E-2</v>
      </c>
      <c r="L290" s="52">
        <v>89.61790614673366</v>
      </c>
      <c r="M290" s="52">
        <v>0.3496231839017927</v>
      </c>
      <c r="N290" s="52">
        <v>91.260653643963067</v>
      </c>
      <c r="O290" s="52">
        <v>0.82290704509193624</v>
      </c>
      <c r="P290" s="52">
        <v>94.057162618453873</v>
      </c>
      <c r="Q290" s="53">
        <v>8.5657180927012355E-2</v>
      </c>
      <c r="R290" s="52">
        <v>95.277123661440939</v>
      </c>
      <c r="S290" s="53">
        <v>0.11864561467556101</v>
      </c>
      <c r="T290" s="52">
        <v>90.633448109071466</v>
      </c>
      <c r="U290" s="53">
        <v>6.4197213840655465E-3</v>
      </c>
      <c r="V290" s="52">
        <v>93.237866943096591</v>
      </c>
      <c r="W290" s="53">
        <v>0.17693421264275422</v>
      </c>
      <c r="X290" s="53">
        <v>89.937397024626264</v>
      </c>
      <c r="Y290" s="52">
        <v>0.21378062818613319</v>
      </c>
    </row>
    <row r="291" spans="1:25" ht="14.45" customHeight="1">
      <c r="A291" s="51" t="s">
        <v>5</v>
      </c>
      <c r="B291" s="52">
        <v>87.779727516558381</v>
      </c>
      <c r="C291" s="52">
        <v>-0.47337278106508451</v>
      </c>
      <c r="D291" s="52">
        <v>84.833489471979263</v>
      </c>
      <c r="E291" s="52">
        <v>0.45596664929650199</v>
      </c>
      <c r="F291" s="52">
        <v>109.94547729238755</v>
      </c>
      <c r="G291" s="52">
        <v>-0.30060120240480437</v>
      </c>
      <c r="H291" s="52">
        <v>95.392553384075867</v>
      </c>
      <c r="I291" s="52">
        <v>-1.1959287531806639</v>
      </c>
      <c r="J291" s="52">
        <v>93.122072546778355</v>
      </c>
      <c r="K291" s="52">
        <v>6.8587105624140499E-2</v>
      </c>
      <c r="L291" s="52">
        <v>89.888508371859302</v>
      </c>
      <c r="M291" s="52">
        <v>0.30195106844226327</v>
      </c>
      <c r="N291" s="52">
        <v>91.245452402413321</v>
      </c>
      <c r="O291" s="52">
        <v>-1.665695011242585E-2</v>
      </c>
      <c r="P291" s="52">
        <v>94.280767512468827</v>
      </c>
      <c r="Q291" s="53">
        <v>0.23773297831874984</v>
      </c>
      <c r="R291" s="52">
        <v>95.233697442816762</v>
      </c>
      <c r="S291" s="53">
        <v>-4.5578851412941823E-2</v>
      </c>
      <c r="T291" s="52">
        <v>90.633448109071466</v>
      </c>
      <c r="U291" s="53">
        <v>0</v>
      </c>
      <c r="V291" s="52">
        <v>93.350147611380663</v>
      </c>
      <c r="W291" s="53">
        <v>0.12042389210018545</v>
      </c>
      <c r="X291" s="53">
        <v>90.210426536433886</v>
      </c>
      <c r="Y291" s="52">
        <v>0.30357728913685822</v>
      </c>
    </row>
    <row r="292" spans="1:25" ht="14.45" customHeight="1">
      <c r="A292" s="51" t="s">
        <v>6</v>
      </c>
      <c r="B292" s="52">
        <v>88.340745394562546</v>
      </c>
      <c r="C292" s="52">
        <v>0.63912009512485657</v>
      </c>
      <c r="D292" s="52">
        <v>84.976510528020725</v>
      </c>
      <c r="E292" s="52">
        <v>0.16859032550902153</v>
      </c>
      <c r="F292" s="52">
        <v>109.40526500865053</v>
      </c>
      <c r="G292" s="52">
        <v>-0.49134561697374846</v>
      </c>
      <c r="H292" s="52">
        <v>95.007674852952889</v>
      </c>
      <c r="I292" s="52">
        <v>-0.40346810885054651</v>
      </c>
      <c r="J292" s="52">
        <v>93.209833238863226</v>
      </c>
      <c r="K292" s="52">
        <v>9.4242631939689403E-2</v>
      </c>
      <c r="L292" s="52">
        <v>90.075848373869349</v>
      </c>
      <c r="M292" s="52">
        <v>0.20841373986877354</v>
      </c>
      <c r="N292" s="52">
        <v>91.815498960529183</v>
      </c>
      <c r="O292" s="52">
        <v>0.62473969179508426</v>
      </c>
      <c r="P292" s="52">
        <v>94.280767512468827</v>
      </c>
      <c r="Q292" s="53">
        <v>0</v>
      </c>
      <c r="R292" s="52">
        <v>95.181585980467759</v>
      </c>
      <c r="S292" s="53">
        <v>-5.4719562243499276E-2</v>
      </c>
      <c r="T292" s="52">
        <v>90.63926615041882</v>
      </c>
      <c r="U292" s="53">
        <v>6.4193092823128239E-3</v>
      </c>
      <c r="V292" s="52">
        <v>93.410030634465514</v>
      </c>
      <c r="W292" s="53">
        <v>6.4148825274656929E-2</v>
      </c>
      <c r="X292" s="53">
        <v>90.439180992272696</v>
      </c>
      <c r="Y292" s="52">
        <v>0.25357873210634096</v>
      </c>
    </row>
    <row r="293" spans="1:25" ht="14.45" customHeight="1">
      <c r="A293" s="51" t="s">
        <v>7</v>
      </c>
      <c r="B293" s="52">
        <v>88.014572209676402</v>
      </c>
      <c r="C293" s="52">
        <v>-0.36922168069709604</v>
      </c>
      <c r="D293" s="52">
        <v>85.169038872691942</v>
      </c>
      <c r="E293" s="52">
        <v>0.22656654583119717</v>
      </c>
      <c r="F293" s="52">
        <v>109.2088241782007</v>
      </c>
      <c r="G293" s="52">
        <v>-0.17955336101448394</v>
      </c>
      <c r="H293" s="52">
        <v>95.155075141468075</v>
      </c>
      <c r="I293" s="52">
        <v>0.1551456645406013</v>
      </c>
      <c r="J293" s="52">
        <v>93.217811483598211</v>
      </c>
      <c r="K293" s="52">
        <v>8.5594453479442834E-3</v>
      </c>
      <c r="L293" s="52">
        <v>90.367266154773873</v>
      </c>
      <c r="M293" s="52">
        <v>0.32352488060392037</v>
      </c>
      <c r="N293" s="52">
        <v>91.275854885512828</v>
      </c>
      <c r="O293" s="52">
        <v>-0.58774834437086421</v>
      </c>
      <c r="P293" s="52">
        <v>94.280767512468827</v>
      </c>
      <c r="Q293" s="53">
        <v>0</v>
      </c>
      <c r="R293" s="52">
        <v>95.1207892743939</v>
      </c>
      <c r="S293" s="53">
        <v>-6.38744410986547E-2</v>
      </c>
      <c r="T293" s="52">
        <v>90.575267695597944</v>
      </c>
      <c r="U293" s="53">
        <v>-7.0607869567995696E-2</v>
      </c>
      <c r="V293" s="52">
        <v>93.582194325834422</v>
      </c>
      <c r="W293" s="53">
        <v>0.18430964019551244</v>
      </c>
      <c r="X293" s="53">
        <v>90.601522864158298</v>
      </c>
      <c r="Y293" s="52">
        <v>0.17950391644907526</v>
      </c>
    </row>
    <row r="294" spans="1:25" ht="14.45" customHeight="1">
      <c r="A294" s="51" t="s">
        <v>8</v>
      </c>
      <c r="B294" s="52">
        <v>88.008048745978684</v>
      </c>
      <c r="C294" s="52">
        <v>-7.4117995849332097E-3</v>
      </c>
      <c r="D294" s="52">
        <v>85.290056689342407</v>
      </c>
      <c r="E294" s="52">
        <v>0.14209132597040597</v>
      </c>
      <c r="F294" s="52">
        <v>108.79138741349482</v>
      </c>
      <c r="G294" s="52">
        <v>-0.38223721191680271</v>
      </c>
      <c r="H294" s="52">
        <v>95.097752807045495</v>
      </c>
      <c r="I294" s="52">
        <v>-6.0240963855429097E-2</v>
      </c>
      <c r="J294" s="52">
        <v>93.369398133562981</v>
      </c>
      <c r="K294" s="52">
        <v>0.16261554262237965</v>
      </c>
      <c r="L294" s="52">
        <v>90.519913563819102</v>
      </c>
      <c r="M294" s="52">
        <v>0.16891891891892552</v>
      </c>
      <c r="N294" s="52">
        <v>91.291056127062589</v>
      </c>
      <c r="O294" s="52">
        <v>1.665417603464725E-2</v>
      </c>
      <c r="P294" s="52">
        <v>94.280767512468827</v>
      </c>
      <c r="Q294" s="53">
        <v>0</v>
      </c>
      <c r="R294" s="52">
        <v>95.416087561038296</v>
      </c>
      <c r="S294" s="53">
        <v>0.31044558071584571</v>
      </c>
      <c r="T294" s="52">
        <v>90.592721819640005</v>
      </c>
      <c r="U294" s="53">
        <v>1.9270298047269208E-2</v>
      </c>
      <c r="V294" s="52">
        <v>93.739387261432128</v>
      </c>
      <c r="W294" s="53">
        <v>0.16797312430010258</v>
      </c>
      <c r="X294" s="53">
        <v>90.86717319997112</v>
      </c>
      <c r="Y294" s="52">
        <v>0.29320736276268189</v>
      </c>
    </row>
    <row r="295" spans="1:25" ht="14.45" customHeight="1">
      <c r="A295" s="51" t="s">
        <v>9</v>
      </c>
      <c r="B295" s="52">
        <v>88.451644277423839</v>
      </c>
      <c r="C295" s="52">
        <v>0.50403973019050863</v>
      </c>
      <c r="D295" s="52">
        <v>85.367068027210891</v>
      </c>
      <c r="E295" s="52">
        <v>9.0293453724599182E-2</v>
      </c>
      <c r="F295" s="52">
        <v>108.05473429930797</v>
      </c>
      <c r="G295" s="52">
        <v>-0.67712447804988418</v>
      </c>
      <c r="H295" s="52">
        <v>95.187830761138116</v>
      </c>
      <c r="I295" s="52">
        <v>9.4721432876965217E-2</v>
      </c>
      <c r="J295" s="52">
        <v>93.441202336177881</v>
      </c>
      <c r="K295" s="52">
        <v>7.6903358113322717E-2</v>
      </c>
      <c r="L295" s="52">
        <v>90.936224679396986</v>
      </c>
      <c r="M295" s="52">
        <v>0.45991108385712298</v>
      </c>
      <c r="N295" s="52">
        <v>91.093439986915755</v>
      </c>
      <c r="O295" s="52">
        <v>-0.21646823744900789</v>
      </c>
      <c r="P295" s="52">
        <v>94.468595623441402</v>
      </c>
      <c r="Q295" s="53">
        <v>0.19922208519116413</v>
      </c>
      <c r="R295" s="52">
        <v>95.780867797481378</v>
      </c>
      <c r="S295" s="53">
        <v>0.38230475150191623</v>
      </c>
      <c r="T295" s="52">
        <v>90.726536770629124</v>
      </c>
      <c r="U295" s="53">
        <v>0.14771048744459669</v>
      </c>
      <c r="V295" s="52">
        <v>93.896580197029834</v>
      </c>
      <c r="W295" s="53">
        <v>0.1676914477361624</v>
      </c>
      <c r="X295" s="53">
        <v>91.125444359789114</v>
      </c>
      <c r="Y295" s="52">
        <v>0.2842293324671008</v>
      </c>
    </row>
    <row r="296" spans="1:25" ht="14.45" customHeight="1">
      <c r="A296" s="51" t="s">
        <v>10</v>
      </c>
      <c r="B296" s="52">
        <v>88.529925841796512</v>
      </c>
      <c r="C296" s="52">
        <v>8.8502101924925469E-2</v>
      </c>
      <c r="D296" s="52">
        <v>85.284555879494647</v>
      </c>
      <c r="E296" s="52">
        <v>-9.665571235262238E-2</v>
      </c>
      <c r="F296" s="52">
        <v>107.41630160034602</v>
      </c>
      <c r="G296" s="52">
        <v>-0.59084194977844229</v>
      </c>
      <c r="H296" s="52">
        <v>97.43977961345341</v>
      </c>
      <c r="I296" s="52">
        <v>2.3657949070887918</v>
      </c>
      <c r="J296" s="52">
        <v>93.520984783527751</v>
      </c>
      <c r="K296" s="52">
        <v>8.5382513661191872E-2</v>
      </c>
      <c r="L296" s="52">
        <v>91.241519497487431</v>
      </c>
      <c r="M296" s="52">
        <v>0.33572409583395579</v>
      </c>
      <c r="N296" s="52">
        <v>91.792697098204556</v>
      </c>
      <c r="O296" s="52">
        <v>0.76762619941594945</v>
      </c>
      <c r="P296" s="52">
        <v>95.532954918952626</v>
      </c>
      <c r="Q296" s="53">
        <v>1.1266805529255741</v>
      </c>
      <c r="R296" s="52">
        <v>95.902461209629067</v>
      </c>
      <c r="S296" s="53">
        <v>0.12694958287993163</v>
      </c>
      <c r="T296" s="52">
        <v>92.629036291213694</v>
      </c>
      <c r="U296" s="53">
        <v>2.0969603693728356</v>
      </c>
      <c r="V296" s="52">
        <v>94.061258510513142</v>
      </c>
      <c r="W296" s="53">
        <v>0.17538265306122902</v>
      </c>
      <c r="X296" s="53">
        <v>91.28040705567993</v>
      </c>
      <c r="Y296" s="52">
        <v>0.17005425540530528</v>
      </c>
    </row>
    <row r="297" spans="1:25" ht="14.45" customHeight="1">
      <c r="A297" s="51" t="s">
        <v>11</v>
      </c>
      <c r="B297" s="52">
        <v>89.149654893080182</v>
      </c>
      <c r="C297" s="52">
        <v>0.70002210596125103</v>
      </c>
      <c r="D297" s="52">
        <v>87.083320699708452</v>
      </c>
      <c r="E297" s="52">
        <v>2.1091331269349922</v>
      </c>
      <c r="F297" s="52">
        <v>107.30580363321801</v>
      </c>
      <c r="G297" s="52">
        <v>-0.10286889930276599</v>
      </c>
      <c r="H297" s="52">
        <v>98.512526157647244</v>
      </c>
      <c r="I297" s="52">
        <v>1.1009328515001249</v>
      </c>
      <c r="J297" s="52">
        <v>93.584810741407651</v>
      </c>
      <c r="K297" s="52">
        <v>6.8247739293636478E-2</v>
      </c>
      <c r="L297" s="52">
        <v>91.567629871356786</v>
      </c>
      <c r="M297" s="52">
        <v>0.35741444866921324</v>
      </c>
      <c r="N297" s="52">
        <v>92.431149243294328</v>
      </c>
      <c r="O297" s="52">
        <v>0.69553697110209534</v>
      </c>
      <c r="P297" s="52">
        <v>95.532954918952626</v>
      </c>
      <c r="Q297" s="53">
        <v>0</v>
      </c>
      <c r="R297" s="52">
        <v>95.711385847682692</v>
      </c>
      <c r="S297" s="53">
        <v>-0.19923926824850779</v>
      </c>
      <c r="T297" s="52">
        <v>94.519899729103557</v>
      </c>
      <c r="U297" s="53">
        <v>2.0413290622448343</v>
      </c>
      <c r="V297" s="52">
        <v>94.225936823996449</v>
      </c>
      <c r="W297" s="53">
        <v>0.1750756008276344</v>
      </c>
      <c r="X297" s="53">
        <v>91.450128103560345</v>
      </c>
      <c r="Y297" s="52">
        <v>0.18593371059014707</v>
      </c>
    </row>
    <row r="298" spans="1:25" ht="14.45" customHeight="1">
      <c r="A298" s="51" t="s">
        <v>12</v>
      </c>
      <c r="B298" s="52">
        <v>88.914810199962162</v>
      </c>
      <c r="C298" s="52">
        <v>-0.26342748426751994</v>
      </c>
      <c r="D298" s="52">
        <v>87.809427599611269</v>
      </c>
      <c r="E298" s="52">
        <v>0.83380708736024989</v>
      </c>
      <c r="F298" s="52">
        <v>106.69192603806229</v>
      </c>
      <c r="G298" s="52">
        <v>-0.57208237986270394</v>
      </c>
      <c r="H298" s="52">
        <v>99.372361173985809</v>
      </c>
      <c r="I298" s="52">
        <v>0.87281795511222615</v>
      </c>
      <c r="J298" s="52">
        <v>93.65661494402255</v>
      </c>
      <c r="K298" s="52">
        <v>7.6726342711008755E-2</v>
      </c>
      <c r="L298" s="52">
        <v>91.803539503517584</v>
      </c>
      <c r="M298" s="52">
        <v>0.2576343108282142</v>
      </c>
      <c r="N298" s="52">
        <v>91.937108892927228</v>
      </c>
      <c r="O298" s="52">
        <v>-0.53449551846066479</v>
      </c>
      <c r="P298" s="52">
        <v>95.532954918952626</v>
      </c>
      <c r="Q298" s="53">
        <v>0</v>
      </c>
      <c r="R298" s="52">
        <v>95.806923528655886</v>
      </c>
      <c r="S298" s="53">
        <v>9.9818511796745391E-2</v>
      </c>
      <c r="T298" s="52">
        <v>94.543171894492957</v>
      </c>
      <c r="U298" s="53">
        <v>2.4621445278816267E-2</v>
      </c>
      <c r="V298" s="52">
        <v>94.420556649022188</v>
      </c>
      <c r="W298" s="53">
        <v>0.20654591674611478</v>
      </c>
      <c r="X298" s="53">
        <v>91.737915967357551</v>
      </c>
      <c r="Y298" s="52">
        <v>0.31469377874606685</v>
      </c>
    </row>
    <row r="299" spans="1:25" ht="14.45" customHeight="1">
      <c r="A299" s="51" t="s">
        <v>13</v>
      </c>
      <c r="B299" s="52">
        <v>89.912900145713763</v>
      </c>
      <c r="C299" s="52">
        <v>1.1225238444607655</v>
      </c>
      <c r="D299" s="52">
        <v>88.001955944282471</v>
      </c>
      <c r="E299" s="52">
        <v>0.21925703188623302</v>
      </c>
      <c r="F299" s="52">
        <v>106.48320765570935</v>
      </c>
      <c r="G299" s="52">
        <v>-0.19562715765247818</v>
      </c>
      <c r="H299" s="52">
        <v>99.953773423129036</v>
      </c>
      <c r="I299" s="52">
        <v>0.58508446641944989</v>
      </c>
      <c r="J299" s="52">
        <v>93.728419146637435</v>
      </c>
      <c r="K299" s="52">
        <v>7.6667518527973044E-2</v>
      </c>
      <c r="L299" s="52">
        <v>91.970063949748749</v>
      </c>
      <c r="M299" s="52">
        <v>0.18139218502004617</v>
      </c>
      <c r="N299" s="52">
        <v>93.723254775023634</v>
      </c>
      <c r="O299" s="52">
        <v>1.9427910052910224</v>
      </c>
      <c r="P299" s="52">
        <v>95.532954918952626</v>
      </c>
      <c r="Q299" s="53">
        <v>0</v>
      </c>
      <c r="R299" s="52">
        <v>95.989313646877406</v>
      </c>
      <c r="S299" s="53">
        <v>0.19037258634755361</v>
      </c>
      <c r="T299" s="52">
        <v>94.543171894492957</v>
      </c>
      <c r="U299" s="53">
        <v>0</v>
      </c>
      <c r="V299" s="52">
        <v>94.600205718276698</v>
      </c>
      <c r="W299" s="53">
        <v>0.19026478515933309</v>
      </c>
      <c r="X299" s="53">
        <v>91.94453289521195</v>
      </c>
      <c r="Y299" s="52">
        <v>0.22522522522521182</v>
      </c>
    </row>
    <row r="300" spans="1:25" ht="14.45" customHeight="1">
      <c r="A300" s="57" t="s">
        <v>14</v>
      </c>
      <c r="B300" s="58">
        <v>92.000408528985062</v>
      </c>
      <c r="C300" s="58">
        <v>2.3217006457229905</v>
      </c>
      <c r="D300" s="58">
        <v>88.194484288953689</v>
      </c>
      <c r="E300" s="58">
        <v>0.21877734716841957</v>
      </c>
      <c r="F300" s="58">
        <v>106.88836686851212</v>
      </c>
      <c r="G300" s="58">
        <v>0.38049117952265732</v>
      </c>
      <c r="H300" s="58">
        <v>100.07660699689168</v>
      </c>
      <c r="I300" s="58">
        <v>0.12289038177943912</v>
      </c>
      <c r="J300" s="58">
        <v>93.824158083457291</v>
      </c>
      <c r="K300" s="58">
        <v>0.10214504596526286</v>
      </c>
      <c r="L300" s="58">
        <v>92.060264691457292</v>
      </c>
      <c r="M300" s="58">
        <v>9.8076197661267628E-2</v>
      </c>
      <c r="N300" s="58">
        <v>94.452914369411928</v>
      </c>
      <c r="O300" s="58">
        <v>0.77852566701805959</v>
      </c>
      <c r="P300" s="58">
        <v>99.683061751870341</v>
      </c>
      <c r="Q300" s="58">
        <v>4.3441625315981724</v>
      </c>
      <c r="R300" s="58">
        <v>96.414890589394332</v>
      </c>
      <c r="S300" s="58">
        <v>0.44335866811437974</v>
      </c>
      <c r="T300" s="58">
        <v>94.543171894492957</v>
      </c>
      <c r="U300" s="58">
        <v>0</v>
      </c>
      <c r="V300" s="59">
        <v>94.727457142331986</v>
      </c>
      <c r="W300" s="58">
        <v>0.13451495489793519</v>
      </c>
      <c r="X300" s="59">
        <v>92.291354166967565</v>
      </c>
      <c r="Y300" s="58">
        <v>0.37720706260031545</v>
      </c>
    </row>
    <row r="301" spans="1:25" ht="5.0999999999999996" customHeight="1">
      <c r="A301" s="5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3"/>
      <c r="W301" s="52"/>
      <c r="X301" s="53"/>
      <c r="Y301" s="52"/>
    </row>
    <row r="302" spans="1:25" ht="14.1" customHeight="1">
      <c r="A302" s="51">
        <v>2018</v>
      </c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3"/>
      <c r="R302" s="52"/>
      <c r="S302" s="53"/>
      <c r="T302" s="52"/>
      <c r="U302" s="53"/>
      <c r="V302" s="52"/>
      <c r="W302" s="53"/>
      <c r="X302" s="53"/>
      <c r="Y302" s="52"/>
    </row>
    <row r="303" spans="1:25" ht="14.45" customHeight="1">
      <c r="A303" s="51" t="s">
        <v>3</v>
      </c>
      <c r="B303" s="52">
        <v>92.463574451523385</v>
      </c>
      <c r="C303" s="52">
        <v>0.50343898461320258</v>
      </c>
      <c r="D303" s="52">
        <v>88.403515063168129</v>
      </c>
      <c r="E303" s="52">
        <v>0.23701116447325532</v>
      </c>
      <c r="F303" s="52">
        <v>106.10260354671281</v>
      </c>
      <c r="G303" s="52">
        <v>-0.73512520101080003</v>
      </c>
      <c r="H303" s="52">
        <v>100.06841809197418</v>
      </c>
      <c r="I303" s="52">
        <v>-8.1826364454529177E-3</v>
      </c>
      <c r="J303" s="52">
        <v>93.951809999217105</v>
      </c>
      <c r="K303" s="52">
        <v>0.13605442176871652</v>
      </c>
      <c r="L303" s="52">
        <v>92.566776548743718</v>
      </c>
      <c r="M303" s="52">
        <v>0.55019596020500217</v>
      </c>
      <c r="N303" s="52">
        <v>94.559323060260226</v>
      </c>
      <c r="O303" s="52">
        <v>0.11265792226604621</v>
      </c>
      <c r="P303" s="52">
        <v>99.683061751870341</v>
      </c>
      <c r="Q303" s="53">
        <v>0</v>
      </c>
      <c r="R303" s="52">
        <v>97.48317556754904</v>
      </c>
      <c r="S303" s="53">
        <v>1.1080082875416508</v>
      </c>
      <c r="T303" s="52">
        <v>95.055159533060063</v>
      </c>
      <c r="U303" s="53">
        <v>0.54153846153845997</v>
      </c>
      <c r="V303" s="52">
        <v>94.937047723128927</v>
      </c>
      <c r="W303" s="53">
        <v>0.22125642038719473</v>
      </c>
      <c r="X303" s="53">
        <v>92.564383678775187</v>
      </c>
      <c r="Y303" s="52">
        <v>0.2958343327736479</v>
      </c>
    </row>
    <row r="304" spans="1:25" ht="14.45" customHeight="1">
      <c r="A304" s="51" t="s">
        <v>4</v>
      </c>
      <c r="B304" s="52">
        <v>91.869939255030602</v>
      </c>
      <c r="C304" s="52">
        <v>-0.64202060110061243</v>
      </c>
      <c r="D304" s="52">
        <v>89.355155166828638</v>
      </c>
      <c r="E304" s="52">
        <v>1.0764731503951186</v>
      </c>
      <c r="F304" s="52">
        <v>105.79566474913496</v>
      </c>
      <c r="G304" s="52">
        <v>-0.2892848877574683</v>
      </c>
      <c r="H304" s="52">
        <v>99.437872413325891</v>
      </c>
      <c r="I304" s="52">
        <v>-0.63011456628478957</v>
      </c>
      <c r="J304" s="52">
        <v>94.047548936036947</v>
      </c>
      <c r="K304" s="52">
        <v>0.10190217391303769</v>
      </c>
      <c r="L304" s="52">
        <v>92.93451803417085</v>
      </c>
      <c r="M304" s="52">
        <v>0.39727156884790116</v>
      </c>
      <c r="N304" s="52">
        <v>94.81774416660609</v>
      </c>
      <c r="O304" s="52">
        <v>0.27328992846233913</v>
      </c>
      <c r="P304" s="52">
        <v>99.683061751870341</v>
      </c>
      <c r="Q304" s="53">
        <v>0</v>
      </c>
      <c r="R304" s="52">
        <v>97.821900072817613</v>
      </c>
      <c r="S304" s="53">
        <v>0.34746970776906583</v>
      </c>
      <c r="T304" s="52">
        <v>95.055159533060063</v>
      </c>
      <c r="U304" s="53">
        <v>0</v>
      </c>
      <c r="V304" s="52">
        <v>95.146638303925883</v>
      </c>
      <c r="W304" s="53">
        <v>0.22076795710794794</v>
      </c>
      <c r="X304" s="53">
        <v>92.711967198671189</v>
      </c>
      <c r="Y304" s="52">
        <v>0.15943877551019003</v>
      </c>
    </row>
    <row r="305" spans="1:25" ht="14.45" customHeight="1">
      <c r="A305" s="51" t="s">
        <v>5</v>
      </c>
      <c r="B305" s="52">
        <v>92.483144842616554</v>
      </c>
      <c r="C305" s="52">
        <v>0.66747141944187849</v>
      </c>
      <c r="D305" s="52">
        <v>90.108766115970198</v>
      </c>
      <c r="E305" s="52">
        <v>0.84338832799801811</v>
      </c>
      <c r="F305" s="52">
        <v>105.42733819204153</v>
      </c>
      <c r="G305" s="52">
        <v>-0.34814900777532243</v>
      </c>
      <c r="H305" s="52">
        <v>99.462439128078415</v>
      </c>
      <c r="I305" s="52">
        <v>2.4705591698914731E-2</v>
      </c>
      <c r="J305" s="52">
        <v>94.223070320206674</v>
      </c>
      <c r="K305" s="52">
        <v>0.18663047166609381</v>
      </c>
      <c r="L305" s="52">
        <v>93.253689889447244</v>
      </c>
      <c r="M305" s="52">
        <v>0.34343736001196667</v>
      </c>
      <c r="N305" s="52">
        <v>95.364988862397325</v>
      </c>
      <c r="O305" s="52">
        <v>0.57715430861724482</v>
      </c>
      <c r="P305" s="52">
        <v>99.683061751870341</v>
      </c>
      <c r="Q305" s="53">
        <v>0</v>
      </c>
      <c r="R305" s="52">
        <v>98.047716409663337</v>
      </c>
      <c r="S305" s="53">
        <v>0.23084435763118805</v>
      </c>
      <c r="T305" s="52">
        <v>95.17733840135449</v>
      </c>
      <c r="U305" s="53">
        <v>0.12853470437017567</v>
      </c>
      <c r="V305" s="52">
        <v>95.266404350095556</v>
      </c>
      <c r="W305" s="53">
        <v>0.12587522618203728</v>
      </c>
      <c r="X305" s="53">
        <v>92.955480006499599</v>
      </c>
      <c r="Y305" s="52">
        <v>0.26265520534860531</v>
      </c>
    </row>
    <row r="306" spans="1:25" ht="14.45" customHeight="1">
      <c r="A306" s="51" t="s">
        <v>6</v>
      </c>
      <c r="B306" s="52">
        <v>92.665801826152787</v>
      </c>
      <c r="C306" s="52">
        <v>0.19750299781335912</v>
      </c>
      <c r="D306" s="52">
        <v>90.460817946226101</v>
      </c>
      <c r="E306" s="52">
        <v>0.39069653867285226</v>
      </c>
      <c r="F306" s="52">
        <v>105.35367288062285</v>
      </c>
      <c r="G306" s="52">
        <v>-6.9873063933845181E-2</v>
      </c>
      <c r="H306" s="52">
        <v>99.609839416593601</v>
      </c>
      <c r="I306" s="52">
        <v>0.14819693726328964</v>
      </c>
      <c r="J306" s="52">
        <v>94.446461172786343</v>
      </c>
      <c r="K306" s="52">
        <v>0.23708721422524004</v>
      </c>
      <c r="L306" s="52">
        <v>93.496538040201003</v>
      </c>
      <c r="M306" s="52">
        <v>0.26041666666665186</v>
      </c>
      <c r="N306" s="52">
        <v>96.687496877226138</v>
      </c>
      <c r="O306" s="52">
        <v>1.3867856858213123</v>
      </c>
      <c r="P306" s="52">
        <v>99.692005947630932</v>
      </c>
      <c r="Q306" s="53">
        <v>8.9726334679074427E-3</v>
      </c>
      <c r="R306" s="52">
        <v>97.926122997515634</v>
      </c>
      <c r="S306" s="53">
        <v>-0.1240145274160831</v>
      </c>
      <c r="T306" s="52">
        <v>95.17733840135449</v>
      </c>
      <c r="U306" s="53">
        <v>0</v>
      </c>
      <c r="V306" s="52">
        <v>95.543363331862949</v>
      </c>
      <c r="W306" s="53">
        <v>0.29072051543961308</v>
      </c>
      <c r="X306" s="53">
        <v>93.191613638333223</v>
      </c>
      <c r="Y306" s="52">
        <v>0.25402873700088868</v>
      </c>
    </row>
    <row r="307" spans="1:25" ht="14.45" customHeight="1">
      <c r="A307" s="51" t="s">
        <v>7</v>
      </c>
      <c r="B307" s="52">
        <v>92.430957133034767</v>
      </c>
      <c r="C307" s="52">
        <v>-0.25343189017951184</v>
      </c>
      <c r="D307" s="52">
        <v>90.702853579527044</v>
      </c>
      <c r="E307" s="52">
        <v>0.26755852842810235</v>
      </c>
      <c r="F307" s="52">
        <v>105.4887259515571</v>
      </c>
      <c r="G307" s="52">
        <v>0.12819018762382228</v>
      </c>
      <c r="H307" s="52">
        <v>100.77266391488004</v>
      </c>
      <c r="I307" s="52">
        <v>1.1673791515948606</v>
      </c>
      <c r="J307" s="52">
        <v>94.614004312221098</v>
      </c>
      <c r="K307" s="52">
        <v>0.1773948302078221</v>
      </c>
      <c r="L307" s="52">
        <v>93.697755079396984</v>
      </c>
      <c r="M307" s="52">
        <v>0.21521335807050956</v>
      </c>
      <c r="N307" s="52">
        <v>97.523565162462745</v>
      </c>
      <c r="O307" s="52">
        <v>0.864711893719039</v>
      </c>
      <c r="P307" s="52">
        <v>99.692005947630932</v>
      </c>
      <c r="Q307" s="53">
        <v>0</v>
      </c>
      <c r="R307" s="52">
        <v>97.500546054998722</v>
      </c>
      <c r="S307" s="53">
        <v>-0.4345898004434523</v>
      </c>
      <c r="T307" s="52">
        <v>95.316971393690977</v>
      </c>
      <c r="U307" s="53">
        <v>0.14670823399964839</v>
      </c>
      <c r="V307" s="52">
        <v>95.708041645346256</v>
      </c>
      <c r="W307" s="53">
        <v>0.17235976183014312</v>
      </c>
      <c r="X307" s="53">
        <v>93.427747270166819</v>
      </c>
      <c r="Y307" s="52">
        <v>0.25338506611765066</v>
      </c>
    </row>
    <row r="308" spans="1:25" ht="14.45" customHeight="1">
      <c r="A308" s="51" t="s">
        <v>8</v>
      </c>
      <c r="B308" s="52">
        <v>92.744083390525446</v>
      </c>
      <c r="C308" s="52">
        <v>0.33876773237346836</v>
      </c>
      <c r="D308" s="52">
        <v>90.906383543893739</v>
      </c>
      <c r="E308" s="52">
        <v>0.22439201892170413</v>
      </c>
      <c r="F308" s="52">
        <v>104.99762387543252</v>
      </c>
      <c r="G308" s="52">
        <v>-0.46554934823092031</v>
      </c>
      <c r="H308" s="52">
        <v>100.89549748864269</v>
      </c>
      <c r="I308" s="52">
        <v>0.12189176011700997</v>
      </c>
      <c r="J308" s="52">
        <v>94.805482185860797</v>
      </c>
      <c r="K308" s="52">
        <v>0.20237794080444349</v>
      </c>
      <c r="L308" s="52">
        <v>93.947541748743717</v>
      </c>
      <c r="M308" s="52">
        <v>0.26658767772511638</v>
      </c>
      <c r="N308" s="52">
        <v>97.835190614232758</v>
      </c>
      <c r="O308" s="52">
        <v>0.31953861741096379</v>
      </c>
      <c r="P308" s="52">
        <v>99.692005947630932</v>
      </c>
      <c r="Q308" s="53">
        <v>0</v>
      </c>
      <c r="R308" s="52">
        <v>97.352896911676524</v>
      </c>
      <c r="S308" s="53">
        <v>-0.15143417067522424</v>
      </c>
      <c r="T308" s="52">
        <v>95.316971393690977</v>
      </c>
      <c r="U308" s="53">
        <v>0</v>
      </c>
      <c r="V308" s="52">
        <v>95.842778447287145</v>
      </c>
      <c r="W308" s="53">
        <v>0.14077897700610631</v>
      </c>
      <c r="X308" s="53">
        <v>93.612226670036833</v>
      </c>
      <c r="Y308" s="52">
        <v>0.1974567569702268</v>
      </c>
    </row>
    <row r="309" spans="1:25" ht="14.45" customHeight="1">
      <c r="A309" s="51" t="s">
        <v>9</v>
      </c>
      <c r="B309" s="52">
        <v>92.202635903614464</v>
      </c>
      <c r="C309" s="52">
        <v>-0.58380811704296098</v>
      </c>
      <c r="D309" s="52">
        <v>90.994396501457715</v>
      </c>
      <c r="E309" s="52">
        <v>9.681713663318714E-2</v>
      </c>
      <c r="F309" s="52">
        <v>104.54335445501732</v>
      </c>
      <c r="G309" s="52">
        <v>-0.4326473339569481</v>
      </c>
      <c r="H309" s="52">
        <v>101.34588725910577</v>
      </c>
      <c r="I309" s="52">
        <v>0.44639233828425162</v>
      </c>
      <c r="J309" s="52">
        <v>94.925155856885624</v>
      </c>
      <c r="K309" s="52">
        <v>0.12623074981066296</v>
      </c>
      <c r="L309" s="52">
        <v>94.134881750753763</v>
      </c>
      <c r="M309" s="52">
        <v>0.1994091580502122</v>
      </c>
      <c r="N309" s="52">
        <v>98.131614824453024</v>
      </c>
      <c r="O309" s="52">
        <v>0.30298321939095096</v>
      </c>
      <c r="P309" s="52">
        <v>99.826168884039902</v>
      </c>
      <c r="Q309" s="53">
        <v>0.13457742687958962</v>
      </c>
      <c r="R309" s="52">
        <v>97.778473854193436</v>
      </c>
      <c r="S309" s="53">
        <v>0.43714871977873493</v>
      </c>
      <c r="T309" s="52">
        <v>95.316971393690977</v>
      </c>
      <c r="U309" s="53">
        <v>0</v>
      </c>
      <c r="V309" s="52">
        <v>95.955059115571217</v>
      </c>
      <c r="W309" s="53">
        <v>0.11715089034676218</v>
      </c>
      <c r="X309" s="53">
        <v>93.730293485953638</v>
      </c>
      <c r="Y309" s="52">
        <v>0.12612328551158125</v>
      </c>
    </row>
    <row r="310" spans="1:25" ht="14.45" customHeight="1">
      <c r="A310" s="51" t="s">
        <v>10</v>
      </c>
      <c r="B310" s="52">
        <v>91.465484505771784</v>
      </c>
      <c r="C310" s="52">
        <v>-0.79949059006650947</v>
      </c>
      <c r="D310" s="52">
        <v>91.010898931000966</v>
      </c>
      <c r="E310" s="52">
        <v>1.8135654697148951E-2</v>
      </c>
      <c r="F310" s="52">
        <v>104.02769727508652</v>
      </c>
      <c r="G310" s="52">
        <v>-0.49324721080445943</v>
      </c>
      <c r="H310" s="52">
        <v>101.83722155415637</v>
      </c>
      <c r="I310" s="52">
        <v>0.48480930833871838</v>
      </c>
      <c r="J310" s="52">
        <v>95.036851283175451</v>
      </c>
      <c r="K310" s="52">
        <v>0.11766683476213124</v>
      </c>
      <c r="L310" s="52">
        <v>94.308344715577874</v>
      </c>
      <c r="M310" s="52">
        <v>0.18427065674060383</v>
      </c>
      <c r="N310" s="52">
        <v>98.481243380097396</v>
      </c>
      <c r="O310" s="52">
        <v>0.35628533808378382</v>
      </c>
      <c r="P310" s="52">
        <v>99.826168884039902</v>
      </c>
      <c r="Q310" s="53">
        <v>0</v>
      </c>
      <c r="R310" s="52">
        <v>98.082457384562673</v>
      </c>
      <c r="S310" s="53">
        <v>0.31089003375377455</v>
      </c>
      <c r="T310" s="52">
        <v>97.260197203706994</v>
      </c>
      <c r="U310" s="53">
        <v>2.0386986510406935</v>
      </c>
      <c r="V310" s="52">
        <v>96.097281295397721</v>
      </c>
      <c r="W310" s="53">
        <v>0.14821748966378223</v>
      </c>
      <c r="X310" s="53">
        <v>93.855739477865242</v>
      </c>
      <c r="Y310" s="52">
        <v>0.13383719099353542</v>
      </c>
    </row>
    <row r="311" spans="1:25" ht="14.45" customHeight="1">
      <c r="A311" s="51" t="s">
        <v>11</v>
      </c>
      <c r="B311" s="52">
        <v>90.715286180533653</v>
      </c>
      <c r="C311" s="52">
        <v>-0.8201982740175473</v>
      </c>
      <c r="D311" s="52">
        <v>91.175923226433426</v>
      </c>
      <c r="E311" s="52">
        <v>0.18132366273799772</v>
      </c>
      <c r="F311" s="52">
        <v>103.97858706747405</v>
      </c>
      <c r="G311" s="52">
        <v>-4.7208780833252195E-2</v>
      </c>
      <c r="H311" s="52">
        <v>102.71343438032996</v>
      </c>
      <c r="I311" s="52">
        <v>0.86040527500803599</v>
      </c>
      <c r="J311" s="52">
        <v>95.17248144367025</v>
      </c>
      <c r="K311" s="52">
        <v>0.14271323035595085</v>
      </c>
      <c r="L311" s="52">
        <v>94.502623236180895</v>
      </c>
      <c r="M311" s="52">
        <v>0.20600353148911843</v>
      </c>
      <c r="N311" s="52">
        <v>99.089293042087675</v>
      </c>
      <c r="O311" s="52">
        <v>0.6174268735046784</v>
      </c>
      <c r="P311" s="52">
        <v>99.826168884039902</v>
      </c>
      <c r="Q311" s="53">
        <v>0</v>
      </c>
      <c r="R311" s="52">
        <v>97.839270560267295</v>
      </c>
      <c r="S311" s="53">
        <v>-0.2479412025148231</v>
      </c>
      <c r="T311" s="52">
        <v>98.481985886651231</v>
      </c>
      <c r="U311" s="53">
        <v>1.2562062571035648</v>
      </c>
      <c r="V311" s="52">
        <v>96.17213507425376</v>
      </c>
      <c r="W311" s="53">
        <v>7.7893752920998871E-2</v>
      </c>
      <c r="X311" s="53">
        <v>94.003322997761245</v>
      </c>
      <c r="Y311" s="52">
        <v>0.1572450664360403</v>
      </c>
    </row>
    <row r="312" spans="1:25" ht="14.45" customHeight="1">
      <c r="A312" s="51" t="s">
        <v>12</v>
      </c>
      <c r="B312" s="52">
        <v>91.230639812653763</v>
      </c>
      <c r="C312" s="52">
        <v>0.56810010067598338</v>
      </c>
      <c r="D312" s="52">
        <v>91.291440233236159</v>
      </c>
      <c r="E312" s="52">
        <v>0.12669683257919839</v>
      </c>
      <c r="F312" s="52">
        <v>102.92271760380623</v>
      </c>
      <c r="G312" s="52">
        <v>-1.015468178061163</v>
      </c>
      <c r="H312" s="52">
        <v>102.68886766557743</v>
      </c>
      <c r="I312" s="52">
        <v>-2.3917723032762517E-2</v>
      </c>
      <c r="J312" s="52">
        <v>95.483632988334776</v>
      </c>
      <c r="K312" s="52">
        <v>0.32693436163970802</v>
      </c>
      <c r="L312" s="52">
        <v>94.67608620100502</v>
      </c>
      <c r="M312" s="52">
        <v>0.18355359765052093</v>
      </c>
      <c r="N312" s="52">
        <v>99.309711044559137</v>
      </c>
      <c r="O312" s="52">
        <v>0.22244381376081979</v>
      </c>
      <c r="P312" s="52">
        <v>99.826168884039902</v>
      </c>
      <c r="Q312" s="53">
        <v>0</v>
      </c>
      <c r="R312" s="52">
        <v>97.969549216139811</v>
      </c>
      <c r="S312" s="53">
        <v>0.13315579227695107</v>
      </c>
      <c r="T312" s="52">
        <v>98.487803927998584</v>
      </c>
      <c r="U312" s="53">
        <v>5.9077213918623528E-3</v>
      </c>
      <c r="V312" s="52">
        <v>96.31435725408025</v>
      </c>
      <c r="W312" s="53">
        <v>0.14788293897882721</v>
      </c>
      <c r="X312" s="53">
        <v>94.136148165667649</v>
      </c>
      <c r="Y312" s="52">
        <v>0.14129837506868803</v>
      </c>
    </row>
    <row r="313" spans="1:25" ht="14.45" customHeight="1">
      <c r="A313" s="51" t="s">
        <v>13</v>
      </c>
      <c r="B313" s="52">
        <v>91.367632550305942</v>
      </c>
      <c r="C313" s="52">
        <v>0.15016088666428562</v>
      </c>
      <c r="D313" s="52">
        <v>91.368451571104629</v>
      </c>
      <c r="E313" s="52">
        <v>8.4357676548552085E-2</v>
      </c>
      <c r="F313" s="52">
        <v>103.21737884948097</v>
      </c>
      <c r="G313" s="52">
        <v>0.28629368960990664</v>
      </c>
      <c r="H313" s="52">
        <v>100.64164143619989</v>
      </c>
      <c r="I313" s="52">
        <v>-1.9936204146730474</v>
      </c>
      <c r="J313" s="52">
        <v>95.61926314882956</v>
      </c>
      <c r="K313" s="52">
        <v>0.14204545454543638</v>
      </c>
      <c r="L313" s="52">
        <v>94.787102498492473</v>
      </c>
      <c r="M313" s="52">
        <v>0.11725906925614815</v>
      </c>
      <c r="N313" s="52">
        <v>98.131614824453024</v>
      </c>
      <c r="O313" s="52">
        <v>-1.1862850145415438</v>
      </c>
      <c r="P313" s="52">
        <v>99.969276016209477</v>
      </c>
      <c r="Q313" s="53">
        <v>0.14335633007795945</v>
      </c>
      <c r="R313" s="52">
        <v>97.535287029898058</v>
      </c>
      <c r="S313" s="53">
        <v>-0.44326241134751143</v>
      </c>
      <c r="T313" s="52">
        <v>98.487803927998584</v>
      </c>
      <c r="U313" s="53">
        <v>0</v>
      </c>
      <c r="V313" s="52">
        <v>96.449094056021153</v>
      </c>
      <c r="W313" s="53">
        <v>0.13989274889252279</v>
      </c>
      <c r="X313" s="53">
        <v>94.320627565537663</v>
      </c>
      <c r="Y313" s="52">
        <v>0.19597083953908356</v>
      </c>
    </row>
    <row r="314" spans="1:25" ht="14.45" customHeight="1">
      <c r="A314" s="51" t="s">
        <v>14</v>
      </c>
      <c r="B314" s="52">
        <v>91.974314674194176</v>
      </c>
      <c r="C314" s="52">
        <v>0.66400114236757624</v>
      </c>
      <c r="D314" s="52">
        <v>91.412458049886624</v>
      </c>
      <c r="E314" s="52">
        <v>4.8163756773034194E-2</v>
      </c>
      <c r="F314" s="52">
        <v>102.97182781141869</v>
      </c>
      <c r="G314" s="52">
        <v>-0.23789699060305924</v>
      </c>
      <c r="H314" s="52">
        <v>99.184016360883078</v>
      </c>
      <c r="I314" s="52">
        <v>-1.4483319772172543</v>
      </c>
      <c r="J314" s="52">
        <v>95.802762777734287</v>
      </c>
      <c r="K314" s="52">
        <v>0.19190654985399291</v>
      </c>
      <c r="L314" s="52">
        <v>94.995258056281401</v>
      </c>
      <c r="M314" s="52">
        <v>0.21960325012808646</v>
      </c>
      <c r="N314" s="52">
        <v>96.368270804681259</v>
      </c>
      <c r="O314" s="52">
        <v>-1.7969173572922381</v>
      </c>
      <c r="P314" s="52">
        <v>99.969276016209477</v>
      </c>
      <c r="Q314" s="53">
        <v>0</v>
      </c>
      <c r="R314" s="52">
        <v>97.969549216139811</v>
      </c>
      <c r="S314" s="53">
        <v>0.44523597506678225</v>
      </c>
      <c r="T314" s="52">
        <v>98.487803927998584</v>
      </c>
      <c r="U314" s="53">
        <v>0</v>
      </c>
      <c r="V314" s="52">
        <v>96.651199258932493</v>
      </c>
      <c r="W314" s="53">
        <v>0.2095459837019753</v>
      </c>
      <c r="X314" s="53">
        <v>94.778136477215284</v>
      </c>
      <c r="Y314" s="52">
        <v>0.48505711156314746</v>
      </c>
    </row>
    <row r="315" spans="1:25" ht="5.0999999999999996" customHeight="1">
      <c r="A315" s="5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3"/>
      <c r="R315" s="52"/>
      <c r="S315" s="53"/>
      <c r="T315" s="52"/>
      <c r="U315" s="53"/>
      <c r="V315" s="52"/>
      <c r="W315" s="53"/>
      <c r="X315" s="53"/>
      <c r="Y315" s="52"/>
    </row>
    <row r="316" spans="1:25" ht="14.1" customHeight="1">
      <c r="A316" s="51">
        <v>2019</v>
      </c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3"/>
      <c r="R316" s="52"/>
      <c r="S316" s="53"/>
      <c r="T316" s="52"/>
      <c r="U316" s="53"/>
      <c r="V316" s="52"/>
      <c r="W316" s="53"/>
      <c r="X316" s="53"/>
      <c r="Y316" s="52"/>
    </row>
    <row r="317" spans="1:25" ht="14.45" customHeight="1">
      <c r="A317" s="51" t="s">
        <v>3</v>
      </c>
      <c r="B317" s="52">
        <v>92.098260484450904</v>
      </c>
      <c r="C317" s="52">
        <v>0.13476133059082684</v>
      </c>
      <c r="D317" s="52">
        <v>91.566480725623592</v>
      </c>
      <c r="E317" s="52">
        <v>0.16849199663016012</v>
      </c>
      <c r="F317" s="52">
        <v>102.67716656574395</v>
      </c>
      <c r="G317" s="52">
        <v>-0.28615714796709213</v>
      </c>
      <c r="H317" s="52">
        <v>98.848271259265147</v>
      </c>
      <c r="I317" s="52">
        <v>-0.33850726552181465</v>
      </c>
      <c r="J317" s="52">
        <v>96.042110119783914</v>
      </c>
      <c r="K317" s="52">
        <v>0.24983344437041755</v>
      </c>
      <c r="L317" s="52">
        <v>95.293614355778899</v>
      </c>
      <c r="M317" s="52">
        <v>0.31407493974144884</v>
      </c>
      <c r="N317" s="52">
        <v>94.88614975358</v>
      </c>
      <c r="O317" s="52">
        <v>-1.537976181086842</v>
      </c>
      <c r="P317" s="52">
        <v>99.971064855361604</v>
      </c>
      <c r="Q317" s="53">
        <v>1.7893889236786364E-3</v>
      </c>
      <c r="R317" s="52">
        <v>98.395126158656737</v>
      </c>
      <c r="S317" s="53">
        <v>0.43439716312057008</v>
      </c>
      <c r="T317" s="52">
        <v>98.947429194439493</v>
      </c>
      <c r="U317" s="53">
        <v>0.46668241965972523</v>
      </c>
      <c r="V317" s="52">
        <v>96.890731351271853</v>
      </c>
      <c r="W317" s="53">
        <v>0.24783147459728205</v>
      </c>
      <c r="X317" s="53">
        <v>94.962615877085284</v>
      </c>
      <c r="Y317" s="52">
        <v>0.19464341326689283</v>
      </c>
    </row>
    <row r="318" spans="1:25" ht="14.45" customHeight="1">
      <c r="A318" s="51" t="s">
        <v>4</v>
      </c>
      <c r="B318" s="52">
        <v>92.424433669337049</v>
      </c>
      <c r="C318" s="52">
        <v>0.35415781272134517</v>
      </c>
      <c r="D318" s="52">
        <v>92.397103012633622</v>
      </c>
      <c r="E318" s="52">
        <v>0.90712483479513661</v>
      </c>
      <c r="F318" s="52">
        <v>101.91595834775087</v>
      </c>
      <c r="G318" s="52">
        <v>-0.74136075570966353</v>
      </c>
      <c r="H318" s="52">
        <v>99.200394170718099</v>
      </c>
      <c r="I318" s="52">
        <v>0.35622566481652296</v>
      </c>
      <c r="J318" s="52">
        <v>96.241566238158612</v>
      </c>
      <c r="K318" s="52">
        <v>0.20767569363682181</v>
      </c>
      <c r="L318" s="52">
        <v>95.661355841206031</v>
      </c>
      <c r="M318" s="52">
        <v>0.38590359691277332</v>
      </c>
      <c r="N318" s="52">
        <v>95.760221142690995</v>
      </c>
      <c r="O318" s="52">
        <v>0.92117910925983981</v>
      </c>
      <c r="P318" s="52">
        <v>99.877150799875324</v>
      </c>
      <c r="Q318" s="53">
        <v>-9.3941237519234999E-2</v>
      </c>
      <c r="R318" s="52">
        <v>98.334329452582892</v>
      </c>
      <c r="S318" s="53">
        <v>-6.1788330832379668E-2</v>
      </c>
      <c r="T318" s="52">
        <v>98.964883318481554</v>
      </c>
      <c r="U318" s="53">
        <v>1.7639795378365797E-2</v>
      </c>
      <c r="V318" s="52">
        <v>97.092836554183194</v>
      </c>
      <c r="W318" s="53">
        <v>0.20859085290483304</v>
      </c>
      <c r="X318" s="53">
        <v>95.287299620856501</v>
      </c>
      <c r="Y318" s="52">
        <v>0.34190690807367474</v>
      </c>
    </row>
    <row r="319" spans="1:25" ht="14.45" customHeight="1">
      <c r="A319" s="51" t="s">
        <v>5</v>
      </c>
      <c r="B319" s="52">
        <v>93.226819704156938</v>
      </c>
      <c r="C319" s="52">
        <v>0.86815358554486188</v>
      </c>
      <c r="D319" s="52">
        <v>93.227725299643666</v>
      </c>
      <c r="E319" s="52">
        <v>0.89897005417634013</v>
      </c>
      <c r="F319" s="52">
        <v>101.81773793252597</v>
      </c>
      <c r="G319" s="52">
        <v>-9.6373930851689771E-2</v>
      </c>
      <c r="H319" s="52">
        <v>99.388738983820829</v>
      </c>
      <c r="I319" s="52">
        <v>0.18986296846623674</v>
      </c>
      <c r="J319" s="52">
        <v>96.297413951303525</v>
      </c>
      <c r="K319" s="52">
        <v>5.8028682748889615E-2</v>
      </c>
      <c r="L319" s="52">
        <v>96.070728438190955</v>
      </c>
      <c r="M319" s="52">
        <v>0.42793936316820602</v>
      </c>
      <c r="N319" s="52">
        <v>97.47036081703861</v>
      </c>
      <c r="O319" s="52">
        <v>1.7858560203190876</v>
      </c>
      <c r="P319" s="52">
        <v>99.900405708852873</v>
      </c>
      <c r="Q319" s="53">
        <v>2.3283512586513844E-2</v>
      </c>
      <c r="R319" s="52">
        <v>98.325644208858051</v>
      </c>
      <c r="S319" s="53">
        <v>-8.8323617735475146E-3</v>
      </c>
      <c r="T319" s="52">
        <v>98.964883318481554</v>
      </c>
      <c r="U319" s="53">
        <v>0</v>
      </c>
      <c r="V319" s="52">
        <v>97.265000245552102</v>
      </c>
      <c r="W319" s="53">
        <v>0.17731863387555613</v>
      </c>
      <c r="X319" s="53">
        <v>95.479158196721301</v>
      </c>
      <c r="Y319" s="52">
        <v>0.20134747928444163</v>
      </c>
    </row>
    <row r="320" spans="1:25" ht="14.45" customHeight="1">
      <c r="A320" s="51" t="s">
        <v>6</v>
      </c>
      <c r="B320" s="52">
        <v>94.003111884185955</v>
      </c>
      <c r="C320" s="52">
        <v>0.8326919039955305</v>
      </c>
      <c r="D320" s="52">
        <v>93.475261742792355</v>
      </c>
      <c r="E320" s="52">
        <v>0.26551805522776473</v>
      </c>
      <c r="F320" s="52">
        <v>101.6826848615917</v>
      </c>
      <c r="G320" s="52">
        <v>-0.13264198721815168</v>
      </c>
      <c r="H320" s="52">
        <v>98.971104833027809</v>
      </c>
      <c r="I320" s="52">
        <v>-0.4202026860014807</v>
      </c>
      <c r="J320" s="52">
        <v>96.536761293353166</v>
      </c>
      <c r="K320" s="52">
        <v>0.24855012427507095</v>
      </c>
      <c r="L320" s="52">
        <v>96.417654367839205</v>
      </c>
      <c r="M320" s="52">
        <v>0.36111512350138764</v>
      </c>
      <c r="N320" s="52">
        <v>98.846073177291572</v>
      </c>
      <c r="O320" s="52">
        <v>1.4114160948222043</v>
      </c>
      <c r="P320" s="52">
        <v>99.900405708852873</v>
      </c>
      <c r="Q320" s="53">
        <v>0</v>
      </c>
      <c r="R320" s="52">
        <v>98.664368714126624</v>
      </c>
      <c r="S320" s="53">
        <v>0.3444925359950668</v>
      </c>
      <c r="T320" s="52">
        <v>98.993973525218323</v>
      </c>
      <c r="U320" s="53">
        <v>2.9394473838917357E-2</v>
      </c>
      <c r="V320" s="52">
        <v>97.399737047493005</v>
      </c>
      <c r="W320" s="53">
        <v>0.13852547329538112</v>
      </c>
      <c r="X320" s="53">
        <v>95.855496172456128</v>
      </c>
      <c r="Y320" s="52">
        <v>0.39415719916533476</v>
      </c>
    </row>
    <row r="321" spans="1:25" ht="14.45" customHeight="1">
      <c r="A321" s="51" t="s">
        <v>7</v>
      </c>
      <c r="B321" s="52">
        <v>93.94440071090645</v>
      </c>
      <c r="C321" s="52">
        <v>-6.2456627342122317E-2</v>
      </c>
      <c r="D321" s="52">
        <v>93.689793326854556</v>
      </c>
      <c r="E321" s="52">
        <v>0.22950626728652779</v>
      </c>
      <c r="F321" s="52">
        <v>101.64585220588236</v>
      </c>
      <c r="G321" s="52">
        <v>-3.6223134508561738E-2</v>
      </c>
      <c r="H321" s="52">
        <v>98.807326734677602</v>
      </c>
      <c r="I321" s="52">
        <v>-0.1654807214959475</v>
      </c>
      <c r="J321" s="52">
        <v>96.504848314413209</v>
      </c>
      <c r="K321" s="52">
        <v>-3.3057851239670644E-2</v>
      </c>
      <c r="L321" s="52">
        <v>96.639686962814068</v>
      </c>
      <c r="M321" s="52">
        <v>0.23028209556705814</v>
      </c>
      <c r="N321" s="52">
        <v>98.640856416369857</v>
      </c>
      <c r="O321" s="52">
        <v>-0.20761245674740803</v>
      </c>
      <c r="P321" s="52">
        <v>99.900405708852873</v>
      </c>
      <c r="Q321" s="53">
        <v>0</v>
      </c>
      <c r="R321" s="52">
        <v>98.177995065535868</v>
      </c>
      <c r="S321" s="53">
        <v>-0.49295774647886148</v>
      </c>
      <c r="T321" s="52">
        <v>99.54668745321689</v>
      </c>
      <c r="U321" s="53">
        <v>0.55833088451364699</v>
      </c>
      <c r="V321" s="52">
        <v>97.482076204234644</v>
      </c>
      <c r="W321" s="53">
        <v>8.4537350138313982E-2</v>
      </c>
      <c r="X321" s="53">
        <v>95.995700516357331</v>
      </c>
      <c r="Y321" s="52">
        <v>0.14626635873749017</v>
      </c>
    </row>
    <row r="322" spans="1:25" ht="14.45" customHeight="1">
      <c r="A322" s="51" t="s">
        <v>8</v>
      </c>
      <c r="B322" s="52">
        <v>94.43366048823566</v>
      </c>
      <c r="C322" s="52">
        <v>0.52079716686341815</v>
      </c>
      <c r="D322" s="52">
        <v>94.025342727567221</v>
      </c>
      <c r="E322" s="52">
        <v>0.35814936589948498</v>
      </c>
      <c r="F322" s="52">
        <v>101.42485627162631</v>
      </c>
      <c r="G322" s="52">
        <v>-0.21741756250754918</v>
      </c>
      <c r="H322" s="52">
        <v>97.382457279030845</v>
      </c>
      <c r="I322" s="52">
        <v>-1.4420686225758206</v>
      </c>
      <c r="J322" s="52">
        <v>96.648456719642994</v>
      </c>
      <c r="K322" s="52">
        <v>0.14880952380953438</v>
      </c>
      <c r="L322" s="52">
        <v>96.965797336683423</v>
      </c>
      <c r="M322" s="52">
        <v>0.33744974152787321</v>
      </c>
      <c r="N322" s="52">
        <v>97.424757092389342</v>
      </c>
      <c r="O322" s="52">
        <v>-1.2328556017876413</v>
      </c>
      <c r="P322" s="52">
        <v>99.900405708852873</v>
      </c>
      <c r="Q322" s="53">
        <v>0</v>
      </c>
      <c r="R322" s="52">
        <v>97.769788610468609</v>
      </c>
      <c r="S322" s="53">
        <v>-0.41578202406228337</v>
      </c>
      <c r="T322" s="52">
        <v>99.558323535911612</v>
      </c>
      <c r="U322" s="53">
        <v>1.1689070718889916E-2</v>
      </c>
      <c r="V322" s="52">
        <v>97.609327628289947</v>
      </c>
      <c r="W322" s="53">
        <v>0.13053827843048094</v>
      </c>
      <c r="X322" s="53">
        <v>96.217075796201328</v>
      </c>
      <c r="Y322" s="52">
        <v>0.23060957798446413</v>
      </c>
    </row>
    <row r="323" spans="1:25" ht="14.45" customHeight="1">
      <c r="A323" s="51" t="s">
        <v>9</v>
      </c>
      <c r="B323" s="52">
        <v>95.810111328455193</v>
      </c>
      <c r="C323" s="52">
        <v>1.45758496822328</v>
      </c>
      <c r="D323" s="52">
        <v>94.173864593456429</v>
      </c>
      <c r="E323" s="52">
        <v>0.15795939858420649</v>
      </c>
      <c r="F323" s="52">
        <v>101.01969705882354</v>
      </c>
      <c r="G323" s="52">
        <v>-0.39946737683089761</v>
      </c>
      <c r="H323" s="52">
        <v>97.087656702000473</v>
      </c>
      <c r="I323" s="52">
        <v>-0.30272452068618172</v>
      </c>
      <c r="J323" s="52">
        <v>96.768130390667821</v>
      </c>
      <c r="K323" s="52">
        <v>0.12382367508667613</v>
      </c>
      <c r="L323" s="52">
        <v>97.180891413065325</v>
      </c>
      <c r="M323" s="52">
        <v>0.22182468694096347</v>
      </c>
      <c r="N323" s="52">
        <v>97.736382544159341</v>
      </c>
      <c r="O323" s="52">
        <v>0.31986269308783566</v>
      </c>
      <c r="P323" s="52">
        <v>99.900405708852873</v>
      </c>
      <c r="Q323" s="53">
        <v>0</v>
      </c>
      <c r="R323" s="52">
        <v>97.604768979696743</v>
      </c>
      <c r="S323" s="53">
        <v>-0.16878386781558063</v>
      </c>
      <c r="T323" s="52">
        <v>99.558323535911612</v>
      </c>
      <c r="U323" s="53">
        <v>0</v>
      </c>
      <c r="V323" s="52">
        <v>97.788976697544456</v>
      </c>
      <c r="W323" s="53">
        <v>0.18404907975457796</v>
      </c>
      <c r="X323" s="53">
        <v>96.423692724055741</v>
      </c>
      <c r="Y323" s="52">
        <v>0.21474039420201763</v>
      </c>
    </row>
    <row r="324" spans="1:25" ht="14.45" customHeight="1">
      <c r="A324" s="51" t="s">
        <v>10</v>
      </c>
      <c r="B324" s="52">
        <v>96.345035351668457</v>
      </c>
      <c r="C324" s="52">
        <v>0.55831687887246684</v>
      </c>
      <c r="D324" s="52">
        <v>94.404898607061881</v>
      </c>
      <c r="E324" s="52">
        <v>0.24532710280373848</v>
      </c>
      <c r="F324" s="52">
        <v>100.61453784602077</v>
      </c>
      <c r="G324" s="52">
        <v>-0.40106951871657914</v>
      </c>
      <c r="H324" s="52">
        <v>97.25143480035068</v>
      </c>
      <c r="I324" s="52">
        <v>0.16869095816465229</v>
      </c>
      <c r="J324" s="52">
        <v>96.991521243247462</v>
      </c>
      <c r="K324" s="52">
        <v>0.23085167779699489</v>
      </c>
      <c r="L324" s="52">
        <v>97.527817342713575</v>
      </c>
      <c r="M324" s="52">
        <v>0.35698986148793299</v>
      </c>
      <c r="N324" s="52">
        <v>97.979602408955444</v>
      </c>
      <c r="O324" s="52">
        <v>0.24885294346372877</v>
      </c>
      <c r="P324" s="52">
        <v>99.906666645885295</v>
      </c>
      <c r="Q324" s="53">
        <v>6.2671787847135008E-3</v>
      </c>
      <c r="R324" s="52">
        <v>97.344211667951683</v>
      </c>
      <c r="S324" s="53">
        <v>-0.26695141484250895</v>
      </c>
      <c r="T324" s="52">
        <v>101.16410294778115</v>
      </c>
      <c r="U324" s="53">
        <v>1.6129032258064502</v>
      </c>
      <c r="V324" s="52">
        <v>97.871315854286124</v>
      </c>
      <c r="W324" s="53">
        <v>8.4200857317839883E-2</v>
      </c>
      <c r="X324" s="53">
        <v>96.689343059868563</v>
      </c>
      <c r="Y324" s="52">
        <v>0.27550317593940665</v>
      </c>
    </row>
    <row r="325" spans="1:25" ht="14.45" customHeight="1">
      <c r="A325" s="51" t="s">
        <v>11</v>
      </c>
      <c r="B325" s="52">
        <v>97.147421386488361</v>
      </c>
      <c r="C325" s="52">
        <v>0.83282551289862727</v>
      </c>
      <c r="D325" s="52">
        <v>94.72944638807904</v>
      </c>
      <c r="E325" s="52">
        <v>0.34378277590023654</v>
      </c>
      <c r="F325" s="52">
        <v>100.41809701557095</v>
      </c>
      <c r="G325" s="52">
        <v>-0.19524100061011351</v>
      </c>
      <c r="H325" s="52">
        <v>97.652691141308679</v>
      </c>
      <c r="I325" s="52">
        <v>0.41259683395082902</v>
      </c>
      <c r="J325" s="52">
        <v>97.079281935332347</v>
      </c>
      <c r="K325" s="52">
        <v>9.0482849387196751E-2</v>
      </c>
      <c r="L325" s="52">
        <v>97.742911419095478</v>
      </c>
      <c r="M325" s="52">
        <v>0.22054638588502318</v>
      </c>
      <c r="N325" s="52">
        <v>97.751583785709101</v>
      </c>
      <c r="O325" s="52">
        <v>-0.23272050267627575</v>
      </c>
      <c r="P325" s="52">
        <v>99.906666645885295</v>
      </c>
      <c r="Q325" s="53">
        <v>0</v>
      </c>
      <c r="R325" s="52">
        <v>97.26604447442817</v>
      </c>
      <c r="S325" s="53">
        <v>-8.0299785867232742E-2</v>
      </c>
      <c r="T325" s="52">
        <v>102.97351380680807</v>
      </c>
      <c r="U325" s="53">
        <v>1.7885898320681104</v>
      </c>
      <c r="V325" s="52">
        <v>98.013538034112614</v>
      </c>
      <c r="W325" s="53">
        <v>0.14531548757168444</v>
      </c>
      <c r="X325" s="53">
        <v>96.932855867696986</v>
      </c>
      <c r="Y325" s="52">
        <v>0.25185072120890162</v>
      </c>
    </row>
    <row r="326" spans="1:25" ht="14.45" customHeight="1">
      <c r="A326" s="51" t="s">
        <v>12</v>
      </c>
      <c r="B326" s="52">
        <v>98.334691779473928</v>
      </c>
      <c r="C326" s="52">
        <v>1.2221326886919348</v>
      </c>
      <c r="D326" s="52">
        <v>96.973776805960483</v>
      </c>
      <c r="E326" s="52">
        <v>2.3692003948667439</v>
      </c>
      <c r="F326" s="52">
        <v>99.865607179930805</v>
      </c>
      <c r="G326" s="52">
        <v>-0.55018950972002267</v>
      </c>
      <c r="H326" s="52">
        <v>98.258670105204416</v>
      </c>
      <c r="I326" s="52">
        <v>0.620545073375256</v>
      </c>
      <c r="J326" s="52">
        <v>97.151086137947232</v>
      </c>
      <c r="K326" s="52">
        <v>7.3964497041423272E-2</v>
      </c>
      <c r="L326" s="52">
        <v>97.930251421105524</v>
      </c>
      <c r="M326" s="52">
        <v>0.19166607510470168</v>
      </c>
      <c r="N326" s="52">
        <v>98.557249587846187</v>
      </c>
      <c r="O326" s="52">
        <v>0.82419718528885522</v>
      </c>
      <c r="P326" s="52">
        <v>99.906666645885295</v>
      </c>
      <c r="Q326" s="53">
        <v>0</v>
      </c>
      <c r="R326" s="52">
        <v>97.396323130300701</v>
      </c>
      <c r="S326" s="53">
        <v>0.13394053040449716</v>
      </c>
      <c r="T326" s="52">
        <v>102.97351380680807</v>
      </c>
      <c r="U326" s="53">
        <v>0</v>
      </c>
      <c r="V326" s="52">
        <v>98.215643237023954</v>
      </c>
      <c r="W326" s="53">
        <v>0.2062013135787355</v>
      </c>
      <c r="X326" s="53">
        <v>97.242781259478591</v>
      </c>
      <c r="Y326" s="52">
        <v>0.31973203410473605</v>
      </c>
    </row>
    <row r="327" spans="1:25" ht="14.45" customHeight="1">
      <c r="A327" s="51" t="s">
        <v>13</v>
      </c>
      <c r="B327" s="52">
        <v>98.726099601337296</v>
      </c>
      <c r="C327" s="52">
        <v>0.39803635398698578</v>
      </c>
      <c r="D327" s="52">
        <v>97.754891804340787</v>
      </c>
      <c r="E327" s="52">
        <v>0.8054909524079612</v>
      </c>
      <c r="F327" s="52">
        <v>99.58322348615917</v>
      </c>
      <c r="G327" s="52">
        <v>-0.28276370789280802</v>
      </c>
      <c r="H327" s="52">
        <v>99.052993882202912</v>
      </c>
      <c r="I327" s="52">
        <v>0.80840070005834264</v>
      </c>
      <c r="J327" s="52">
        <v>97.246825074767088</v>
      </c>
      <c r="K327" s="52">
        <v>9.8546440009861236E-2</v>
      </c>
      <c r="L327" s="52">
        <v>98.27717735075376</v>
      </c>
      <c r="M327" s="52">
        <v>0.35425818336403125</v>
      </c>
      <c r="N327" s="52">
        <v>99.043689317438393</v>
      </c>
      <c r="O327" s="52">
        <v>0.49356057684892818</v>
      </c>
      <c r="P327" s="52">
        <v>99.906666645885295</v>
      </c>
      <c r="Q327" s="53">
        <v>0</v>
      </c>
      <c r="R327" s="52">
        <v>97.335526424226842</v>
      </c>
      <c r="S327" s="53">
        <v>-6.242197253434334E-2</v>
      </c>
      <c r="T327" s="52">
        <v>102.98514988950276</v>
      </c>
      <c r="U327" s="53">
        <v>1.1300073450470904E-2</v>
      </c>
      <c r="V327" s="52">
        <v>98.507572974562549</v>
      </c>
      <c r="W327" s="53">
        <v>0.29723344257297502</v>
      </c>
      <c r="X327" s="53">
        <v>97.567465003249794</v>
      </c>
      <c r="Y327" s="52">
        <v>0.33388981636059967</v>
      </c>
    </row>
    <row r="328" spans="1:25" ht="14.45" customHeight="1">
      <c r="A328" s="51" t="s">
        <v>14</v>
      </c>
      <c r="B328" s="52">
        <v>98.530395690405598</v>
      </c>
      <c r="C328" s="52">
        <v>-0.19822915290076404</v>
      </c>
      <c r="D328" s="52">
        <v>98.051935536119217</v>
      </c>
      <c r="E328" s="52">
        <v>0.30386584885488954</v>
      </c>
      <c r="F328" s="52">
        <v>100.06204801038064</v>
      </c>
      <c r="G328" s="52">
        <v>0.48082850450006376</v>
      </c>
      <c r="H328" s="52">
        <v>99.536139272336015</v>
      </c>
      <c r="I328" s="52">
        <v>0.48776455026455778</v>
      </c>
      <c r="J328" s="52">
        <v>97.470215927346743</v>
      </c>
      <c r="K328" s="52">
        <v>0.22971531708917414</v>
      </c>
      <c r="L328" s="52">
        <v>98.464517352763821</v>
      </c>
      <c r="M328" s="52">
        <v>0.19062411748094199</v>
      </c>
      <c r="N328" s="52">
        <v>99.416119735407435</v>
      </c>
      <c r="O328" s="52">
        <v>0.37602639858798081</v>
      </c>
      <c r="P328" s="52">
        <v>99.906666645885295</v>
      </c>
      <c r="Q328" s="53">
        <v>0</v>
      </c>
      <c r="R328" s="52">
        <v>98.299588477683557</v>
      </c>
      <c r="S328" s="53">
        <v>0.99045239582404854</v>
      </c>
      <c r="T328" s="52">
        <v>102.98514988950276</v>
      </c>
      <c r="U328" s="53">
        <v>0</v>
      </c>
      <c r="V328" s="52">
        <v>98.799502712101145</v>
      </c>
      <c r="W328" s="53">
        <v>0.2963525835866232</v>
      </c>
      <c r="X328" s="53">
        <v>98.106144850870223</v>
      </c>
      <c r="Y328" s="52">
        <v>0.5521101194978062</v>
      </c>
    </row>
    <row r="329" spans="1:25" ht="5.0999999999999996" customHeight="1">
      <c r="A329" s="5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3"/>
      <c r="R329" s="52"/>
      <c r="S329" s="53"/>
      <c r="T329" s="52"/>
      <c r="U329" s="53"/>
      <c r="V329" s="52"/>
      <c r="W329" s="53"/>
      <c r="X329" s="53"/>
      <c r="Y329" s="52"/>
    </row>
    <row r="330" spans="1:25" s="63" customFormat="1">
      <c r="A330" s="51">
        <v>2020</v>
      </c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1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 spans="1:25" ht="14.1" customHeight="1">
      <c r="A331" s="51" t="s">
        <v>3</v>
      </c>
      <c r="B331" s="52">
        <v>99.110983959502946</v>
      </c>
      <c r="C331" s="52">
        <v>0.58924788135594763</v>
      </c>
      <c r="D331" s="52">
        <v>98.354480077745393</v>
      </c>
      <c r="E331" s="52">
        <v>0.30855539971950119</v>
      </c>
      <c r="F331" s="52">
        <v>99.681443901384085</v>
      </c>
      <c r="G331" s="52">
        <v>-0.38036809815952255</v>
      </c>
      <c r="H331" s="52">
        <v>98.946538118275285</v>
      </c>
      <c r="I331" s="52">
        <v>-0.59234882764294117</v>
      </c>
      <c r="J331" s="52">
        <v>97.709563269396384</v>
      </c>
      <c r="K331" s="52">
        <v>0.24555946631743542</v>
      </c>
      <c r="L331" s="52">
        <v>98.860012912562809</v>
      </c>
      <c r="M331" s="52">
        <v>0.40166302586146507</v>
      </c>
      <c r="N331" s="52">
        <v>99.803751394926223</v>
      </c>
      <c r="O331" s="52">
        <v>0.38990825688072217</v>
      </c>
      <c r="P331" s="52">
        <v>99.906666645885295</v>
      </c>
      <c r="Q331" s="53">
        <v>0</v>
      </c>
      <c r="R331" s="52">
        <v>99.254965287415416</v>
      </c>
      <c r="S331" s="53">
        <v>0.97190316310302727</v>
      </c>
      <c r="T331" s="52">
        <v>103.49713752806986</v>
      </c>
      <c r="U331" s="53">
        <v>0.49714705383876456</v>
      </c>
      <c r="V331" s="52">
        <v>99.121373961182158</v>
      </c>
      <c r="W331" s="53">
        <v>0.32578225623152157</v>
      </c>
      <c r="X331" s="53">
        <v>98.489862002599835</v>
      </c>
      <c r="Y331" s="52">
        <v>0.39112448288829427</v>
      </c>
    </row>
    <row r="332" spans="1:25" ht="14.45" customHeight="1">
      <c r="A332" s="51" t="s">
        <v>4</v>
      </c>
      <c r="B332" s="52">
        <v>99.156648205387</v>
      </c>
      <c r="C332" s="52">
        <v>4.6073849799244115E-2</v>
      </c>
      <c r="D332" s="52">
        <v>99.262113702623907</v>
      </c>
      <c r="E332" s="52">
        <v>0.92281879194628935</v>
      </c>
      <c r="F332" s="52">
        <v>99.558668382352948</v>
      </c>
      <c r="G332" s="52">
        <v>-0.12316787781746497</v>
      </c>
      <c r="H332" s="52">
        <v>98.594415206822347</v>
      </c>
      <c r="I332" s="52">
        <v>-0.3558718861209953</v>
      </c>
      <c r="J332" s="52">
        <v>97.773389227276283</v>
      </c>
      <c r="K332" s="52">
        <v>6.5322119702782011E-2</v>
      </c>
      <c r="L332" s="52">
        <v>99.21387736080402</v>
      </c>
      <c r="M332" s="52">
        <v>0.35794497473329301</v>
      </c>
      <c r="N332" s="52">
        <v>98.678859520244245</v>
      </c>
      <c r="O332" s="52">
        <v>-1.1271038001675393</v>
      </c>
      <c r="P332" s="52">
        <v>99.906666645885295</v>
      </c>
      <c r="Q332" s="53">
        <v>0</v>
      </c>
      <c r="R332" s="52">
        <v>99.350502968388597</v>
      </c>
      <c r="S332" s="53">
        <v>9.6254812740625972E-2</v>
      </c>
      <c r="T332" s="52">
        <v>103.49713752806986</v>
      </c>
      <c r="U332" s="53">
        <v>0</v>
      </c>
      <c r="V332" s="52">
        <v>99.278566896779864</v>
      </c>
      <c r="W332" s="53">
        <v>0.15858631626641806</v>
      </c>
      <c r="X332" s="53">
        <v>98.895716682313861</v>
      </c>
      <c r="Y332" s="52">
        <v>0.41207762043906637</v>
      </c>
    </row>
    <row r="333" spans="1:25" ht="14.45" customHeight="1">
      <c r="A333" s="51" t="s">
        <v>5</v>
      </c>
      <c r="B333" s="52">
        <v>99.013132004037104</v>
      </c>
      <c r="C333" s="52">
        <v>-0.14473684210525306</v>
      </c>
      <c r="D333" s="52">
        <v>99.867202785876259</v>
      </c>
      <c r="E333" s="52">
        <v>0.60958714325298757</v>
      </c>
      <c r="F333" s="52">
        <v>99.644611245674739</v>
      </c>
      <c r="G333" s="52">
        <v>8.6323837711166362E-2</v>
      </c>
      <c r="H333" s="52">
        <v>97.415212898700872</v>
      </c>
      <c r="I333" s="52">
        <v>-1.1960132890365571</v>
      </c>
      <c r="J333" s="52">
        <v>97.861149919361154</v>
      </c>
      <c r="K333" s="52">
        <v>8.9759281925738676E-2</v>
      </c>
      <c r="L333" s="52">
        <v>99.435909955778897</v>
      </c>
      <c r="M333" s="52">
        <v>0.22379187355758834</v>
      </c>
      <c r="N333" s="52">
        <v>96.269462734607842</v>
      </c>
      <c r="O333" s="52">
        <v>-2.4416544712316135</v>
      </c>
      <c r="P333" s="52">
        <v>99.906666645885295</v>
      </c>
      <c r="Q333" s="53">
        <v>0</v>
      </c>
      <c r="R333" s="52">
        <v>99.367873455838264</v>
      </c>
      <c r="S333" s="53">
        <v>1.7484045808191517E-2</v>
      </c>
      <c r="T333" s="52">
        <v>103.49713752806986</v>
      </c>
      <c r="U333" s="53">
        <v>0</v>
      </c>
      <c r="V333" s="52">
        <v>99.353420675635917</v>
      </c>
      <c r="W333" s="53">
        <v>7.5397722988768123E-2</v>
      </c>
      <c r="X333" s="53">
        <v>99.183504546111067</v>
      </c>
      <c r="Y333" s="52">
        <v>0.29100134308310821</v>
      </c>
    </row>
    <row r="334" spans="1:25" ht="14.45" customHeight="1">
      <c r="A334" s="51" t="s">
        <v>6</v>
      </c>
      <c r="B334" s="52">
        <v>98.478207980823825</v>
      </c>
      <c r="C334" s="52">
        <v>-0.54025563315325265</v>
      </c>
      <c r="D334" s="52">
        <v>100.03772789115648</v>
      </c>
      <c r="E334" s="52">
        <v>0.17075185899202427</v>
      </c>
      <c r="F334" s="52">
        <v>99.656888797577864</v>
      </c>
      <c r="G334" s="52">
        <v>1.2321340561860517E-2</v>
      </c>
      <c r="H334" s="52">
        <v>97.087656702000473</v>
      </c>
      <c r="I334" s="52">
        <v>-0.33624747814390288</v>
      </c>
      <c r="J334" s="52">
        <v>97.909019387771082</v>
      </c>
      <c r="K334" s="52">
        <v>4.891570194032191E-2</v>
      </c>
      <c r="L334" s="52">
        <v>99.748143292462302</v>
      </c>
      <c r="M334" s="52">
        <v>0.31400460540087494</v>
      </c>
      <c r="N334" s="52">
        <v>92.689570349640192</v>
      </c>
      <c r="O334" s="52">
        <v>-3.7186167693036398</v>
      </c>
      <c r="P334" s="52">
        <v>99.906666645885295</v>
      </c>
      <c r="Q334" s="53">
        <v>0</v>
      </c>
      <c r="R334" s="52">
        <v>99.454725893086618</v>
      </c>
      <c r="S334" s="53">
        <v>8.7404947120006682E-2</v>
      </c>
      <c r="T334" s="52">
        <v>102.42079987880948</v>
      </c>
      <c r="U334" s="53">
        <v>-1.0399685198718256</v>
      </c>
      <c r="V334" s="52">
        <v>99.413303698720767</v>
      </c>
      <c r="W334" s="53">
        <v>6.0272734121902261E-2</v>
      </c>
      <c r="X334" s="53">
        <v>99.412259001949877</v>
      </c>
      <c r="Y334" s="52">
        <v>0.23063760136894373</v>
      </c>
    </row>
    <row r="335" spans="1:25" ht="14.45" customHeight="1">
      <c r="A335" s="51" t="s">
        <v>7</v>
      </c>
      <c r="B335" s="52">
        <v>96.69077892764777</v>
      </c>
      <c r="C335" s="52">
        <v>-1.8150503444621102</v>
      </c>
      <c r="D335" s="52">
        <v>100.41178296080336</v>
      </c>
      <c r="E335" s="52">
        <v>0.37391399978004003</v>
      </c>
      <c r="F335" s="52">
        <v>99.742831660899654</v>
      </c>
      <c r="G335" s="52">
        <v>8.6238758161871765E-2</v>
      </c>
      <c r="H335" s="52">
        <v>98.234103390451892</v>
      </c>
      <c r="I335" s="52">
        <v>1.1808367071524994</v>
      </c>
      <c r="J335" s="52">
        <v>99.0100171611994</v>
      </c>
      <c r="K335" s="52">
        <v>1.1245110821382021</v>
      </c>
      <c r="L335" s="52">
        <v>100.37260996582914</v>
      </c>
      <c r="M335" s="52">
        <v>0.62604340567613548</v>
      </c>
      <c r="N335" s="52">
        <v>94.240096987715347</v>
      </c>
      <c r="O335" s="52">
        <v>1.6728167281672812</v>
      </c>
      <c r="P335" s="52">
        <v>99.906666645885295</v>
      </c>
      <c r="Q335" s="53">
        <v>0</v>
      </c>
      <c r="R335" s="52">
        <v>99.941099541677374</v>
      </c>
      <c r="S335" s="53">
        <v>0.48904025849270116</v>
      </c>
      <c r="T335" s="52">
        <v>98.045632785599722</v>
      </c>
      <c r="U335" s="53">
        <v>-4.2717564189956754</v>
      </c>
      <c r="V335" s="52">
        <v>99.832484860314651</v>
      </c>
      <c r="W335" s="53">
        <v>0.42165499585875565</v>
      </c>
      <c r="X335" s="53">
        <v>100.09852236946631</v>
      </c>
      <c r="Y335" s="52">
        <v>0.69032066508314394</v>
      </c>
    </row>
    <row r="336" spans="1:25" ht="14.45" customHeight="1">
      <c r="A336" s="51" t="s">
        <v>8</v>
      </c>
      <c r="B336" s="52">
        <v>98.654341500662341</v>
      </c>
      <c r="C336" s="52">
        <v>2.0307650789367138</v>
      </c>
      <c r="D336" s="52">
        <v>100.81334207968902</v>
      </c>
      <c r="E336" s="52">
        <v>0.39991234797853714</v>
      </c>
      <c r="F336" s="52">
        <v>99.558668382352948</v>
      </c>
      <c r="G336" s="52">
        <v>-0.18463810930575697</v>
      </c>
      <c r="H336" s="52">
        <v>100.53518567227225</v>
      </c>
      <c r="I336" s="52">
        <v>2.3424474824941699</v>
      </c>
      <c r="J336" s="52">
        <v>99.839754613638135</v>
      </c>
      <c r="K336" s="52">
        <v>0.83803384367444611</v>
      </c>
      <c r="L336" s="52">
        <v>100.95544552763819</v>
      </c>
      <c r="M336" s="52">
        <v>0.5806719203649946</v>
      </c>
      <c r="N336" s="52">
        <v>98.899277522715707</v>
      </c>
      <c r="O336" s="52">
        <v>4.9439470925074502</v>
      </c>
      <c r="P336" s="52">
        <v>99.844057275561099</v>
      </c>
      <c r="Q336" s="53">
        <v>-6.2667860340204218E-2</v>
      </c>
      <c r="R336" s="52">
        <v>100.87042062023474</v>
      </c>
      <c r="S336" s="53">
        <v>0.92986877552794223</v>
      </c>
      <c r="T336" s="52">
        <v>94.979524995544466</v>
      </c>
      <c r="U336" s="53">
        <v>-3.1272252551626023</v>
      </c>
      <c r="V336" s="52">
        <v>100.31903442287899</v>
      </c>
      <c r="W336" s="53">
        <v>0.48736597435705686</v>
      </c>
      <c r="X336" s="53">
        <v>100.62982304109194</v>
      </c>
      <c r="Y336" s="52">
        <v>0.53077773682270735</v>
      </c>
    </row>
    <row r="337" spans="1:25" ht="14.45" customHeight="1">
      <c r="A337" s="51" t="s">
        <v>9</v>
      </c>
      <c r="B337" s="52">
        <v>101.59642362833534</v>
      </c>
      <c r="C337" s="52">
        <v>2.9822125239701291</v>
      </c>
      <c r="D337" s="52">
        <v>101.17089471979267</v>
      </c>
      <c r="E337" s="52">
        <v>0.35466797620995472</v>
      </c>
      <c r="F337" s="52">
        <v>99.276284688581327</v>
      </c>
      <c r="G337" s="52">
        <v>-0.28363546676531959</v>
      </c>
      <c r="H337" s="52">
        <v>101.30494273451821</v>
      </c>
      <c r="I337" s="52">
        <v>0.76565936303658599</v>
      </c>
      <c r="J337" s="52">
        <v>101.37955584749079</v>
      </c>
      <c r="K337" s="52">
        <v>1.5422726546268084</v>
      </c>
      <c r="L337" s="52">
        <v>101.98234627939698</v>
      </c>
      <c r="M337" s="52">
        <v>1.0171821305841933</v>
      </c>
      <c r="N337" s="52">
        <v>102.6083804608563</v>
      </c>
      <c r="O337" s="52">
        <v>3.75038426068246</v>
      </c>
      <c r="P337" s="52">
        <v>99.844057275561099</v>
      </c>
      <c r="Q337" s="53">
        <v>0</v>
      </c>
      <c r="R337" s="52">
        <v>101.53918438704703</v>
      </c>
      <c r="S337" s="53">
        <v>0.66299293955569549</v>
      </c>
      <c r="T337" s="52">
        <v>95.433332220638036</v>
      </c>
      <c r="U337" s="53">
        <v>0.47779479326186536</v>
      </c>
      <c r="V337" s="52">
        <v>101.16488212395235</v>
      </c>
      <c r="W337" s="53">
        <v>0.84315773765109014</v>
      </c>
      <c r="X337" s="53">
        <v>101.24967382465516</v>
      </c>
      <c r="Y337" s="52">
        <v>0.61597125467478531</v>
      </c>
    </row>
    <row r="338" spans="1:25" ht="14.45" customHeight="1">
      <c r="A338" s="51" t="s">
        <v>10</v>
      </c>
      <c r="B338" s="52">
        <v>102.32705156248031</v>
      </c>
      <c r="C338" s="52">
        <v>0.71914729677668987</v>
      </c>
      <c r="D338" s="52">
        <v>101.58345545837382</v>
      </c>
      <c r="E338" s="52">
        <v>0.40778599391040338</v>
      </c>
      <c r="F338" s="52">
        <v>99.264007136678202</v>
      </c>
      <c r="G338" s="52">
        <v>-1.2367054167705671E-2</v>
      </c>
      <c r="H338" s="52">
        <v>102.33674475412448</v>
      </c>
      <c r="I338" s="52">
        <v>1.018511033869518</v>
      </c>
      <c r="J338" s="52">
        <v>101.65879441321538</v>
      </c>
      <c r="K338" s="52">
        <v>0.27543873455575518</v>
      </c>
      <c r="L338" s="52">
        <v>102.91210777085426</v>
      </c>
      <c r="M338" s="52">
        <v>0.91168866512449931</v>
      </c>
      <c r="N338" s="52">
        <v>104.15890709893145</v>
      </c>
      <c r="O338" s="52">
        <v>1.5111111111111075</v>
      </c>
      <c r="P338" s="52">
        <v>100.42543000000001</v>
      </c>
      <c r="Q338" s="53">
        <v>0.58228074890263049</v>
      </c>
      <c r="R338" s="52">
        <v>101.51312865587253</v>
      </c>
      <c r="S338" s="53">
        <v>-2.5660764690782489E-2</v>
      </c>
      <c r="T338" s="52">
        <v>96.17222347175192</v>
      </c>
      <c r="U338" s="53">
        <v>0.77424861305859238</v>
      </c>
      <c r="V338" s="52">
        <v>101.49423875091897</v>
      </c>
      <c r="W338" s="53">
        <v>0.32556418793932007</v>
      </c>
      <c r="X338" s="53">
        <v>101.8916621362028</v>
      </c>
      <c r="Y338" s="52">
        <v>0.63406457255303916</v>
      </c>
    </row>
    <row r="339" spans="1:25" ht="14.45" customHeight="1">
      <c r="A339" s="51" t="s">
        <v>11</v>
      </c>
      <c r="B339" s="52">
        <v>103.41647</v>
      </c>
      <c r="C339" s="52">
        <v>1.0646436312635288</v>
      </c>
      <c r="D339" s="52">
        <v>101.886</v>
      </c>
      <c r="E339" s="52">
        <v>0.29782855905127192</v>
      </c>
      <c r="F339" s="52">
        <v>99.349950000000007</v>
      </c>
      <c r="G339" s="52">
        <v>8.658008658009031E-2</v>
      </c>
      <c r="H339" s="52">
        <v>102.74619</v>
      </c>
      <c r="I339" s="52">
        <v>0.40009602304553749</v>
      </c>
      <c r="J339" s="52">
        <v>101.90612</v>
      </c>
      <c r="K339" s="52">
        <v>0.24328990739288514</v>
      </c>
      <c r="L339" s="52">
        <v>103.55739</v>
      </c>
      <c r="M339" s="52">
        <v>0.6270226537216983</v>
      </c>
      <c r="N339" s="52">
        <v>104.56174</v>
      </c>
      <c r="O339" s="52">
        <v>0.38674839462931043</v>
      </c>
      <c r="P339" s="52">
        <v>100.42543000000001</v>
      </c>
      <c r="Q339" s="53">
        <v>0</v>
      </c>
      <c r="R339" s="52">
        <v>101.38285</v>
      </c>
      <c r="S339" s="53">
        <v>-0.12833675564681846</v>
      </c>
      <c r="T339" s="52">
        <v>97.935090000000002</v>
      </c>
      <c r="U339" s="53">
        <v>1.8330308529945549</v>
      </c>
      <c r="V339" s="52">
        <v>101.81610999999999</v>
      </c>
      <c r="W339" s="53">
        <v>0.3171325318976459</v>
      </c>
      <c r="X339" s="53">
        <v>102.17945</v>
      </c>
      <c r="Y339" s="52">
        <v>0.28244495944378389</v>
      </c>
    </row>
    <row r="340" spans="1:25" ht="14.45" customHeight="1">
      <c r="A340" s="51" t="s">
        <v>12</v>
      </c>
      <c r="B340" s="52">
        <v>105.50906000000001</v>
      </c>
      <c r="C340" s="52">
        <v>2.0234591259980172</v>
      </c>
      <c r="D340" s="52">
        <v>102.22881</v>
      </c>
      <c r="E340" s="52">
        <v>0.33646428361109315</v>
      </c>
      <c r="F340" s="52">
        <v>99.189779999999999</v>
      </c>
      <c r="G340" s="52">
        <v>-0.16121799759336586</v>
      </c>
      <c r="H340" s="52">
        <v>102.92849</v>
      </c>
      <c r="I340" s="52">
        <v>0.17742750363785031</v>
      </c>
      <c r="J340" s="52">
        <v>102.30446000000001</v>
      </c>
      <c r="K340" s="52">
        <v>0.39088918310303811</v>
      </c>
      <c r="L340" s="52">
        <v>104.08186000000001</v>
      </c>
      <c r="M340" s="52">
        <v>0.50645347473512459</v>
      </c>
      <c r="N340" s="52">
        <v>104.77509000000001</v>
      </c>
      <c r="O340" s="52">
        <v>0.20404212860267723</v>
      </c>
      <c r="P340" s="52">
        <v>100.42876</v>
      </c>
      <c r="Q340" s="53">
        <v>3.3158931955767912E-3</v>
      </c>
      <c r="R340" s="52">
        <v>101.61426</v>
      </c>
      <c r="S340" s="53">
        <v>0.22825359515934451</v>
      </c>
      <c r="T340" s="52">
        <v>97.935090000000002</v>
      </c>
      <c r="U340" s="53">
        <v>0</v>
      </c>
      <c r="V340" s="52">
        <v>102.20683</v>
      </c>
      <c r="W340" s="53">
        <v>0.38375066578364425</v>
      </c>
      <c r="X340" s="53">
        <v>102.51276</v>
      </c>
      <c r="Y340" s="52">
        <v>0.32620062057486798</v>
      </c>
    </row>
    <row r="341" spans="1:25" ht="14.45" customHeight="1">
      <c r="A341" s="51" t="s">
        <v>13</v>
      </c>
      <c r="B341" s="52">
        <v>107.044</v>
      </c>
      <c r="C341" s="52">
        <v>1.4547944982165495</v>
      </c>
      <c r="D341" s="52">
        <v>103.117</v>
      </c>
      <c r="E341" s="52">
        <v>0.86882552971125904</v>
      </c>
      <c r="F341" s="52">
        <v>98.650999999999996</v>
      </c>
      <c r="G341" s="52">
        <v>-0.54318096078044276</v>
      </c>
      <c r="H341" s="52">
        <v>103.331</v>
      </c>
      <c r="I341" s="52">
        <v>0.39105790826232667</v>
      </c>
      <c r="J341" s="52">
        <v>102.626</v>
      </c>
      <c r="K341" s="52">
        <v>0.31429714794448671</v>
      </c>
      <c r="L341" s="52">
        <v>104.43899999999999</v>
      </c>
      <c r="M341" s="52">
        <v>0.34313376029213583</v>
      </c>
      <c r="N341" s="52">
        <v>105.223</v>
      </c>
      <c r="O341" s="52">
        <v>0.42749665020569427</v>
      </c>
      <c r="P341" s="52">
        <v>100.422</v>
      </c>
      <c r="Q341" s="53">
        <v>-6.731139565996358E-3</v>
      </c>
      <c r="R341" s="52">
        <v>101.83</v>
      </c>
      <c r="S341" s="53">
        <v>0.21231272067523399</v>
      </c>
      <c r="T341" s="52">
        <v>98.034000000000006</v>
      </c>
      <c r="U341" s="53">
        <v>0.10099546546595839</v>
      </c>
      <c r="V341" s="52">
        <v>102.712</v>
      </c>
      <c r="W341" s="53">
        <v>0.49426246758657033</v>
      </c>
      <c r="X341" s="53">
        <v>102.89700000000001</v>
      </c>
      <c r="Y341" s="52">
        <v>0.37482163196074225</v>
      </c>
    </row>
    <row r="342" spans="1:25" ht="14.45" customHeight="1">
      <c r="A342" s="51" t="s">
        <v>14</v>
      </c>
      <c r="B342" s="52">
        <v>106.77200000000001</v>
      </c>
      <c r="C342" s="52">
        <v>-0.25410111729755602</v>
      </c>
      <c r="D342" s="52">
        <v>103.649</v>
      </c>
      <c r="E342" s="52">
        <v>0.51591881067136747</v>
      </c>
      <c r="F342" s="52">
        <v>98.951999999999998</v>
      </c>
      <c r="G342" s="52">
        <v>0.30511601504292774</v>
      </c>
      <c r="H342" s="52">
        <v>104.015</v>
      </c>
      <c r="I342" s="52">
        <v>0.66195043113876917</v>
      </c>
      <c r="J342" s="52">
        <v>102.956</v>
      </c>
      <c r="K342" s="52">
        <v>0.32155594098961515</v>
      </c>
      <c r="L342" s="52">
        <v>104.767</v>
      </c>
      <c r="M342" s="52">
        <v>0.31405892434819282</v>
      </c>
      <c r="N342" s="52">
        <v>106.91800000000001</v>
      </c>
      <c r="O342" s="52">
        <v>1.6108645448238645</v>
      </c>
      <c r="P342" s="52">
        <v>100.613</v>
      </c>
      <c r="Q342" s="53">
        <v>0.19019736711078927</v>
      </c>
      <c r="R342" s="52">
        <v>102.714</v>
      </c>
      <c r="S342" s="53">
        <v>0.86811352253757246</v>
      </c>
      <c r="T342" s="52">
        <v>98.034000000000006</v>
      </c>
      <c r="U342" s="53">
        <v>0</v>
      </c>
      <c r="V342" s="52">
        <v>103.21299999999999</v>
      </c>
      <c r="W342" s="53">
        <v>0.48777163330475659</v>
      </c>
      <c r="X342" s="53">
        <v>103.459</v>
      </c>
      <c r="Y342" s="52">
        <v>0.54617724520635846</v>
      </c>
    </row>
    <row r="343" spans="1:25" ht="5.0999999999999996" customHeight="1">
      <c r="A343" s="5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3"/>
      <c r="R343" s="52"/>
      <c r="S343" s="53"/>
      <c r="T343" s="52"/>
      <c r="U343" s="53"/>
      <c r="V343" s="52"/>
      <c r="W343" s="53"/>
      <c r="X343" s="53"/>
      <c r="Y343" s="52"/>
    </row>
    <row r="344" spans="1:25">
      <c r="A344" s="51">
        <v>2021</v>
      </c>
    </row>
    <row r="345" spans="1:25">
      <c r="A345" s="38" t="s">
        <v>3</v>
      </c>
      <c r="B345" s="52">
        <v>107.905</v>
      </c>
      <c r="C345" s="52">
        <v>1.0611396246206883</v>
      </c>
      <c r="D345" s="52">
        <v>104.655</v>
      </c>
      <c r="E345" s="52">
        <v>0.9705834113209022</v>
      </c>
      <c r="F345" s="52">
        <v>99.209000000000003</v>
      </c>
      <c r="G345" s="52">
        <v>0.25972188535856588</v>
      </c>
      <c r="H345" s="52">
        <v>105.166</v>
      </c>
      <c r="I345" s="52">
        <v>1.1065711676200518</v>
      </c>
      <c r="J345" s="52">
        <v>103.261</v>
      </c>
      <c r="K345" s="52">
        <v>0.29624305528574979</v>
      </c>
      <c r="L345" s="52">
        <v>105.235</v>
      </c>
      <c r="M345" s="52">
        <v>0.44670554659387296</v>
      </c>
      <c r="N345" s="52">
        <v>109.142</v>
      </c>
      <c r="O345" s="52">
        <v>2.0800987672795923</v>
      </c>
      <c r="P345" s="52">
        <v>100.57599999999999</v>
      </c>
      <c r="Q345" s="52">
        <v>-3.677457187442057E-2</v>
      </c>
      <c r="R345" s="52">
        <v>102.816</v>
      </c>
      <c r="S345" s="52">
        <v>9.930486593843213E-2</v>
      </c>
      <c r="T345" s="52">
        <v>98.462999999999994</v>
      </c>
      <c r="U345" s="52">
        <v>0.43760328049451402</v>
      </c>
      <c r="V345" s="52">
        <v>104.14400000000001</v>
      </c>
      <c r="W345" s="52">
        <v>0.9020181566275598</v>
      </c>
      <c r="X345" s="52">
        <v>103.973</v>
      </c>
      <c r="Y345" s="52">
        <v>0.49681516349471266</v>
      </c>
    </row>
    <row r="346" spans="1:25">
      <c r="A346" s="38" t="s">
        <v>4</v>
      </c>
      <c r="B346" s="52">
        <v>108.044</v>
      </c>
      <c r="C346" s="52">
        <v>0.12881701496687548</v>
      </c>
      <c r="D346" s="52">
        <v>105.429</v>
      </c>
      <c r="E346" s="52">
        <v>0.73957288232764373</v>
      </c>
      <c r="F346" s="52">
        <v>99.296000000000006</v>
      </c>
      <c r="G346" s="52">
        <v>8.7693656825482691E-2</v>
      </c>
      <c r="H346" s="52">
        <v>105.565</v>
      </c>
      <c r="I346" s="52">
        <v>0.37940018637201423</v>
      </c>
      <c r="J346" s="52">
        <v>103.77500000000001</v>
      </c>
      <c r="K346" s="52">
        <v>0.49776779229333545</v>
      </c>
      <c r="L346" s="52">
        <v>105.742</v>
      </c>
      <c r="M346" s="52">
        <v>0.48177887584930357</v>
      </c>
      <c r="N346" s="52">
        <v>111.67100000000001</v>
      </c>
      <c r="O346" s="52">
        <v>2.3171647944879137</v>
      </c>
      <c r="P346" s="52">
        <v>100.524</v>
      </c>
      <c r="Q346" s="52">
        <v>-5.1702195354752511E-2</v>
      </c>
      <c r="R346" s="52">
        <v>102.91</v>
      </c>
      <c r="S346" s="52">
        <v>9.1425459072502768E-2</v>
      </c>
      <c r="T346" s="52">
        <v>98.855999999999995</v>
      </c>
      <c r="U346" s="52">
        <v>0.39913470034429466</v>
      </c>
      <c r="V346" s="52">
        <v>104.917</v>
      </c>
      <c r="W346" s="52">
        <v>0.74224151175295017</v>
      </c>
      <c r="X346" s="52">
        <v>104.58199999999999</v>
      </c>
      <c r="Y346" s="52">
        <v>0.58572898733324497</v>
      </c>
    </row>
    <row r="347" spans="1:25">
      <c r="A347" s="38" t="s">
        <v>5</v>
      </c>
      <c r="B347" s="52">
        <v>107.97199999999999</v>
      </c>
      <c r="C347" s="52">
        <v>-6.6639517233724188E-2</v>
      </c>
      <c r="D347" s="52">
        <v>105.831</v>
      </c>
      <c r="E347" s="52">
        <v>0.3812992630111367</v>
      </c>
      <c r="F347" s="52">
        <v>99.447999999999993</v>
      </c>
      <c r="G347" s="52">
        <v>0.15307766677408186</v>
      </c>
      <c r="H347" s="52">
        <v>105.878</v>
      </c>
      <c r="I347" s="52">
        <v>0.29649978686117073</v>
      </c>
      <c r="J347" s="52">
        <v>104.31699999999999</v>
      </c>
      <c r="K347" s="52">
        <v>0.52228378703924605</v>
      </c>
      <c r="L347" s="52">
        <v>106.286</v>
      </c>
      <c r="M347" s="52">
        <v>0.51445972272132767</v>
      </c>
      <c r="N347" s="52">
        <v>114.292</v>
      </c>
      <c r="O347" s="52">
        <v>2.3470730986558719</v>
      </c>
      <c r="P347" s="52">
        <v>100.518</v>
      </c>
      <c r="Q347" s="52">
        <v>-5.9687238868288972E-3</v>
      </c>
      <c r="R347" s="52">
        <v>103.06699999999999</v>
      </c>
      <c r="S347" s="52">
        <v>0.15256048974832126</v>
      </c>
      <c r="T347" s="52">
        <v>98.864000000000004</v>
      </c>
      <c r="U347" s="52">
        <v>8.0925791049679674E-3</v>
      </c>
      <c r="V347" s="52">
        <v>105.523</v>
      </c>
      <c r="W347" s="52">
        <v>0.57759943574444694</v>
      </c>
      <c r="X347" s="52">
        <v>105.096</v>
      </c>
      <c r="Y347" s="52">
        <v>0.49148036947086471</v>
      </c>
    </row>
    <row r="348" spans="1:25">
      <c r="A348" s="38" t="s">
        <v>6</v>
      </c>
      <c r="B348" s="52">
        <v>108.572</v>
      </c>
      <c r="C348" s="52">
        <v>0.55569962582893151</v>
      </c>
      <c r="D348" s="52">
        <v>106.34399999999999</v>
      </c>
      <c r="E348" s="52">
        <v>0.48473509652180446</v>
      </c>
      <c r="F348" s="52">
        <v>99.501999999999995</v>
      </c>
      <c r="G348" s="52">
        <v>5.4299734534635213E-2</v>
      </c>
      <c r="H348" s="52">
        <v>106.215</v>
      </c>
      <c r="I348" s="52">
        <v>0.31829086306882637</v>
      </c>
      <c r="J348" s="52">
        <v>104.749</v>
      </c>
      <c r="K348" s="52">
        <v>0.41412233864086545</v>
      </c>
      <c r="L348" s="52">
        <v>106.721</v>
      </c>
      <c r="M348" s="52">
        <v>0.40927309335190287</v>
      </c>
      <c r="N348" s="52">
        <v>114.881</v>
      </c>
      <c r="O348" s="52">
        <v>0.5153466559339126</v>
      </c>
      <c r="P348" s="52">
        <v>100.21599999999999</v>
      </c>
      <c r="Q348" s="52">
        <v>-0.30044370162558565</v>
      </c>
      <c r="R348" s="52">
        <v>103.687</v>
      </c>
      <c r="S348" s="52">
        <v>0.6015504477669964</v>
      </c>
      <c r="T348" s="52">
        <v>98.864000000000004</v>
      </c>
      <c r="U348" s="52">
        <v>0</v>
      </c>
      <c r="V348" s="52">
        <v>106.074</v>
      </c>
      <c r="W348" s="52">
        <v>0.52216104545927955</v>
      </c>
      <c r="X348" s="52">
        <v>105.57299999999999</v>
      </c>
      <c r="Y348" s="52">
        <v>0.4538707467458325</v>
      </c>
    </row>
    <row r="349" spans="1:25">
      <c r="A349" s="38" t="s">
        <v>7</v>
      </c>
      <c r="B349" s="52">
        <v>109.393</v>
      </c>
      <c r="C349" s="52">
        <v>0.75618023063035444</v>
      </c>
      <c r="D349" s="52">
        <v>107.471</v>
      </c>
      <c r="E349" s="52">
        <v>1.0597682991047908</v>
      </c>
      <c r="F349" s="52">
        <v>99.584999999999994</v>
      </c>
      <c r="G349" s="52">
        <v>8.3415408735509899E-2</v>
      </c>
      <c r="H349" s="52">
        <v>106.402</v>
      </c>
      <c r="I349" s="52">
        <v>0.17605799557500745</v>
      </c>
      <c r="J349" s="52">
        <v>105.276</v>
      </c>
      <c r="K349" s="52">
        <v>0.50310742823320709</v>
      </c>
      <c r="L349" s="52">
        <v>107.26300000000001</v>
      </c>
      <c r="M349" s="52">
        <v>0.50786630560057944</v>
      </c>
      <c r="N349" s="52">
        <v>116.583</v>
      </c>
      <c r="O349" s="52">
        <v>1.4815330646495095</v>
      </c>
      <c r="P349" s="52">
        <v>99.822999999999993</v>
      </c>
      <c r="Q349" s="52">
        <v>-0.39215294962879899</v>
      </c>
      <c r="R349" s="52">
        <v>103.923</v>
      </c>
      <c r="S349" s="52">
        <v>0.22760808973159019</v>
      </c>
      <c r="T349" s="52">
        <v>98.992000000000004</v>
      </c>
      <c r="U349" s="52">
        <v>0.1294707881534185</v>
      </c>
      <c r="V349" s="52">
        <v>106.68</v>
      </c>
      <c r="W349" s="52">
        <v>0.57129928163357491</v>
      </c>
      <c r="X349" s="52">
        <v>106.21</v>
      </c>
      <c r="Y349" s="52">
        <v>0.60337396872305327</v>
      </c>
    </row>
    <row r="350" spans="1:25">
      <c r="A350" s="38" t="s">
        <v>8</v>
      </c>
      <c r="B350" s="52">
        <v>110.59</v>
      </c>
      <c r="C350" s="52">
        <v>1.0942199226641636</v>
      </c>
      <c r="D350" s="52">
        <v>110.476</v>
      </c>
      <c r="E350" s="52">
        <v>2.7961031347991439</v>
      </c>
      <c r="F350" s="52">
        <v>99.613</v>
      </c>
      <c r="G350" s="52">
        <v>2.8116684239609668E-2</v>
      </c>
      <c r="H350" s="52">
        <v>106.581</v>
      </c>
      <c r="I350" s="52">
        <v>0.1682299204902149</v>
      </c>
      <c r="J350" s="52">
        <v>105.95099999999999</v>
      </c>
      <c r="K350" s="52">
        <v>0.64117177704319239</v>
      </c>
      <c r="L350" s="52">
        <v>107.70699999999999</v>
      </c>
      <c r="M350" s="52">
        <v>0.41393583994480121</v>
      </c>
      <c r="N350" s="52">
        <v>117.21599999999999</v>
      </c>
      <c r="O350" s="52">
        <v>0.54296080903732946</v>
      </c>
      <c r="P350" s="52">
        <v>99.525999999999996</v>
      </c>
      <c r="Q350" s="52">
        <v>-0.297526622121147</v>
      </c>
      <c r="R350" s="52">
        <v>104.492</v>
      </c>
      <c r="S350" s="52">
        <v>0.54752076056310273</v>
      </c>
      <c r="T350" s="52">
        <v>99.007000000000005</v>
      </c>
      <c r="U350" s="52">
        <v>1.5152739615320598E-2</v>
      </c>
      <c r="V350" s="52">
        <v>107.625</v>
      </c>
      <c r="W350" s="52">
        <v>0.88582677165354173</v>
      </c>
      <c r="X350" s="52">
        <v>106.77500000000001</v>
      </c>
      <c r="Y350" s="52">
        <v>0.53196497504943707</v>
      </c>
    </row>
    <row r="351" spans="1:25">
      <c r="A351" s="38" t="s">
        <v>9</v>
      </c>
      <c r="B351" s="52">
        <v>111.596</v>
      </c>
      <c r="C351" s="52">
        <v>0.90966633511166961</v>
      </c>
      <c r="D351" s="52">
        <v>111.982</v>
      </c>
      <c r="E351" s="52">
        <v>1.3631920055034552</v>
      </c>
      <c r="F351" s="52">
        <v>99.658000000000001</v>
      </c>
      <c r="G351" s="52">
        <v>4.5174826578864291E-2</v>
      </c>
      <c r="H351" s="52">
        <v>106.709</v>
      </c>
      <c r="I351" s="52">
        <v>0.12009645246338074</v>
      </c>
      <c r="J351" s="52">
        <v>106.617</v>
      </c>
      <c r="K351" s="52">
        <v>0.62859246255344559</v>
      </c>
      <c r="L351" s="52">
        <v>108.158</v>
      </c>
      <c r="M351" s="52">
        <v>0.41872858774267829</v>
      </c>
      <c r="N351" s="52">
        <v>117.788</v>
      </c>
      <c r="O351" s="52">
        <v>0.48798798798799226</v>
      </c>
      <c r="P351" s="52">
        <v>99.271000000000001</v>
      </c>
      <c r="Q351" s="52">
        <v>-0.25621445652391772</v>
      </c>
      <c r="R351" s="52">
        <v>104.789</v>
      </c>
      <c r="S351" s="52">
        <v>0.28423228572522774</v>
      </c>
      <c r="T351" s="52">
        <v>99.063000000000002</v>
      </c>
      <c r="U351" s="52">
        <v>5.6561657256559705E-2</v>
      </c>
      <c r="V351" s="52">
        <v>108.42</v>
      </c>
      <c r="W351" s="52">
        <v>0.73867595818815079</v>
      </c>
      <c r="X351" s="52">
        <v>107.471</v>
      </c>
      <c r="Y351" s="52">
        <v>0.65183797705454793</v>
      </c>
    </row>
    <row r="352" spans="1:25">
      <c r="A352" s="38" t="s">
        <v>10</v>
      </c>
      <c r="B352" s="52">
        <v>113.241</v>
      </c>
      <c r="C352" s="52">
        <v>1.4740671708663333</v>
      </c>
      <c r="D352" s="52">
        <v>112.877</v>
      </c>
      <c r="E352" s="52">
        <v>0.79923559143433298</v>
      </c>
      <c r="F352" s="52">
        <v>99.878</v>
      </c>
      <c r="G352" s="52">
        <v>0.22075498203857347</v>
      </c>
      <c r="H352" s="52">
        <v>106.83799999999999</v>
      </c>
      <c r="I352" s="52">
        <v>0.12088952197095715</v>
      </c>
      <c r="J352" s="52">
        <v>107.038</v>
      </c>
      <c r="K352" s="52">
        <v>0.39487136197791095</v>
      </c>
      <c r="L352" s="52">
        <v>108.55800000000001</v>
      </c>
      <c r="M352" s="52">
        <v>0.36982932376707911</v>
      </c>
      <c r="N352" s="52">
        <v>119.048</v>
      </c>
      <c r="O352" s="52">
        <v>1.0697184772642476</v>
      </c>
      <c r="P352" s="52">
        <v>98.995000000000005</v>
      </c>
      <c r="Q352" s="52">
        <v>-0.27802681548487751</v>
      </c>
      <c r="R352" s="52">
        <v>105.292</v>
      </c>
      <c r="S352" s="52">
        <v>0.48001221502256275</v>
      </c>
      <c r="T352" s="52">
        <v>99.432000000000002</v>
      </c>
      <c r="U352" s="52">
        <v>0.37249023348777666</v>
      </c>
      <c r="V352" s="52">
        <v>109.84</v>
      </c>
      <c r="W352" s="52">
        <v>1.3097214536063495</v>
      </c>
      <c r="X352" s="52">
        <v>107.922</v>
      </c>
      <c r="Y352" s="52">
        <v>0.41964809111294521</v>
      </c>
    </row>
    <row r="353" spans="1:25">
      <c r="A353" s="38" t="s">
        <v>11</v>
      </c>
      <c r="B353" s="52">
        <v>113.883</v>
      </c>
      <c r="C353" s="52">
        <v>0.56693247145467307</v>
      </c>
      <c r="D353" s="52">
        <v>113.83499999999999</v>
      </c>
      <c r="E353" s="52">
        <v>0.84871142925484477</v>
      </c>
      <c r="F353" s="52">
        <v>99.953999999999994</v>
      </c>
      <c r="G353" s="52">
        <v>7.6092833256558023E-2</v>
      </c>
      <c r="H353" s="52">
        <v>107.163</v>
      </c>
      <c r="I353" s="52">
        <v>0.30419888054811217</v>
      </c>
      <c r="J353" s="52">
        <v>107.65</v>
      </c>
      <c r="K353" s="52">
        <v>0.57175956202470957</v>
      </c>
      <c r="L353" s="52">
        <v>108.889</v>
      </c>
      <c r="M353" s="52">
        <v>0.304906133126992</v>
      </c>
      <c r="N353" s="52">
        <v>119.242</v>
      </c>
      <c r="O353" s="52">
        <v>0.1629594785296673</v>
      </c>
      <c r="P353" s="52">
        <v>98.929000000000002</v>
      </c>
      <c r="Q353" s="52">
        <v>-6.6670033840099396E-2</v>
      </c>
      <c r="R353" s="52">
        <v>105.649</v>
      </c>
      <c r="S353" s="52">
        <v>0.3390570983550445</v>
      </c>
      <c r="T353" s="52">
        <v>101.071</v>
      </c>
      <c r="U353" s="52">
        <v>1.648362700136774</v>
      </c>
      <c r="V353" s="52">
        <v>110.84399999999999</v>
      </c>
      <c r="W353" s="52">
        <v>0.91405680990530591</v>
      </c>
      <c r="X353" s="52">
        <v>108.416</v>
      </c>
      <c r="Y353" s="52">
        <v>0.45773799596005027</v>
      </c>
    </row>
    <row r="354" spans="1:25">
      <c r="A354" s="38" t="s">
        <v>12</v>
      </c>
      <c r="B354" s="52">
        <v>114.518</v>
      </c>
      <c r="C354" s="52">
        <v>0.55758980708271455</v>
      </c>
      <c r="D354" s="52">
        <v>114.86799999999999</v>
      </c>
      <c r="E354" s="52">
        <v>0.90745377080863054</v>
      </c>
      <c r="F354" s="52">
        <v>100.142</v>
      </c>
      <c r="G354" s="52">
        <v>0.18808651979911328</v>
      </c>
      <c r="H354" s="52">
        <v>108.178</v>
      </c>
      <c r="I354" s="52">
        <v>0.94715526814292961</v>
      </c>
      <c r="J354" s="52">
        <v>108.431</v>
      </c>
      <c r="K354" s="52">
        <v>0.72549930329770529</v>
      </c>
      <c r="L354" s="52">
        <v>109.337</v>
      </c>
      <c r="M354" s="52">
        <v>0.41142815160393198</v>
      </c>
      <c r="N354" s="52">
        <v>120.431</v>
      </c>
      <c r="O354" s="52">
        <v>0.99713188306134182</v>
      </c>
      <c r="P354" s="52">
        <v>98.766999999999996</v>
      </c>
      <c r="Q354" s="52">
        <v>-0.16375380323262467</v>
      </c>
      <c r="R354" s="52">
        <v>105.96</v>
      </c>
      <c r="S354" s="52">
        <v>0.29437098316120736</v>
      </c>
      <c r="T354" s="52">
        <v>101.09</v>
      </c>
      <c r="U354" s="52">
        <v>1.8798666284092214E-2</v>
      </c>
      <c r="V354" s="52">
        <v>111.71299999999999</v>
      </c>
      <c r="W354" s="52">
        <v>0.78398469921692193</v>
      </c>
      <c r="X354" s="52">
        <v>108.96899999999999</v>
      </c>
      <c r="Y354" s="52">
        <v>0.51007231404958109</v>
      </c>
    </row>
    <row r="355" spans="1:25">
      <c r="A355" s="38" t="s">
        <v>13</v>
      </c>
      <c r="B355" s="52">
        <v>115.67700000000001</v>
      </c>
      <c r="C355" s="52">
        <v>1.0120679718472303</v>
      </c>
      <c r="D355" s="52">
        <v>115.84399999999999</v>
      </c>
      <c r="E355" s="52">
        <v>0.84967092662882049</v>
      </c>
      <c r="F355" s="52">
        <v>100.026</v>
      </c>
      <c r="G355" s="52">
        <v>-0.11583551357072785</v>
      </c>
      <c r="H355" s="52">
        <v>109.976</v>
      </c>
      <c r="I355" s="52">
        <v>1.6620754682098005</v>
      </c>
      <c r="J355" s="52">
        <v>108.94799999999999</v>
      </c>
      <c r="K355" s="52">
        <v>0.47680091486752563</v>
      </c>
      <c r="L355" s="52">
        <v>109.59099999999999</v>
      </c>
      <c r="M355" s="52">
        <v>0.23230928231063874</v>
      </c>
      <c r="N355" s="52">
        <v>123.301</v>
      </c>
      <c r="O355" s="52">
        <v>2.3831073394724012</v>
      </c>
      <c r="P355" s="52">
        <v>99.225999999999999</v>
      </c>
      <c r="Q355" s="52">
        <v>0.464730122409307</v>
      </c>
      <c r="R355" s="52">
        <v>106.517</v>
      </c>
      <c r="S355" s="52">
        <v>0.52567006417516549</v>
      </c>
      <c r="T355" s="52">
        <v>101.09</v>
      </c>
      <c r="U355" s="52">
        <v>0</v>
      </c>
      <c r="V355" s="52">
        <v>112.35599999999999</v>
      </c>
      <c r="W355" s="52">
        <v>0.57558207191643618</v>
      </c>
      <c r="X355" s="52">
        <v>109.571</v>
      </c>
      <c r="Y355" s="52">
        <v>0.55245069698721672</v>
      </c>
    </row>
    <row r="356" spans="1:25">
      <c r="A356" s="38" t="s">
        <v>14</v>
      </c>
      <c r="B356" s="52">
        <v>116.613</v>
      </c>
      <c r="C356" s="52">
        <v>0.80914961487590364</v>
      </c>
      <c r="D356" s="52">
        <v>116.57299999999999</v>
      </c>
      <c r="E356" s="52">
        <v>0.62929456855771448</v>
      </c>
      <c r="F356" s="52">
        <v>100.29</v>
      </c>
      <c r="G356" s="52">
        <v>0.26393137784177512</v>
      </c>
      <c r="H356" s="52">
        <v>110.968</v>
      </c>
      <c r="I356" s="52">
        <v>0.90201498508766242</v>
      </c>
      <c r="J356" s="52">
        <v>109.774</v>
      </c>
      <c r="K356" s="52">
        <v>0.7581598560781444</v>
      </c>
      <c r="L356" s="52">
        <v>109.845</v>
      </c>
      <c r="M356" s="52">
        <v>0.23177085709593648</v>
      </c>
      <c r="N356" s="52">
        <v>124.283</v>
      </c>
      <c r="O356" s="52">
        <v>0.7964250087185043</v>
      </c>
      <c r="P356" s="52">
        <v>99.272000000000006</v>
      </c>
      <c r="Q356" s="52">
        <v>4.6358817245484296E-2</v>
      </c>
      <c r="R356" s="52">
        <v>107.502</v>
      </c>
      <c r="S356" s="52">
        <v>0.92473501882328613</v>
      </c>
      <c r="T356" s="52">
        <v>101.09</v>
      </c>
      <c r="U356" s="52">
        <v>0</v>
      </c>
      <c r="V356" s="52">
        <v>113.414</v>
      </c>
      <c r="W356" s="52">
        <v>0.94164975613229007</v>
      </c>
      <c r="X356" s="52">
        <v>110.501</v>
      </c>
      <c r="Y356" s="52">
        <v>0.84876472789332524</v>
      </c>
    </row>
    <row r="357" spans="1:25" ht="5.25" customHeight="1"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</row>
    <row r="358" spans="1:25">
      <c r="A358" s="51">
        <v>2022</v>
      </c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</row>
    <row r="359" spans="1:25">
      <c r="A359" s="38" t="s">
        <v>3</v>
      </c>
      <c r="B359" s="52">
        <v>117.98099999999999</v>
      </c>
      <c r="C359" s="52">
        <v>1.1731110596588712</v>
      </c>
      <c r="D359" s="52">
        <v>117.72199999999999</v>
      </c>
      <c r="E359" s="52">
        <v>0.98564847777786735</v>
      </c>
      <c r="F359" s="52">
        <v>100.40300000000001</v>
      </c>
      <c r="G359" s="52">
        <v>0.11267324758201802</v>
      </c>
      <c r="H359" s="52">
        <v>114.792</v>
      </c>
      <c r="I359" s="52">
        <v>3.4460384975848912</v>
      </c>
      <c r="J359" s="52">
        <v>110.315</v>
      </c>
      <c r="K359" s="52">
        <v>0.49283072494397118</v>
      </c>
      <c r="L359" s="52">
        <v>110.334</v>
      </c>
      <c r="M359" s="52">
        <v>0.44517274341118185</v>
      </c>
      <c r="N359" s="52">
        <v>125.377</v>
      </c>
      <c r="O359" s="52">
        <v>0.88024910888857555</v>
      </c>
      <c r="P359" s="52">
        <v>99.613</v>
      </c>
      <c r="Q359" s="52">
        <v>0.34350068498669728</v>
      </c>
      <c r="R359" s="52">
        <v>107.90600000000001</v>
      </c>
      <c r="S359" s="52">
        <v>0.37580696173096229</v>
      </c>
      <c r="T359" s="52">
        <v>103.28100000000001</v>
      </c>
      <c r="U359" s="52">
        <v>2.1673756058957494</v>
      </c>
      <c r="V359" s="52">
        <v>114.29</v>
      </c>
      <c r="W359" s="52">
        <v>0.77239141552190027</v>
      </c>
      <c r="X359" s="52">
        <v>111.27</v>
      </c>
      <c r="Y359" s="52">
        <v>0.69592130387958751</v>
      </c>
    </row>
    <row r="360" spans="1:25">
      <c r="A360" s="38" t="s">
        <v>4</v>
      </c>
      <c r="B360" s="52">
        <v>119.119</v>
      </c>
      <c r="C360" s="52">
        <v>0.96456209050610475</v>
      </c>
      <c r="D360" s="52">
        <v>118.447</v>
      </c>
      <c r="E360" s="52">
        <v>0.61585769864596074</v>
      </c>
      <c r="F360" s="52">
        <v>100.596</v>
      </c>
      <c r="G360" s="52">
        <v>0.19222533191238789</v>
      </c>
      <c r="H360" s="52">
        <v>115.535</v>
      </c>
      <c r="I360" s="52">
        <v>0.64725764861661705</v>
      </c>
      <c r="J360" s="52">
        <v>110.96299999999999</v>
      </c>
      <c r="K360" s="52">
        <v>0.58740878393690465</v>
      </c>
      <c r="L360" s="52">
        <v>110.824</v>
      </c>
      <c r="M360" s="52">
        <v>0.44410607790890122</v>
      </c>
      <c r="N360" s="52">
        <v>127.85</v>
      </c>
      <c r="O360" s="52">
        <v>1.9724510875200441</v>
      </c>
      <c r="P360" s="52">
        <v>99.744</v>
      </c>
      <c r="Q360" s="52">
        <v>0.13150893959623655</v>
      </c>
      <c r="R360" s="52">
        <v>108.03700000000001</v>
      </c>
      <c r="S360" s="52">
        <v>0.12140196096601663</v>
      </c>
      <c r="T360" s="52">
        <v>103.28100000000001</v>
      </c>
      <c r="U360" s="52">
        <v>0</v>
      </c>
      <c r="V360" s="52">
        <v>115.04900000000001</v>
      </c>
      <c r="W360" s="52">
        <v>0.66410009624640054</v>
      </c>
      <c r="X360" s="52">
        <v>112.42100000000001</v>
      </c>
      <c r="Y360" s="52">
        <v>1.0344207782870596</v>
      </c>
    </row>
    <row r="361" spans="1:25">
      <c r="A361" s="38" t="s">
        <v>5</v>
      </c>
      <c r="B361" s="52">
        <v>120.51900000000001</v>
      </c>
      <c r="C361" s="52">
        <v>1.1752952929423577</v>
      </c>
      <c r="D361" s="52">
        <v>118.89100000000001</v>
      </c>
      <c r="E361" s="52">
        <v>0.37485119927056498</v>
      </c>
      <c r="F361" s="52">
        <v>100.74</v>
      </c>
      <c r="G361" s="52">
        <v>0.14314684480496442</v>
      </c>
      <c r="H361" s="52">
        <v>115.81399999999999</v>
      </c>
      <c r="I361" s="52">
        <v>0.24148526420564309</v>
      </c>
      <c r="J361" s="52">
        <v>111.687</v>
      </c>
      <c r="K361" s="52">
        <v>0.65246974216630615</v>
      </c>
      <c r="L361" s="52">
        <v>111.367</v>
      </c>
      <c r="M361" s="52">
        <v>0.48996607233091627</v>
      </c>
      <c r="N361" s="52">
        <v>128.702</v>
      </c>
      <c r="O361" s="52">
        <v>0.66640594446616408</v>
      </c>
      <c r="P361" s="52">
        <v>99.706999999999994</v>
      </c>
      <c r="Q361" s="52">
        <v>-3.7094963105555046E-2</v>
      </c>
      <c r="R361" s="52">
        <v>107.745</v>
      </c>
      <c r="S361" s="52">
        <v>-0.27027777520663987</v>
      </c>
      <c r="T361" s="52">
        <v>103.28100000000001</v>
      </c>
      <c r="U361" s="52">
        <v>0</v>
      </c>
      <c r="V361" s="52">
        <v>116.151</v>
      </c>
      <c r="W361" s="52">
        <v>0.95785274100599338</v>
      </c>
      <c r="X361" s="52">
        <v>113.363</v>
      </c>
      <c r="Y361" s="52">
        <v>0.83792174060006719</v>
      </c>
    </row>
    <row r="362" spans="1:25">
      <c r="A362" s="38" t="s">
        <v>6</v>
      </c>
      <c r="B362" s="52">
        <v>122.29900000000001</v>
      </c>
      <c r="C362" s="52">
        <v>1.4769455438561563</v>
      </c>
      <c r="D362" s="52">
        <v>119.547</v>
      </c>
      <c r="E362" s="52">
        <v>0.55176590322227881</v>
      </c>
      <c r="F362" s="52">
        <v>100.913</v>
      </c>
      <c r="G362" s="52">
        <v>0.17172920389121327</v>
      </c>
      <c r="H362" s="52">
        <v>118.538</v>
      </c>
      <c r="I362" s="52">
        <v>2.3520472481737942</v>
      </c>
      <c r="J362" s="52">
        <v>112.35599999999999</v>
      </c>
      <c r="K362" s="52">
        <v>0.59899540680652397</v>
      </c>
      <c r="L362" s="52">
        <v>112.069</v>
      </c>
      <c r="M362" s="52">
        <v>0.63034830784702844</v>
      </c>
      <c r="N362" s="52">
        <v>129.023</v>
      </c>
      <c r="O362" s="52">
        <v>0.24941337352955006</v>
      </c>
      <c r="P362" s="52">
        <v>99.254999999999995</v>
      </c>
      <c r="Q362" s="52">
        <v>-0.45332825177770708</v>
      </c>
      <c r="R362" s="52">
        <v>107.80200000000001</v>
      </c>
      <c r="S362" s="52">
        <v>5.2902686899636286E-2</v>
      </c>
      <c r="T362" s="52">
        <v>103.309</v>
      </c>
      <c r="U362" s="52">
        <v>2.7110504352201303E-2</v>
      </c>
      <c r="V362" s="52">
        <v>117.41800000000001</v>
      </c>
      <c r="W362" s="52">
        <v>1.0908214307238095</v>
      </c>
      <c r="X362" s="52">
        <v>114.35599999999999</v>
      </c>
      <c r="Y362" s="52">
        <v>0.87594717853267667</v>
      </c>
    </row>
    <row r="363" spans="1:25">
      <c r="A363" s="38" t="s">
        <v>7</v>
      </c>
      <c r="B363" s="52">
        <v>123.473</v>
      </c>
      <c r="C363" s="52">
        <v>0.95994243616055464</v>
      </c>
      <c r="D363" s="52">
        <v>120.792</v>
      </c>
      <c r="E363" s="52">
        <v>1.0414314035483985</v>
      </c>
      <c r="F363" s="52">
        <v>101.035</v>
      </c>
      <c r="G363" s="52">
        <v>0.12089621753390567</v>
      </c>
      <c r="H363" s="52">
        <v>119.04</v>
      </c>
      <c r="I363" s="52">
        <v>0.42349288835648036</v>
      </c>
      <c r="J363" s="52">
        <v>112.90300000000001</v>
      </c>
      <c r="K363" s="52">
        <v>0.48684538431416069</v>
      </c>
      <c r="L363" s="52">
        <v>112.636</v>
      </c>
      <c r="M363" s="52">
        <v>0.50593830586513899</v>
      </c>
      <c r="N363" s="52">
        <v>129.10400000000001</v>
      </c>
      <c r="O363" s="52">
        <v>6.2779504429455457E-2</v>
      </c>
      <c r="P363" s="52">
        <v>98.846000000000004</v>
      </c>
      <c r="Q363" s="52">
        <v>-0.41206992091077366</v>
      </c>
      <c r="R363" s="52">
        <v>107.52</v>
      </c>
      <c r="S363" s="52">
        <v>-0.26159069405021773</v>
      </c>
      <c r="T363" s="52">
        <v>103.815</v>
      </c>
      <c r="U363" s="52">
        <v>0.48979275764937658</v>
      </c>
      <c r="V363" s="52">
        <v>118.328</v>
      </c>
      <c r="W363" s="52">
        <v>0.77500894241087082</v>
      </c>
      <c r="X363" s="52">
        <v>114.997</v>
      </c>
      <c r="Y363" s="52">
        <v>0.5605302738815654</v>
      </c>
    </row>
    <row r="364" spans="1:25">
      <c r="A364" s="38" t="s">
        <v>8</v>
      </c>
      <c r="B364" s="52">
        <v>124.92400000000001</v>
      </c>
      <c r="C364" s="52">
        <v>1.1751557020563297</v>
      </c>
      <c r="D364" s="52">
        <v>121.527</v>
      </c>
      <c r="E364" s="52">
        <v>0.60848400556328119</v>
      </c>
      <c r="F364" s="52">
        <v>101.13</v>
      </c>
      <c r="G364" s="52">
        <v>9.4026822388282305E-2</v>
      </c>
      <c r="H364" s="52">
        <v>119.318</v>
      </c>
      <c r="I364" s="52">
        <v>0.23353494623654658</v>
      </c>
      <c r="J364" s="52">
        <v>113.898</v>
      </c>
      <c r="K364" s="52">
        <v>0.88128747686067044</v>
      </c>
      <c r="L364" s="52">
        <v>113.074</v>
      </c>
      <c r="M364" s="52">
        <v>0.38886324088214241</v>
      </c>
      <c r="N364" s="52">
        <v>129.673</v>
      </c>
      <c r="O364" s="52">
        <v>0.44072995414548011</v>
      </c>
      <c r="P364" s="52">
        <v>98.74</v>
      </c>
      <c r="Q364" s="52">
        <v>-0.10723752099226491</v>
      </c>
      <c r="R364" s="52">
        <v>107.941</v>
      </c>
      <c r="S364" s="52">
        <v>0.39155505952381819</v>
      </c>
      <c r="T364" s="52">
        <v>103.815</v>
      </c>
      <c r="U364" s="52">
        <v>0</v>
      </c>
      <c r="V364" s="52">
        <v>119.508</v>
      </c>
      <c r="W364" s="52">
        <v>0.99722804408084453</v>
      </c>
      <c r="X364" s="52">
        <v>115.72499999999999</v>
      </c>
      <c r="Y364" s="52">
        <v>0.63305999286937809</v>
      </c>
    </row>
    <row r="365" spans="1:25">
      <c r="A365" s="38" t="s">
        <v>9</v>
      </c>
      <c r="B365" s="52">
        <v>125.372</v>
      </c>
      <c r="C365" s="52">
        <v>0.35861803976817708</v>
      </c>
      <c r="D365" s="52">
        <v>121.27500000000001</v>
      </c>
      <c r="E365" s="52">
        <v>-0.20736132711248745</v>
      </c>
      <c r="F365" s="52">
        <v>101.179</v>
      </c>
      <c r="G365" s="52">
        <v>4.8452486898065139E-2</v>
      </c>
      <c r="H365" s="52">
        <v>119.858</v>
      </c>
      <c r="I365" s="52">
        <v>0.4525721182051301</v>
      </c>
      <c r="J365" s="52">
        <v>114.80500000000001</v>
      </c>
      <c r="K365" s="52">
        <v>0.79632653777943485</v>
      </c>
      <c r="L365" s="52">
        <v>113.499</v>
      </c>
      <c r="M365" s="52">
        <v>0.37586005624634655</v>
      </c>
      <c r="N365" s="52">
        <v>130.465</v>
      </c>
      <c r="O365" s="52">
        <v>0.61076708335583429</v>
      </c>
      <c r="P365" s="52">
        <v>98.247</v>
      </c>
      <c r="Q365" s="52">
        <v>-0.49929106744985852</v>
      </c>
      <c r="R365" s="52">
        <v>108.3</v>
      </c>
      <c r="S365" s="52">
        <v>0.33258909960069971</v>
      </c>
      <c r="T365" s="52">
        <v>103.842</v>
      </c>
      <c r="U365" s="52">
        <v>2.6007802340699548E-2</v>
      </c>
      <c r="V365" s="52">
        <v>120.82299999999999</v>
      </c>
      <c r="W365" s="52">
        <v>1.1003447467951899</v>
      </c>
      <c r="X365" s="52">
        <v>116.879</v>
      </c>
      <c r="Y365" s="52">
        <v>0.99719161806006706</v>
      </c>
    </row>
    <row r="366" spans="1:25">
      <c r="A366" s="38" t="s">
        <v>10</v>
      </c>
      <c r="B366" s="52">
        <v>125.02500000000001</v>
      </c>
      <c r="C366" s="52">
        <v>-0.27677631369045219</v>
      </c>
      <c r="D366" s="52">
        <v>120.41</v>
      </c>
      <c r="E366" s="52">
        <v>-0.71325499896929268</v>
      </c>
      <c r="F366" s="52">
        <v>101.355</v>
      </c>
      <c r="G366" s="52">
        <v>0.17394913964361436</v>
      </c>
      <c r="H366" s="52">
        <v>120.07299999999999</v>
      </c>
      <c r="I366" s="52">
        <v>0.17937893173587405</v>
      </c>
      <c r="J366" s="52">
        <v>115.479</v>
      </c>
      <c r="K366" s="52">
        <v>0.58708244414440447</v>
      </c>
      <c r="L366" s="52">
        <v>113.967</v>
      </c>
      <c r="M366" s="52">
        <v>0.41233843469987708</v>
      </c>
      <c r="N366" s="52">
        <v>130.53100000000001</v>
      </c>
      <c r="O366" s="52">
        <v>5.0588280381713702E-2</v>
      </c>
      <c r="P366" s="52">
        <v>98.215999999999994</v>
      </c>
      <c r="Q366" s="52">
        <v>-3.1553126304117995E-2</v>
      </c>
      <c r="R366" s="52">
        <v>108.376</v>
      </c>
      <c r="S366" s="52">
        <v>7.017543859650921E-2</v>
      </c>
      <c r="T366" s="52">
        <v>106.63800000000001</v>
      </c>
      <c r="U366" s="52">
        <v>2.6925521465303026</v>
      </c>
      <c r="V366" s="52">
        <v>121.43</v>
      </c>
      <c r="W366" s="52">
        <v>0.50238779040414627</v>
      </c>
      <c r="X366" s="52">
        <v>117.955</v>
      </c>
      <c r="Y366" s="52">
        <v>0.9206102037149444</v>
      </c>
    </row>
    <row r="367" spans="1:25">
      <c r="A367" s="38" t="s">
        <v>11</v>
      </c>
      <c r="B367" s="52">
        <v>125.483</v>
      </c>
      <c r="C367" s="52">
        <v>0.36632673465306631</v>
      </c>
      <c r="D367" s="52">
        <v>119.871</v>
      </c>
      <c r="E367" s="52">
        <v>-0.44763723943194167</v>
      </c>
      <c r="F367" s="52">
        <v>101.64</v>
      </c>
      <c r="G367" s="52">
        <v>0.28118987716441168</v>
      </c>
      <c r="H367" s="52">
        <v>120.38200000000001</v>
      </c>
      <c r="I367" s="52">
        <v>0.25734344940162579</v>
      </c>
      <c r="J367" s="52">
        <v>116.128</v>
      </c>
      <c r="K367" s="52">
        <v>0.56200694498567128</v>
      </c>
      <c r="L367" s="52">
        <v>114.431</v>
      </c>
      <c r="M367" s="52">
        <v>0.40713539884351668</v>
      </c>
      <c r="N367" s="52">
        <v>129.999</v>
      </c>
      <c r="O367" s="52">
        <v>-0.40756601880014287</v>
      </c>
      <c r="P367" s="52">
        <v>97.998000000000005</v>
      </c>
      <c r="Q367" s="52">
        <v>-0.22195976215686475</v>
      </c>
      <c r="R367" s="52">
        <v>108.374</v>
      </c>
      <c r="S367" s="52">
        <v>-1.8454270318213339E-3</v>
      </c>
      <c r="T367" s="52">
        <v>109.681</v>
      </c>
      <c r="U367" s="52">
        <v>2.8535793994636016</v>
      </c>
      <c r="V367" s="52">
        <v>122.04300000000001</v>
      </c>
      <c r="W367" s="52">
        <v>0.50481759038127905</v>
      </c>
      <c r="X367" s="52">
        <v>118.944</v>
      </c>
      <c r="Y367" s="52">
        <v>0.83845534313933268</v>
      </c>
    </row>
    <row r="368" spans="1:25">
      <c r="A368" s="38" t="s">
        <v>12</v>
      </c>
      <c r="B368" s="52">
        <v>125.84399999999999</v>
      </c>
      <c r="C368" s="52">
        <v>0.28768837213009046</v>
      </c>
      <c r="D368" s="52">
        <v>119.59099999999999</v>
      </c>
      <c r="E368" s="52">
        <v>-0.23358443660268513</v>
      </c>
      <c r="F368" s="52">
        <v>101.35899999999999</v>
      </c>
      <c r="G368" s="52">
        <v>-0.27646595828414444</v>
      </c>
      <c r="H368" s="52">
        <v>120.62</v>
      </c>
      <c r="I368" s="52">
        <v>0.19770397567742126</v>
      </c>
      <c r="J368" s="52">
        <v>116.60599999999999</v>
      </c>
      <c r="K368" s="52">
        <v>0.41161476990905221</v>
      </c>
      <c r="L368" s="52">
        <v>114.80200000000001</v>
      </c>
      <c r="M368" s="52">
        <v>0.3242128444215453</v>
      </c>
      <c r="N368" s="52">
        <v>130.21799999999999</v>
      </c>
      <c r="O368" s="52">
        <v>0.16846283432949694</v>
      </c>
      <c r="P368" s="52">
        <v>97.736000000000004</v>
      </c>
      <c r="Q368" s="52">
        <v>-0.26735239494684038</v>
      </c>
      <c r="R368" s="52">
        <v>108.61199999999999</v>
      </c>
      <c r="S368" s="52">
        <v>0.21960986952589412</v>
      </c>
      <c r="T368" s="52">
        <v>109.815</v>
      </c>
      <c r="U368" s="52">
        <v>0.12217248201602526</v>
      </c>
      <c r="V368" s="52">
        <v>122.604</v>
      </c>
      <c r="W368" s="52">
        <v>0.45967404931048783</v>
      </c>
      <c r="X368" s="52">
        <v>120.017</v>
      </c>
      <c r="Y368" s="52">
        <v>0.90210519235942588</v>
      </c>
    </row>
    <row r="369" spans="1:25">
      <c r="A369" s="38" t="s">
        <v>13</v>
      </c>
      <c r="B369" s="52">
        <v>127.008</v>
      </c>
      <c r="C369" s="52">
        <v>0.92495470582625305</v>
      </c>
      <c r="D369" s="52">
        <v>121.399</v>
      </c>
      <c r="E369" s="52">
        <v>1.5118194512965033</v>
      </c>
      <c r="F369" s="52">
        <v>100.928</v>
      </c>
      <c r="G369" s="52">
        <v>-0.42522124330349742</v>
      </c>
      <c r="H369" s="52">
        <v>120.8</v>
      </c>
      <c r="I369" s="52">
        <v>0.14922898358480374</v>
      </c>
      <c r="J369" s="52">
        <v>116.74299999999999</v>
      </c>
      <c r="K369" s="52">
        <v>0.11748966605491518</v>
      </c>
      <c r="L369" s="52">
        <v>115.163</v>
      </c>
      <c r="M369" s="52">
        <v>0.31445445201301325</v>
      </c>
      <c r="N369" s="52">
        <v>130.643</v>
      </c>
      <c r="O369" s="52">
        <v>0.32637576986285222</v>
      </c>
      <c r="P369" s="52">
        <v>97.846000000000004</v>
      </c>
      <c r="Q369" s="52">
        <v>0.11254808872882549</v>
      </c>
      <c r="R369" s="52">
        <v>108.432</v>
      </c>
      <c r="S369" s="52">
        <v>-0.16572754391779299</v>
      </c>
      <c r="T369" s="52">
        <v>109.874</v>
      </c>
      <c r="U369" s="52">
        <v>5.3726722214642031E-2</v>
      </c>
      <c r="V369" s="52">
        <v>123.23099999999999</v>
      </c>
      <c r="W369" s="52">
        <v>0.51140256435351361</v>
      </c>
      <c r="X369" s="52">
        <v>120.848</v>
      </c>
      <c r="Y369" s="52">
        <v>0.69240190972945648</v>
      </c>
    </row>
    <row r="370" spans="1:25">
      <c r="A370" s="38" t="s">
        <v>14</v>
      </c>
      <c r="B370" s="52">
        <v>129.66499999999999</v>
      </c>
      <c r="C370" s="52">
        <v>2.0919942050894313</v>
      </c>
      <c r="D370" s="52">
        <v>122.88500000000001</v>
      </c>
      <c r="E370" s="52">
        <v>1.2240628011762844</v>
      </c>
      <c r="F370" s="52">
        <v>101.093</v>
      </c>
      <c r="G370" s="52">
        <v>0.16348287888396928</v>
      </c>
      <c r="H370" s="52">
        <v>121.033</v>
      </c>
      <c r="I370" s="52">
        <v>0.19288079470198838</v>
      </c>
      <c r="J370" s="52">
        <v>117.289</v>
      </c>
      <c r="K370" s="52">
        <v>0.46769399450075078</v>
      </c>
      <c r="L370" s="52">
        <v>115.548</v>
      </c>
      <c r="M370" s="52">
        <v>0.33430876236291152</v>
      </c>
      <c r="N370" s="52">
        <v>131.59200000000001</v>
      </c>
      <c r="O370" s="52">
        <v>0.7264070788331578</v>
      </c>
      <c r="P370" s="52">
        <v>98.12</v>
      </c>
      <c r="Q370" s="52">
        <v>0.28003188684257996</v>
      </c>
      <c r="R370" s="52">
        <v>109.43300000000001</v>
      </c>
      <c r="S370" s="52">
        <v>0.92315921499188658</v>
      </c>
      <c r="T370" s="52">
        <v>109.875</v>
      </c>
      <c r="U370" s="52">
        <v>9.1013342555790189E-4</v>
      </c>
      <c r="V370" s="52">
        <v>124.158</v>
      </c>
      <c r="W370" s="52">
        <v>0.75224578231127825</v>
      </c>
      <c r="X370" s="52">
        <v>122.09</v>
      </c>
      <c r="Y370" s="52">
        <v>1.0277373229180542</v>
      </c>
    </row>
    <row r="371" spans="1:25" ht="6.75" customHeight="1"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</row>
    <row r="372" spans="1:25">
      <c r="A372" s="51">
        <v>2023</v>
      </c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</row>
    <row r="373" spans="1:25">
      <c r="A373" s="38" t="s">
        <v>3</v>
      </c>
      <c r="B373" s="52">
        <v>131.37899999999999</v>
      </c>
      <c r="C373" s="52">
        <v>1.321867890332773</v>
      </c>
      <c r="D373" s="52">
        <v>123.587</v>
      </c>
      <c r="E373" s="52">
        <v>0.571265817634381</v>
      </c>
      <c r="F373" s="52">
        <v>101.22799999999999</v>
      </c>
      <c r="G373" s="52">
        <v>0.13354040339093043</v>
      </c>
      <c r="H373" s="52">
        <v>121.398</v>
      </c>
      <c r="I373" s="52">
        <v>0.30157064602216455</v>
      </c>
      <c r="J373" s="52">
        <v>117.611</v>
      </c>
      <c r="K373" s="52">
        <v>0.27453554894321108</v>
      </c>
      <c r="L373" s="52">
        <v>116.232</v>
      </c>
      <c r="M373" s="52">
        <v>0.5919617821165124</v>
      </c>
      <c r="N373" s="52">
        <v>131.804</v>
      </c>
      <c r="O373" s="52">
        <v>0.16110401848135059</v>
      </c>
      <c r="P373" s="52">
        <v>96.674999999999997</v>
      </c>
      <c r="Q373" s="52">
        <v>-1.4726865063187988</v>
      </c>
      <c r="R373" s="52">
        <v>110.13500000000001</v>
      </c>
      <c r="S373" s="52">
        <v>0.64148839929454304</v>
      </c>
      <c r="T373" s="52">
        <v>110.96</v>
      </c>
      <c r="U373" s="52">
        <v>0.98748577929463899</v>
      </c>
      <c r="V373" s="52">
        <v>125.66</v>
      </c>
      <c r="W373" s="52">
        <v>1.2097488683773916</v>
      </c>
      <c r="X373" s="52">
        <v>123.07</v>
      </c>
      <c r="Y373" s="52">
        <v>0.80268654271438145</v>
      </c>
    </row>
    <row r="374" spans="1:25">
      <c r="A374" s="38" t="s">
        <v>4</v>
      </c>
      <c r="B374" s="52">
        <v>130.80199999999999</v>
      </c>
      <c r="C374" s="52">
        <v>-0.43918738915655897</v>
      </c>
      <c r="D374" s="52">
        <v>123.91500000000001</v>
      </c>
      <c r="E374" s="52">
        <v>0.26540008253295166</v>
      </c>
      <c r="F374" s="52">
        <v>100.842</v>
      </c>
      <c r="G374" s="52">
        <v>-0.38131742205713692</v>
      </c>
      <c r="H374" s="52">
        <v>121.75700000000001</v>
      </c>
      <c r="I374" s="52">
        <v>0.29572151106278532</v>
      </c>
      <c r="J374" s="52">
        <v>117.98399999999999</v>
      </c>
      <c r="K374" s="52">
        <v>0.31714720561850651</v>
      </c>
      <c r="L374" s="52">
        <v>116.854</v>
      </c>
      <c r="M374" s="52">
        <v>0.53513662330511025</v>
      </c>
      <c r="N374" s="52">
        <v>131.934</v>
      </c>
      <c r="O374" s="52">
        <v>9.863130102272244E-2</v>
      </c>
      <c r="P374" s="52">
        <v>95.912999999999997</v>
      </c>
      <c r="Q374" s="52">
        <v>-0.78820791311093874</v>
      </c>
      <c r="R374" s="52">
        <v>110.289</v>
      </c>
      <c r="S374" s="52">
        <v>0.1398283924274768</v>
      </c>
      <c r="T374" s="52">
        <v>110.96</v>
      </c>
      <c r="U374" s="52">
        <v>0</v>
      </c>
      <c r="V374" s="52">
        <v>126.74</v>
      </c>
      <c r="W374" s="52">
        <v>0.85946204042655072</v>
      </c>
      <c r="X374" s="52">
        <v>124.057</v>
      </c>
      <c r="Y374" s="52">
        <v>0.80198261152191197</v>
      </c>
    </row>
    <row r="375" spans="1:25">
      <c r="A375" s="38" t="s">
        <v>5</v>
      </c>
      <c r="B375" s="52">
        <v>131.143</v>
      </c>
      <c r="C375" s="52">
        <v>0.26069937768535834</v>
      </c>
      <c r="D375" s="52">
        <v>124.078</v>
      </c>
      <c r="E375" s="52">
        <v>0.13154178267360539</v>
      </c>
      <c r="F375" s="52">
        <v>101.057</v>
      </c>
      <c r="G375" s="52">
        <v>0.21320481545388237</v>
      </c>
      <c r="H375" s="52">
        <v>122.008</v>
      </c>
      <c r="I375" s="52">
        <v>0.2061483118013685</v>
      </c>
      <c r="J375" s="52">
        <v>118.211</v>
      </c>
      <c r="K375" s="52">
        <v>0.19239896935177025</v>
      </c>
      <c r="L375" s="52">
        <v>117.49299999999999</v>
      </c>
      <c r="M375" s="52">
        <v>0.54683622297910794</v>
      </c>
      <c r="N375" s="52">
        <v>132.06399999999999</v>
      </c>
      <c r="O375" s="52">
        <v>9.8534115542614487E-2</v>
      </c>
      <c r="P375" s="52">
        <v>94.831000000000003</v>
      </c>
      <c r="Q375" s="52">
        <v>-1.1281056791050181</v>
      </c>
      <c r="R375" s="52">
        <v>110.226</v>
      </c>
      <c r="S375" s="52">
        <v>-5.7122650490981641E-2</v>
      </c>
      <c r="T375" s="52">
        <v>110.96</v>
      </c>
      <c r="U375" s="52">
        <v>0</v>
      </c>
      <c r="V375" s="52">
        <v>127.249</v>
      </c>
      <c r="W375" s="52">
        <v>0.40160959444532907</v>
      </c>
      <c r="X375" s="52">
        <v>124.901</v>
      </c>
      <c r="Y375" s="52">
        <v>0.68033242783558379</v>
      </c>
    </row>
    <row r="376" spans="1:25">
      <c r="A376" s="38" t="s">
        <v>6</v>
      </c>
      <c r="B376" s="52">
        <v>131.738</v>
      </c>
      <c r="C376" s="52">
        <v>0.45370320947362153</v>
      </c>
      <c r="D376" s="52">
        <v>124.252</v>
      </c>
      <c r="E376" s="52">
        <v>0.14023436870356232</v>
      </c>
      <c r="F376" s="52">
        <v>100.747</v>
      </c>
      <c r="G376" s="52">
        <v>-0.30675757245910429</v>
      </c>
      <c r="H376" s="52">
        <v>122.381</v>
      </c>
      <c r="I376" s="52">
        <v>0.30571765785849525</v>
      </c>
      <c r="J376" s="52">
        <v>118.539</v>
      </c>
      <c r="K376" s="52">
        <v>0.27746994780519785</v>
      </c>
      <c r="L376" s="52">
        <v>117.976</v>
      </c>
      <c r="M376" s="52">
        <v>0.41108832015523955</v>
      </c>
      <c r="N376" s="52">
        <v>131.697</v>
      </c>
      <c r="O376" s="52">
        <v>-0.27789556578627916</v>
      </c>
      <c r="P376" s="52">
        <v>94.778999999999996</v>
      </c>
      <c r="Q376" s="52">
        <v>-5.4834389598346078E-2</v>
      </c>
      <c r="R376" s="52">
        <v>110.66200000000001</v>
      </c>
      <c r="S376" s="52">
        <v>0.39555095893890613</v>
      </c>
      <c r="T376" s="52">
        <v>111.036</v>
      </c>
      <c r="U376" s="52">
        <v>6.8493150684934001E-2</v>
      </c>
      <c r="V376" s="52">
        <v>127.90600000000001</v>
      </c>
      <c r="W376" s="52">
        <v>0.5163105407508306</v>
      </c>
      <c r="X376" s="52">
        <v>125.59399999999999</v>
      </c>
      <c r="Y376" s="52">
        <v>0.55483943283078929</v>
      </c>
    </row>
    <row r="377" spans="1:25">
      <c r="A377" s="38" t="s">
        <v>7</v>
      </c>
      <c r="B377" s="52">
        <v>130.91</v>
      </c>
      <c r="C377" s="52">
        <v>-0.62852024472817014</v>
      </c>
      <c r="D377" s="52">
        <v>124.414</v>
      </c>
      <c r="E377" s="52">
        <v>0.1303801950873984</v>
      </c>
      <c r="F377" s="52">
        <v>100.761</v>
      </c>
      <c r="G377" s="52">
        <v>1.3896195420204371E-2</v>
      </c>
      <c r="H377" s="52">
        <v>121.625</v>
      </c>
      <c r="I377" s="52">
        <v>-0.61774295029457527</v>
      </c>
      <c r="J377" s="52">
        <v>118.473</v>
      </c>
      <c r="K377" s="52">
        <v>-5.5677878166682238E-2</v>
      </c>
      <c r="L377" s="52">
        <v>118.291</v>
      </c>
      <c r="M377" s="52">
        <v>0.26700345833050587</v>
      </c>
      <c r="N377" s="52">
        <v>131.291</v>
      </c>
      <c r="O377" s="52">
        <v>-0.3082834081262309</v>
      </c>
      <c r="P377" s="52">
        <v>94.747</v>
      </c>
      <c r="Q377" s="52">
        <v>-3.3762753352528652E-2</v>
      </c>
      <c r="R377" s="52">
        <v>110.339</v>
      </c>
      <c r="S377" s="52">
        <v>-0.2918797780629423</v>
      </c>
      <c r="T377" s="52">
        <v>112.04</v>
      </c>
      <c r="U377" s="52">
        <v>0.90421124680284404</v>
      </c>
      <c r="V377" s="52">
        <v>128.42400000000001</v>
      </c>
      <c r="W377" s="52">
        <v>0.40498491079385968</v>
      </c>
      <c r="X377" s="52">
        <v>125.96599999999999</v>
      </c>
      <c r="Y377" s="52">
        <v>0.29619249327197394</v>
      </c>
    </row>
    <row r="378" spans="1:25">
      <c r="A378" s="38" t="s">
        <v>8</v>
      </c>
      <c r="B378" s="52">
        <v>131.81899999999999</v>
      </c>
      <c r="C378" s="52">
        <v>0.69437017798485989</v>
      </c>
      <c r="D378" s="52">
        <v>124.67</v>
      </c>
      <c r="E378" s="52">
        <v>0.20576462455994537</v>
      </c>
      <c r="F378" s="52">
        <v>100.63800000000001</v>
      </c>
      <c r="G378" s="52">
        <v>-0.12207103939022579</v>
      </c>
      <c r="H378" s="52">
        <v>120.74299999999999</v>
      </c>
      <c r="I378" s="52">
        <v>-0.72517985611511016</v>
      </c>
      <c r="J378" s="52">
        <v>118.84099999999999</v>
      </c>
      <c r="K378" s="52">
        <v>0.3106192972238464</v>
      </c>
      <c r="L378" s="52">
        <v>118.675</v>
      </c>
      <c r="M378" s="52">
        <v>0.32462317505135285</v>
      </c>
      <c r="N378" s="52">
        <v>131.08699999999999</v>
      </c>
      <c r="O378" s="52">
        <v>-0.15538003366567521</v>
      </c>
      <c r="P378" s="52">
        <v>94.808999999999997</v>
      </c>
      <c r="Q378" s="52">
        <v>6.5437428097991912E-2</v>
      </c>
      <c r="R378" s="52">
        <v>110.548</v>
      </c>
      <c r="S378" s="52">
        <v>0.1894162535458932</v>
      </c>
      <c r="T378" s="52">
        <v>112.04</v>
      </c>
      <c r="U378" s="52">
        <v>0</v>
      </c>
      <c r="V378" s="52">
        <v>129.15899999999999</v>
      </c>
      <c r="W378" s="52">
        <v>0.57232293029338965</v>
      </c>
      <c r="X378" s="52">
        <v>126.86199999999999</v>
      </c>
      <c r="Y378" s="52">
        <v>0.7113030500293771</v>
      </c>
    </row>
    <row r="379" spans="1:25">
      <c r="A379" s="38" t="s">
        <v>9</v>
      </c>
      <c r="B379" s="52">
        <v>133.23840000000001</v>
      </c>
      <c r="C379" s="52">
        <v>1.0767795234374544</v>
      </c>
      <c r="D379" s="52">
        <v>124.934</v>
      </c>
      <c r="E379" s="52">
        <v>0.21175904387582545</v>
      </c>
      <c r="F379" s="52">
        <v>100.4691</v>
      </c>
      <c r="G379" s="52">
        <v>-0.16782924938890664</v>
      </c>
      <c r="H379" s="52">
        <v>120.55070000000001</v>
      </c>
      <c r="I379" s="52">
        <v>-0.15926389107442374</v>
      </c>
      <c r="J379" s="52">
        <v>119.0746</v>
      </c>
      <c r="K379" s="52">
        <v>0.19656515848909262</v>
      </c>
      <c r="L379" s="52">
        <v>119.1296</v>
      </c>
      <c r="M379" s="52">
        <v>0.38306298714978482</v>
      </c>
      <c r="N379" s="52">
        <v>131.62190000000001</v>
      </c>
      <c r="O379" s="52">
        <v>0.40804961590394928</v>
      </c>
      <c r="P379" s="52">
        <v>94.975899999999996</v>
      </c>
      <c r="Q379" s="52">
        <v>0.17603813983904093</v>
      </c>
      <c r="R379" s="52">
        <v>111.0117</v>
      </c>
      <c r="S379" s="52">
        <v>0.41945580200455357</v>
      </c>
      <c r="T379" s="52">
        <v>112.06740000000001</v>
      </c>
      <c r="U379" s="52">
        <v>2.4455551588720148E-2</v>
      </c>
      <c r="V379" s="52">
        <v>129.84280000000001</v>
      </c>
      <c r="W379" s="52">
        <v>0.52942497232095764</v>
      </c>
      <c r="X379" s="52">
        <v>127.28619999999999</v>
      </c>
      <c r="Y379" s="52">
        <v>0.33437908908893199</v>
      </c>
    </row>
    <row r="380" spans="1:25">
      <c r="A380" s="38" t="s">
        <v>10</v>
      </c>
      <c r="B380" s="52">
        <v>134.9323</v>
      </c>
      <c r="C380" s="52">
        <v>1.2713301870932003</v>
      </c>
      <c r="D380" s="52">
        <v>125.0771</v>
      </c>
      <c r="E380" s="52">
        <v>0.11454047737204931</v>
      </c>
      <c r="F380" s="52">
        <v>100.32080000000001</v>
      </c>
      <c r="G380" s="52">
        <v>-0.14760757287562987</v>
      </c>
      <c r="H380" s="52">
        <v>120.8181</v>
      </c>
      <c r="I380" s="52">
        <v>0.22181538555976488</v>
      </c>
      <c r="J380" s="52">
        <v>119.24</v>
      </c>
      <c r="K380" s="52">
        <v>0.13890451867988318</v>
      </c>
      <c r="L380" s="52">
        <v>119.6559</v>
      </c>
      <c r="M380" s="52">
        <v>0.44178776727195057</v>
      </c>
      <c r="N380" s="52">
        <v>131.83090000000001</v>
      </c>
      <c r="O380" s="52">
        <v>0.15878816519134809</v>
      </c>
      <c r="P380" s="52">
        <v>94.990300000000005</v>
      </c>
      <c r="Q380" s="52">
        <v>1.5161741031155529E-2</v>
      </c>
      <c r="R380" s="52">
        <v>111.5168</v>
      </c>
      <c r="S380" s="52">
        <v>0.4549970858927388</v>
      </c>
      <c r="T380" s="52">
        <v>114.0928</v>
      </c>
      <c r="U380" s="52">
        <v>1.8073052466640593</v>
      </c>
      <c r="V380" s="52">
        <v>130.13999999999999</v>
      </c>
      <c r="W380" s="52">
        <v>0.22889216806782908</v>
      </c>
      <c r="X380" s="52">
        <v>127.5981</v>
      </c>
      <c r="Y380" s="52">
        <v>0.24503834665503543</v>
      </c>
    </row>
    <row r="381" spans="1:25">
      <c r="A381" s="38" t="s">
        <v>11</v>
      </c>
      <c r="B381" s="52">
        <v>136.37029999999999</v>
      </c>
      <c r="C381" s="52">
        <v>1.0657196238409883</v>
      </c>
      <c r="D381" s="52">
        <v>125.2315</v>
      </c>
      <c r="E381" s="52">
        <v>0.1234438598272547</v>
      </c>
      <c r="F381" s="52">
        <v>100.2997</v>
      </c>
      <c r="G381" s="52">
        <v>-2.1032527651299038E-2</v>
      </c>
      <c r="H381" s="52">
        <v>120.89700000000001</v>
      </c>
      <c r="I381" s="52">
        <v>6.5304784630781931E-2</v>
      </c>
      <c r="J381" s="52">
        <v>119.37390000000001</v>
      </c>
      <c r="K381" s="52">
        <v>0.11229453203622786</v>
      </c>
      <c r="L381" s="52">
        <v>120.00920000000001</v>
      </c>
      <c r="M381" s="52">
        <v>0.29526333427771778</v>
      </c>
      <c r="N381" s="52">
        <v>131.68870000000001</v>
      </c>
      <c r="O381" s="52">
        <v>-0.10786545491231481</v>
      </c>
      <c r="P381" s="52">
        <v>94.904600000000002</v>
      </c>
      <c r="Q381" s="52">
        <v>-9.0219738225905122E-2</v>
      </c>
      <c r="R381" s="52">
        <v>111.1734</v>
      </c>
      <c r="S381" s="52">
        <v>-0.30793566529886407</v>
      </c>
      <c r="T381" s="52">
        <v>116.8471</v>
      </c>
      <c r="U381" s="52">
        <v>2.4140874796656719</v>
      </c>
      <c r="V381" s="52">
        <v>130.80699999999999</v>
      </c>
      <c r="W381" s="52">
        <v>0.51252497310587675</v>
      </c>
      <c r="X381" s="52">
        <v>128.1251</v>
      </c>
      <c r="Y381" s="52">
        <v>0.41301555430683923</v>
      </c>
    </row>
    <row r="382" spans="1:25">
      <c r="A382" s="38" t="s">
        <v>12</v>
      </c>
      <c r="B382" s="52">
        <v>136.51849999999999</v>
      </c>
      <c r="C382" s="52">
        <v>0.10867468943018821</v>
      </c>
      <c r="D382" s="52">
        <v>125.384</v>
      </c>
      <c r="E382" s="52">
        <v>0.1217744736747628</v>
      </c>
      <c r="F382" s="52">
        <v>100.1617</v>
      </c>
      <c r="G382" s="52">
        <v>-0.13758764981350868</v>
      </c>
      <c r="H382" s="52">
        <v>120.96380000000001</v>
      </c>
      <c r="I382" s="52">
        <v>5.5253645665320761E-2</v>
      </c>
      <c r="J382" s="52">
        <v>119.62269999999999</v>
      </c>
      <c r="K382" s="52">
        <v>0.20842076869398429</v>
      </c>
      <c r="L382" s="52">
        <v>120.40479999999999</v>
      </c>
      <c r="M382" s="52">
        <v>0.32964139415976312</v>
      </c>
      <c r="N382" s="52">
        <v>132.29859999999999</v>
      </c>
      <c r="O382" s="52">
        <v>0.46313768759200791</v>
      </c>
      <c r="P382" s="52">
        <v>94.847999999999999</v>
      </c>
      <c r="Q382" s="52">
        <v>-5.9638837316633442E-2</v>
      </c>
      <c r="R382" s="52">
        <v>111.31229999999999</v>
      </c>
      <c r="S382" s="52">
        <v>0.12493995865916485</v>
      </c>
      <c r="T382" s="52">
        <v>116.8471</v>
      </c>
      <c r="U382" s="52">
        <v>0</v>
      </c>
      <c r="V382" s="52">
        <v>131.2713</v>
      </c>
      <c r="W382" s="52">
        <v>0.35495042314250824</v>
      </c>
      <c r="X382" s="52">
        <v>128.66759999999999</v>
      </c>
      <c r="Y382" s="52">
        <v>0.42341430367662802</v>
      </c>
    </row>
    <row r="383" spans="1:25">
      <c r="A383" s="38" t="s">
        <v>13</v>
      </c>
      <c r="B383" s="52">
        <v>136.33510000000001</v>
      </c>
      <c r="C383" s="52">
        <v>-0.13434076700226116</v>
      </c>
      <c r="D383" s="52">
        <v>125.5698</v>
      </c>
      <c r="E383" s="52">
        <v>0.14818477636699967</v>
      </c>
      <c r="F383" s="52">
        <v>99.417500000000004</v>
      </c>
      <c r="G383" s="52">
        <v>-0.74299857131018276</v>
      </c>
      <c r="H383" s="52">
        <v>121.0561</v>
      </c>
      <c r="I383" s="52">
        <v>7.6303819820466856E-2</v>
      </c>
      <c r="J383" s="52">
        <v>119.50490000000001</v>
      </c>
      <c r="K383" s="52">
        <v>-9.8476292543125954E-2</v>
      </c>
      <c r="L383" s="52">
        <v>120.8929</v>
      </c>
      <c r="M383" s="52">
        <v>0.40538250966739575</v>
      </c>
      <c r="N383" s="52">
        <v>132.69460000000001</v>
      </c>
      <c r="O383" s="52">
        <v>0.29932289532921263</v>
      </c>
      <c r="P383" s="52">
        <v>94.847300000000004</v>
      </c>
      <c r="Q383" s="52">
        <v>-7.3802294195957074E-4</v>
      </c>
      <c r="R383" s="52">
        <v>111.29819999999999</v>
      </c>
      <c r="S383" s="52">
        <v>-1.2667063747673346E-2</v>
      </c>
      <c r="T383" s="52">
        <v>116.8471</v>
      </c>
      <c r="U383" s="52">
        <v>0</v>
      </c>
      <c r="V383" s="52">
        <v>132.19730000000001</v>
      </c>
      <c r="W383" s="52">
        <v>0.70540933166656217</v>
      </c>
      <c r="X383" s="52">
        <v>129.32740000000001</v>
      </c>
      <c r="Y383" s="52">
        <v>0.51279420771042084</v>
      </c>
    </row>
    <row r="384" spans="1:25">
      <c r="A384" s="38" t="s">
        <v>14</v>
      </c>
      <c r="B384" s="52">
        <v>137.58279999999999</v>
      </c>
      <c r="C384" s="52">
        <v>0.91517151489233228</v>
      </c>
      <c r="D384" s="52">
        <v>125.7608</v>
      </c>
      <c r="E384" s="52">
        <v>0.15210663710543137</v>
      </c>
      <c r="F384" s="52">
        <v>99.884399999999999</v>
      </c>
      <c r="G384" s="52">
        <v>0.46963562753035148</v>
      </c>
      <c r="H384" s="52">
        <v>121.17449999999999</v>
      </c>
      <c r="I384" s="52">
        <v>9.7805893300706437E-2</v>
      </c>
      <c r="J384" s="52">
        <v>119.87350000000001</v>
      </c>
      <c r="K384" s="52">
        <v>0.30843923554599861</v>
      </c>
      <c r="L384" s="52">
        <v>121.1387</v>
      </c>
      <c r="M384" s="52">
        <v>0.20332045967961232</v>
      </c>
      <c r="N384" s="52">
        <v>133.04050000000001</v>
      </c>
      <c r="O384" s="52">
        <v>0.26067375763596523</v>
      </c>
      <c r="P384" s="52">
        <v>95.404799999999994</v>
      </c>
      <c r="Q384" s="52">
        <v>0.58778689535705642</v>
      </c>
      <c r="R384" s="52">
        <v>111.7002</v>
      </c>
      <c r="S384" s="52">
        <v>0.36119182520473192</v>
      </c>
      <c r="T384" s="52">
        <v>116.8471</v>
      </c>
      <c r="U384" s="52">
        <v>0</v>
      </c>
      <c r="V384" s="52">
        <v>133.0068</v>
      </c>
      <c r="W384" s="52">
        <v>0.61234230956304092</v>
      </c>
      <c r="X384" s="52">
        <v>130.7045</v>
      </c>
      <c r="Y384" s="52">
        <v>1.0648168910841749</v>
      </c>
    </row>
    <row r="385" spans="1:25"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</row>
    <row r="386" spans="1:25">
      <c r="A386" s="51">
        <v>2024</v>
      </c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</row>
    <row r="387" spans="1:25">
      <c r="A387" s="38" t="s">
        <v>3</v>
      </c>
      <c r="B387" s="52">
        <v>138.6859</v>
      </c>
      <c r="C387" s="52">
        <v>0.8017717330945473</v>
      </c>
      <c r="D387" s="52">
        <v>126.1033</v>
      </c>
      <c r="E387" s="52">
        <v>0.27234241512459345</v>
      </c>
      <c r="F387" s="52">
        <v>99.627200000000002</v>
      </c>
      <c r="G387" s="52">
        <v>-0.25749766730339685</v>
      </c>
      <c r="H387" s="52">
        <v>121.3857</v>
      </c>
      <c r="I387" s="52">
        <v>0.17429409653022532</v>
      </c>
      <c r="J387" s="52">
        <v>120.1387</v>
      </c>
      <c r="K387" s="52">
        <v>0.22123321668257034</v>
      </c>
      <c r="L387" s="52">
        <v>121.56440000000001</v>
      </c>
      <c r="M387" s="52">
        <v>0.35141536106959581</v>
      </c>
      <c r="N387" s="52">
        <v>132.6865</v>
      </c>
      <c r="O387" s="52">
        <v>-0.26608438783679578</v>
      </c>
      <c r="P387" s="52">
        <v>95.629599999999996</v>
      </c>
      <c r="Q387" s="52">
        <v>0.23562755752331022</v>
      </c>
      <c r="R387" s="52">
        <v>112.16719999999999</v>
      </c>
      <c r="S387" s="52">
        <v>0.41808340540123723</v>
      </c>
      <c r="T387" s="52">
        <v>117.0767</v>
      </c>
      <c r="U387" s="52">
        <v>0.19649610473859713</v>
      </c>
      <c r="V387" s="52">
        <v>134.03659999999999</v>
      </c>
      <c r="W387" s="52">
        <v>0.77424612876935139</v>
      </c>
      <c r="X387" s="52">
        <v>131.762</v>
      </c>
      <c r="Y387" s="52">
        <v>0.80907696368526238</v>
      </c>
    </row>
    <row r="388" spans="1:25">
      <c r="A388" s="38" t="s">
        <v>4</v>
      </c>
      <c r="B388" s="52">
        <v>138.1318</v>
      </c>
      <c r="C388" s="52">
        <v>-0.39953592975205954</v>
      </c>
      <c r="D388" s="52">
        <v>126.22320000000001</v>
      </c>
      <c r="E388" s="52">
        <v>9.5080779012124417E-2</v>
      </c>
      <c r="F388" s="52">
        <v>99.507800000000003</v>
      </c>
      <c r="G388" s="52">
        <v>-0.119846788828748</v>
      </c>
      <c r="H388" s="52">
        <v>121.4455</v>
      </c>
      <c r="I388" s="52">
        <v>4.9264452073005671E-2</v>
      </c>
      <c r="J388" s="52">
        <v>120.3356</v>
      </c>
      <c r="K388" s="52">
        <v>0.16389389930138165</v>
      </c>
      <c r="L388" s="52">
        <v>122.5694</v>
      </c>
      <c r="M388" s="52">
        <v>0.82672229698825817</v>
      </c>
      <c r="N388" s="52">
        <v>133.02610000000001</v>
      </c>
      <c r="O388" s="52">
        <v>0.25594163686586402</v>
      </c>
      <c r="P388" s="52">
        <v>95.620800000000003</v>
      </c>
      <c r="Q388" s="52">
        <v>-9.202171712519025E-3</v>
      </c>
      <c r="R388" s="52">
        <v>112.74720000000001</v>
      </c>
      <c r="S388" s="52">
        <v>0.5170852085101707</v>
      </c>
      <c r="T388" s="52">
        <v>117.0767</v>
      </c>
      <c r="U388" s="52">
        <v>0</v>
      </c>
      <c r="V388" s="52">
        <v>134.67490000000001</v>
      </c>
      <c r="W388" s="52">
        <v>0.47621321340589606</v>
      </c>
      <c r="X388" s="52">
        <v>132.2953</v>
      </c>
      <c r="Y388" s="52">
        <v>0.4047449188688601</v>
      </c>
    </row>
    <row r="389" spans="1:25">
      <c r="A389" s="38" t="s">
        <v>5</v>
      </c>
      <c r="B389" s="52">
        <v>138.24770000000001</v>
      </c>
      <c r="C389" s="52">
        <v>8.3905371536463491E-2</v>
      </c>
      <c r="D389" s="52">
        <v>126.3725</v>
      </c>
      <c r="E389" s="52">
        <v>0.11828253443106895</v>
      </c>
      <c r="F389" s="52">
        <v>99.337000000000003</v>
      </c>
      <c r="G389" s="52">
        <v>-0.17164483588221202</v>
      </c>
      <c r="H389" s="52">
        <v>121.5416</v>
      </c>
      <c r="I389" s="52">
        <v>7.9130144797456836E-2</v>
      </c>
      <c r="J389" s="52">
        <v>120.58369999999999</v>
      </c>
      <c r="K389" s="52">
        <v>0.20617340171984466</v>
      </c>
      <c r="L389" s="52">
        <v>123.48560000000001</v>
      </c>
      <c r="M389" s="52">
        <v>0.74749488861005631</v>
      </c>
      <c r="N389" s="52">
        <v>133.63480000000001</v>
      </c>
      <c r="O389" s="52">
        <v>0.457579377280104</v>
      </c>
      <c r="P389" s="52">
        <v>96.650499999999994</v>
      </c>
      <c r="Q389" s="52">
        <v>1.0768577547981106</v>
      </c>
      <c r="R389" s="52">
        <v>113.1241</v>
      </c>
      <c r="S389" s="52">
        <v>0.33428768075836057</v>
      </c>
      <c r="T389" s="52">
        <v>117.0767</v>
      </c>
      <c r="U389" s="52">
        <v>0</v>
      </c>
      <c r="V389" s="52">
        <v>135.45509999999999</v>
      </c>
      <c r="W389" s="52">
        <v>0.57932101675959302</v>
      </c>
      <c r="X389" s="52">
        <v>132.8135</v>
      </c>
      <c r="Y389" s="52">
        <v>0.39169947836394936</v>
      </c>
    </row>
    <row r="390" spans="1:25">
      <c r="A390" s="38" t="s">
        <v>6</v>
      </c>
      <c r="B390" s="52">
        <v>137.2518</v>
      </c>
      <c r="C390" s="52">
        <v>-0.72037364816919247</v>
      </c>
      <c r="D390" s="52">
        <v>126.5271</v>
      </c>
      <c r="E390" s="52">
        <v>0.12233674256663107</v>
      </c>
      <c r="F390" s="52">
        <v>98.991699999999994</v>
      </c>
      <c r="G390" s="52">
        <v>-0.34760461862146652</v>
      </c>
      <c r="H390" s="52">
        <v>121.7743</v>
      </c>
      <c r="I390" s="52">
        <v>0.19145708136143469</v>
      </c>
      <c r="J390" s="52">
        <v>120.7645</v>
      </c>
      <c r="K390" s="52">
        <v>0.1499373464241005</v>
      </c>
      <c r="L390" s="52">
        <v>124.1163</v>
      </c>
      <c r="M390" s="52">
        <v>0.51074781189059948</v>
      </c>
      <c r="N390" s="52">
        <v>133.33430000000001</v>
      </c>
      <c r="O390" s="52">
        <v>-0.22486657667014631</v>
      </c>
      <c r="P390" s="52">
        <v>97.184899999999999</v>
      </c>
      <c r="Q390" s="52">
        <v>0.55292005731992777</v>
      </c>
      <c r="R390" s="52">
        <v>112.9357</v>
      </c>
      <c r="S390" s="52">
        <v>-0.16654276144517643</v>
      </c>
      <c r="T390" s="52">
        <v>117.2578</v>
      </c>
      <c r="U390" s="52">
        <v>0.15468492022749913</v>
      </c>
      <c r="V390" s="52">
        <v>135.96950000000001</v>
      </c>
      <c r="W390" s="52">
        <v>0.37975683455258036</v>
      </c>
      <c r="X390" s="52">
        <v>133.12960000000001</v>
      </c>
      <c r="Y390" s="52">
        <v>0.23800291386042449</v>
      </c>
    </row>
    <row r="391" spans="1:25">
      <c r="A391" s="38" t="s">
        <v>7</v>
      </c>
      <c r="B391" s="52">
        <v>136.33590000000001</v>
      </c>
      <c r="C391" s="52">
        <v>-0.6673136527171164</v>
      </c>
      <c r="D391" s="52">
        <v>126.6789</v>
      </c>
      <c r="E391" s="52">
        <v>0.11997429799623927</v>
      </c>
      <c r="F391" s="52">
        <v>98.893299999999996</v>
      </c>
      <c r="G391" s="52">
        <v>-9.9402273119864049E-2</v>
      </c>
      <c r="H391" s="52">
        <v>121.9144</v>
      </c>
      <c r="I391" s="52">
        <v>0.11504890604996376</v>
      </c>
      <c r="J391" s="52">
        <v>120.84139999999999</v>
      </c>
      <c r="K391" s="52">
        <v>6.3677653615079599E-2</v>
      </c>
      <c r="L391" s="52">
        <v>124.6827</v>
      </c>
      <c r="M391" s="52">
        <v>0.45634618498939794</v>
      </c>
      <c r="N391" s="52">
        <v>133.5299</v>
      </c>
      <c r="O391" s="52">
        <v>0.14669893643270981</v>
      </c>
      <c r="P391" s="52">
        <v>97.199200000000005</v>
      </c>
      <c r="Q391" s="52">
        <v>1.4714220007427947E-2</v>
      </c>
      <c r="R391" s="52">
        <v>112.7872</v>
      </c>
      <c r="S391" s="52">
        <v>-0.13149075093172868</v>
      </c>
      <c r="T391" s="52">
        <v>118.129</v>
      </c>
      <c r="U391" s="52">
        <v>0.74297829227565337</v>
      </c>
      <c r="V391" s="52">
        <v>136.4136</v>
      </c>
      <c r="W391" s="52">
        <v>0.32661736639465477</v>
      </c>
      <c r="X391" s="52">
        <v>133.39099999999999</v>
      </c>
      <c r="Y391" s="52">
        <v>0.19635002283486802</v>
      </c>
    </row>
    <row r="392" spans="1:25">
      <c r="A392" s="38" t="s">
        <v>8</v>
      </c>
      <c r="B392" s="52">
        <v>137.3569</v>
      </c>
      <c r="C392" s="52">
        <v>0.74888565667590168</v>
      </c>
      <c r="D392" s="52">
        <v>126.9761</v>
      </c>
      <c r="E392" s="52">
        <v>0.23460892066478056</v>
      </c>
      <c r="F392" s="52">
        <v>98.786100000000005</v>
      </c>
      <c r="G392" s="52">
        <v>-0.10839965902643689</v>
      </c>
      <c r="H392" s="52">
        <v>122.06910000000001</v>
      </c>
      <c r="I392" s="52">
        <v>0.12689231132663181</v>
      </c>
      <c r="J392" s="52">
        <v>121.41070000000001</v>
      </c>
      <c r="K392" s="52">
        <v>0.47111337670699971</v>
      </c>
      <c r="L392" s="52">
        <v>125.224</v>
      </c>
      <c r="M392" s="52">
        <v>0.4341420261191109</v>
      </c>
      <c r="N392" s="52">
        <v>134.3484</v>
      </c>
      <c r="O392" s="52">
        <v>0.61297132702113899</v>
      </c>
      <c r="P392" s="52">
        <v>97.231499999999997</v>
      </c>
      <c r="Q392" s="52">
        <v>3.3230726178801184E-2</v>
      </c>
      <c r="R392" s="52">
        <v>112.99979999999999</v>
      </c>
      <c r="S392" s="52">
        <v>0.18849656698631811</v>
      </c>
      <c r="T392" s="52">
        <v>118.129</v>
      </c>
      <c r="U392" s="52">
        <v>0</v>
      </c>
      <c r="V392" s="52">
        <v>137.0813</v>
      </c>
      <c r="W392" s="52">
        <v>0.48946732583847741</v>
      </c>
      <c r="X392" s="52">
        <v>134.2277</v>
      </c>
      <c r="Y392" s="52">
        <v>0.62725371276923791</v>
      </c>
    </row>
    <row r="393" spans="1:25">
      <c r="A393" s="38" t="s">
        <v>9</v>
      </c>
      <c r="B393" s="52">
        <v>139.30529999999999</v>
      </c>
      <c r="C393" s="52">
        <v>1.4184944476760775</v>
      </c>
      <c r="D393" s="52">
        <v>127.12820000000001</v>
      </c>
      <c r="E393" s="52">
        <v>0.11978632199287631</v>
      </c>
      <c r="F393" s="52">
        <v>98.730699999999999</v>
      </c>
      <c r="G393" s="52">
        <v>-5.6080764399046856E-2</v>
      </c>
      <c r="H393" s="52">
        <v>122.432</v>
      </c>
      <c r="I393" s="52">
        <v>0.29729063292840419</v>
      </c>
      <c r="J393" s="52">
        <v>121.69110000000001</v>
      </c>
      <c r="K393" s="52">
        <v>0.23095163770574523</v>
      </c>
      <c r="L393" s="52">
        <v>125.5988</v>
      </c>
      <c r="M393" s="52">
        <v>0.299303647863014</v>
      </c>
      <c r="N393" s="52">
        <v>134.45330000000001</v>
      </c>
      <c r="O393" s="52">
        <v>7.8080572600791598E-2</v>
      </c>
      <c r="P393" s="52">
        <v>97.367699999999999</v>
      </c>
      <c r="Q393" s="52">
        <v>0.14007806112217303</v>
      </c>
      <c r="R393" s="52">
        <v>113.4422</v>
      </c>
      <c r="S393" s="52">
        <v>0.39150511770817964</v>
      </c>
      <c r="T393" s="52">
        <v>118.129</v>
      </c>
      <c r="U393" s="52">
        <v>0</v>
      </c>
      <c r="V393" s="52">
        <v>137.69489999999999</v>
      </c>
      <c r="W393" s="52">
        <v>0.44761758168327948</v>
      </c>
      <c r="X393" s="52">
        <v>134.61160000000001</v>
      </c>
      <c r="Y393" s="52">
        <v>0.28600653963377631</v>
      </c>
    </row>
    <row r="394" spans="1:25">
      <c r="A394" s="38" t="s">
        <v>10</v>
      </c>
      <c r="B394" s="52">
        <v>139.88380000000001</v>
      </c>
      <c r="C394" s="52">
        <v>0.41527493928803505</v>
      </c>
      <c r="D394" s="52">
        <v>127.23990000000001</v>
      </c>
      <c r="E394" s="52">
        <v>8.7864061632281221E-2</v>
      </c>
      <c r="F394" s="52">
        <v>98.643000000000001</v>
      </c>
      <c r="G394" s="52">
        <v>-8.8827487296250229E-2</v>
      </c>
      <c r="H394" s="52">
        <v>122.5141</v>
      </c>
      <c r="I394" s="52">
        <v>6.7057631991640498E-2</v>
      </c>
      <c r="J394" s="52">
        <v>121.93</v>
      </c>
      <c r="K394" s="52">
        <v>0.19631673967939189</v>
      </c>
      <c r="L394" s="52">
        <v>126.0766</v>
      </c>
      <c r="M394" s="52">
        <v>0.38041764730236682</v>
      </c>
      <c r="N394" s="52">
        <v>134.66579999999999</v>
      </c>
      <c r="O394" s="52">
        <v>0.15804744100738066</v>
      </c>
      <c r="P394" s="52">
        <v>97.437399999999997</v>
      </c>
      <c r="Q394" s="52">
        <v>7.1584313894645923E-2</v>
      </c>
      <c r="R394" s="52">
        <v>117.6688</v>
      </c>
      <c r="S394" s="52">
        <v>3.7257740064984723</v>
      </c>
      <c r="T394" s="52">
        <v>120.6118</v>
      </c>
      <c r="U394" s="52">
        <v>2.1017700987903121</v>
      </c>
      <c r="V394" s="52">
        <v>138.2234</v>
      </c>
      <c r="W394" s="52">
        <v>0.38381958954181172</v>
      </c>
      <c r="X394" s="52">
        <v>135.0761</v>
      </c>
      <c r="Y394" s="52">
        <v>0.34506684416497624</v>
      </c>
    </row>
    <row r="395" spans="1:25">
      <c r="A395" s="38" t="s">
        <v>11</v>
      </c>
      <c r="B395" s="52">
        <v>140.33099999999999</v>
      </c>
      <c r="C395" s="52">
        <v>0.31969391737998176</v>
      </c>
      <c r="D395" s="52">
        <v>129.6917</v>
      </c>
      <c r="E395" s="52">
        <v>1.9269112911908914</v>
      </c>
      <c r="F395" s="52">
        <v>98.608199999999997</v>
      </c>
      <c r="G395" s="52">
        <v>-3.5278732398658086E-2</v>
      </c>
      <c r="H395" s="52">
        <v>122.78</v>
      </c>
      <c r="I395" s="52">
        <v>0.21703624317528369</v>
      </c>
      <c r="J395" s="52">
        <v>122.07</v>
      </c>
      <c r="K395" s="52">
        <v>0.1148199786762838</v>
      </c>
      <c r="L395" s="52">
        <v>126.4935</v>
      </c>
      <c r="M395" s="52">
        <v>0.33067198829916933</v>
      </c>
      <c r="N395" s="52">
        <v>134.5847</v>
      </c>
      <c r="O395" s="52">
        <v>-6.0223159852013097E-2</v>
      </c>
      <c r="P395" s="52">
        <v>97.384600000000006</v>
      </c>
      <c r="Q395" s="52">
        <v>-5.4188638038366044E-2</v>
      </c>
      <c r="R395" s="52">
        <v>117.69029999999999</v>
      </c>
      <c r="S395" s="52">
        <v>1.8271623403975923E-2</v>
      </c>
      <c r="T395" s="52">
        <v>123.1768</v>
      </c>
      <c r="U395" s="52">
        <v>2.1266575907166629</v>
      </c>
      <c r="V395" s="52">
        <v>138.9393</v>
      </c>
      <c r="W395" s="52">
        <v>0.51792967037418425</v>
      </c>
      <c r="X395" s="52">
        <v>135.4066</v>
      </c>
      <c r="Y395" s="52">
        <v>0.24467688954596944</v>
      </c>
    </row>
    <row r="396" spans="1:25">
      <c r="A396" s="38" t="s">
        <v>12</v>
      </c>
      <c r="B396" s="52">
        <v>139.86490000000001</v>
      </c>
      <c r="C396" s="52">
        <v>-0.33214328979340735</v>
      </c>
      <c r="D396" s="52">
        <v>131.77590000000001</v>
      </c>
      <c r="E396" s="52">
        <v>1.6070419309794026</v>
      </c>
      <c r="F396" s="52">
        <v>98.431399999999996</v>
      </c>
      <c r="G396" s="52">
        <v>-0.17929543384830327</v>
      </c>
      <c r="H396" s="52">
        <v>122.8057</v>
      </c>
      <c r="I396" s="52">
        <v>2.0931747841679282E-2</v>
      </c>
      <c r="J396" s="52">
        <v>122.1742</v>
      </c>
      <c r="K396" s="52">
        <v>8.5360858523797489E-2</v>
      </c>
      <c r="L396" s="52">
        <v>126.7333</v>
      </c>
      <c r="M396" s="52">
        <v>0.18957495839706517</v>
      </c>
      <c r="N396" s="52">
        <v>135.0471</v>
      </c>
      <c r="O396" s="52">
        <v>0.34357545842877979</v>
      </c>
      <c r="P396" s="52">
        <v>97.441500000000005</v>
      </c>
      <c r="Q396" s="52">
        <v>5.84281292935529E-2</v>
      </c>
      <c r="R396" s="52">
        <v>117.79089999999999</v>
      </c>
      <c r="S396" s="52">
        <v>8.5478582347064958E-2</v>
      </c>
      <c r="T396" s="52">
        <v>123.1768</v>
      </c>
      <c r="U396" s="52">
        <v>0</v>
      </c>
      <c r="V396" s="52">
        <v>139.3938</v>
      </c>
      <c r="W396" s="52">
        <v>0.32712126806453412</v>
      </c>
      <c r="X396" s="52">
        <v>135.86619999999999</v>
      </c>
      <c r="Y396" s="52">
        <v>0.33942215519775498</v>
      </c>
    </row>
    <row r="397" spans="1:25">
      <c r="A397" s="38" t="s">
        <v>13</v>
      </c>
      <c r="B397" s="52">
        <v>139.70400000000001</v>
      </c>
      <c r="C397" s="52">
        <v>-0.11503958462774078</v>
      </c>
      <c r="D397" s="52">
        <v>132.50129999999999</v>
      </c>
      <c r="E397" s="52">
        <v>0.55048001948760916</v>
      </c>
      <c r="F397" s="52">
        <v>98.150800000000004</v>
      </c>
      <c r="G397" s="52">
        <v>-0.28507163364535071</v>
      </c>
      <c r="H397" s="52">
        <v>123.0457</v>
      </c>
      <c r="I397" s="52">
        <v>0.1954306681204443</v>
      </c>
      <c r="J397" s="52">
        <v>122.2162</v>
      </c>
      <c r="K397" s="52">
        <v>3.4377143455821546E-2</v>
      </c>
      <c r="L397" s="52">
        <v>127.1386</v>
      </c>
      <c r="M397" s="52">
        <v>0.31980544971210723</v>
      </c>
      <c r="N397" s="52">
        <v>135.5718</v>
      </c>
      <c r="O397" s="52">
        <v>0.38853111247854066</v>
      </c>
      <c r="P397" s="52">
        <v>97.441000000000003</v>
      </c>
      <c r="Q397" s="52">
        <v>-5.1312838985628773E-4</v>
      </c>
      <c r="R397" s="52">
        <v>117.6589</v>
      </c>
      <c r="S397" s="52">
        <v>-0.11206298618993138</v>
      </c>
      <c r="T397" s="52">
        <v>123.1768</v>
      </c>
      <c r="U397" s="52">
        <v>0</v>
      </c>
      <c r="V397" s="52">
        <v>139.95760000000001</v>
      </c>
      <c r="W397" s="52">
        <v>0.40446562185694201</v>
      </c>
      <c r="X397" s="52">
        <v>136.3776</v>
      </c>
      <c r="Y397" s="52">
        <v>0.37639972266834132</v>
      </c>
    </row>
    <row r="398" spans="1:25">
      <c r="A398" s="38" t="s">
        <v>14</v>
      </c>
      <c r="B398" s="52">
        <v>141.8382</v>
      </c>
      <c r="C398" s="52">
        <v>1.5276584779247537</v>
      </c>
      <c r="D398" s="52">
        <v>133.221</v>
      </c>
      <c r="E398" s="52">
        <v>0.54316448215980806</v>
      </c>
      <c r="F398" s="52">
        <v>98.392099999999999</v>
      </c>
      <c r="G398" s="52">
        <v>0.24584618770300271</v>
      </c>
      <c r="H398" s="52">
        <v>123.2454</v>
      </c>
      <c r="I398" s="52">
        <v>0.16229742282745097</v>
      </c>
      <c r="J398" s="52">
        <v>122.59610000000001</v>
      </c>
      <c r="K398" s="52">
        <v>0.31084258878937288</v>
      </c>
      <c r="L398" s="52">
        <v>127.5579</v>
      </c>
      <c r="M398" s="52">
        <v>0.3297975595137892</v>
      </c>
      <c r="N398" s="52">
        <v>135.9691</v>
      </c>
      <c r="O398" s="52">
        <v>0.29305504537078253</v>
      </c>
      <c r="P398" s="52">
        <v>97.522300000000001</v>
      </c>
      <c r="Q398" s="52">
        <v>8.3435104319540265E-2</v>
      </c>
      <c r="R398" s="52">
        <v>118.20140000000001</v>
      </c>
      <c r="S398" s="52">
        <v>0.46107859243966764</v>
      </c>
      <c r="T398" s="52">
        <v>123.1768</v>
      </c>
      <c r="U398" s="52">
        <v>0</v>
      </c>
      <c r="V398" s="52">
        <v>140.69470000000001</v>
      </c>
      <c r="W398" s="52">
        <v>0.52665950259220828</v>
      </c>
      <c r="X398" s="52">
        <v>137.93690000000001</v>
      </c>
      <c r="Y398" s="52">
        <v>1.1433695856211123</v>
      </c>
    </row>
    <row r="399" spans="1:25"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</row>
    <row r="400" spans="1:25">
      <c r="A400" s="51">
        <v>2025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38" t="s">
        <v>3</v>
      </c>
      <c r="B401" s="52">
        <v>143.01419999999999</v>
      </c>
      <c r="C401" s="52">
        <v>0.82911373663794308</v>
      </c>
      <c r="D401" s="52">
        <v>133.72929999999999</v>
      </c>
      <c r="E401" s="52">
        <v>0.38154645288654976</v>
      </c>
      <c r="F401" s="52">
        <v>98.117900000000006</v>
      </c>
      <c r="G401" s="52">
        <v>-0.27868091035763154</v>
      </c>
      <c r="H401" s="52">
        <v>123.5979</v>
      </c>
      <c r="I401" s="52">
        <v>0.28601473158429425</v>
      </c>
      <c r="J401" s="52">
        <v>122.8096</v>
      </c>
      <c r="K401" s="52">
        <v>0.17414909609685392</v>
      </c>
      <c r="L401" s="52">
        <v>128.19659999999999</v>
      </c>
      <c r="M401" s="52">
        <v>0.50071379350082879</v>
      </c>
      <c r="N401" s="52">
        <v>135.58029999999999</v>
      </c>
      <c r="O401" s="52">
        <v>-0.28594732185475147</v>
      </c>
      <c r="P401" s="52">
        <v>97.689599999999999</v>
      </c>
      <c r="Q401" s="52">
        <v>0.17155050690969009</v>
      </c>
      <c r="R401" s="52">
        <v>118.93129999999999</v>
      </c>
      <c r="S401" s="52">
        <v>0.61750537641684922</v>
      </c>
      <c r="T401" s="52">
        <v>123.8283</v>
      </c>
      <c r="U401" s="52">
        <v>0.52891453585415249</v>
      </c>
      <c r="V401" s="52">
        <v>141.69149999999999</v>
      </c>
      <c r="W401" s="52">
        <v>0.70848439919910522</v>
      </c>
      <c r="X401" s="52">
        <v>138.3135</v>
      </c>
      <c r="Y401" s="52">
        <v>0.27302338968036022</v>
      </c>
    </row>
    <row r="402" spans="1:25">
      <c r="A402" s="38" t="s">
        <v>4</v>
      </c>
      <c r="B402" s="52">
        <v>143.3777</v>
      </c>
      <c r="C402" s="52">
        <v>0.25417056488097334</v>
      </c>
      <c r="D402" s="52">
        <v>133.92420000000001</v>
      </c>
      <c r="E402" s="52">
        <v>0.14574218215455126</v>
      </c>
      <c r="F402" s="52">
        <v>98.097899999999996</v>
      </c>
      <c r="G402" s="52">
        <v>-2.0383640497823041E-2</v>
      </c>
      <c r="H402" s="52">
        <v>123.7403</v>
      </c>
      <c r="I402" s="52">
        <v>0.11521231347781935</v>
      </c>
      <c r="J402" s="52">
        <v>123.3385</v>
      </c>
      <c r="K402" s="52">
        <v>0.43066665798112691</v>
      </c>
      <c r="L402" s="52">
        <v>128.91730000000001</v>
      </c>
      <c r="M402" s="52">
        <v>0.56218339643954174</v>
      </c>
      <c r="N402" s="52">
        <v>136.2159</v>
      </c>
      <c r="O402" s="52">
        <v>0.46879967074864304</v>
      </c>
      <c r="P402" s="52">
        <v>97.830399999999997</v>
      </c>
      <c r="Q402" s="52">
        <v>0.14412997903563429</v>
      </c>
      <c r="R402" s="52">
        <v>119.497</v>
      </c>
      <c r="S402" s="52">
        <v>0.47565275078975677</v>
      </c>
      <c r="T402" s="52">
        <v>123.8283</v>
      </c>
      <c r="U402" s="52">
        <v>0</v>
      </c>
      <c r="V402" s="52">
        <v>142.3426</v>
      </c>
      <c r="W402" s="52">
        <v>0.45951944894366825</v>
      </c>
      <c r="X402" s="52">
        <v>138.9683</v>
      </c>
      <c r="Y402" s="52">
        <v>0.47341727307890213</v>
      </c>
    </row>
    <row r="403" spans="1:25">
      <c r="A403" s="38" t="s">
        <v>5</v>
      </c>
      <c r="B403" s="52">
        <v>143.50489999999999</v>
      </c>
      <c r="C403" s="52">
        <v>8.8716725125315143E-2</v>
      </c>
      <c r="D403" s="52">
        <v>134.05779999999999</v>
      </c>
      <c r="E403" s="52">
        <v>9.9757922765242313E-2</v>
      </c>
      <c r="F403" s="52">
        <v>97.799499999999995</v>
      </c>
      <c r="G403" s="52">
        <v>-0.30418592039177517</v>
      </c>
      <c r="H403" s="52">
        <v>124.0239</v>
      </c>
      <c r="I403" s="52">
        <v>0.22918968193870182</v>
      </c>
      <c r="J403" s="52">
        <v>123.4777</v>
      </c>
      <c r="K403" s="52">
        <v>0.11286013694020713</v>
      </c>
      <c r="L403" s="52">
        <v>129.39240000000001</v>
      </c>
      <c r="M403" s="52">
        <v>0.36853083333268088</v>
      </c>
      <c r="N403" s="52">
        <v>137.06950000000001</v>
      </c>
      <c r="O403" s="52">
        <v>0.62665224837923361</v>
      </c>
      <c r="P403" s="52">
        <v>99.201599999999999</v>
      </c>
      <c r="Q403" s="52">
        <v>1.4016093157137366</v>
      </c>
      <c r="R403" s="52">
        <v>119.72110000000001</v>
      </c>
      <c r="S403" s="52">
        <v>0.18753608877211114</v>
      </c>
      <c r="T403" s="52">
        <v>123.8616</v>
      </c>
      <c r="U403" s="52">
        <v>2.6892075559459272E-2</v>
      </c>
      <c r="V403" s="52">
        <v>142.92259999999999</v>
      </c>
      <c r="W403" s="52">
        <v>0.4074676168624114</v>
      </c>
      <c r="X403" s="52">
        <v>139.512</v>
      </c>
      <c r="Y403" s="52">
        <v>0.39124030444352975</v>
      </c>
    </row>
    <row r="404" spans="1:25">
      <c r="A404" s="38" t="s">
        <v>6</v>
      </c>
      <c r="B404" s="52">
        <v>143.26249999999999</v>
      </c>
      <c r="C404" s="52">
        <v>-0.16891409282888681</v>
      </c>
      <c r="D404" s="52">
        <v>134.11600000000001</v>
      </c>
      <c r="E404" s="52">
        <v>4.341410943640156E-2</v>
      </c>
      <c r="F404" s="52">
        <v>97.941500000000005</v>
      </c>
      <c r="G404" s="52">
        <v>0.14519501633445397</v>
      </c>
      <c r="H404" s="52">
        <v>124.2636</v>
      </c>
      <c r="I404" s="52">
        <v>0.19326920053313046</v>
      </c>
      <c r="J404" s="52">
        <v>123.7826</v>
      </c>
      <c r="K404" s="52">
        <v>0.24692717794387864</v>
      </c>
      <c r="L404" s="52">
        <v>130.29689999999999</v>
      </c>
      <c r="M404" s="52">
        <v>0.69903641944966122</v>
      </c>
      <c r="N404" s="52">
        <v>136.63339999999999</v>
      </c>
      <c r="O404" s="52">
        <v>-0.31815976566632598</v>
      </c>
      <c r="P404" s="52">
        <v>98.471800000000002</v>
      </c>
      <c r="Q404" s="52">
        <v>-0.73567361816744281</v>
      </c>
      <c r="R404" s="52">
        <v>120.1027</v>
      </c>
      <c r="S404" s="52">
        <v>0.31874080675837746</v>
      </c>
      <c r="T404" s="52">
        <v>123.8616</v>
      </c>
      <c r="U404" s="52">
        <v>0</v>
      </c>
      <c r="V404" s="52">
        <v>143.25790000000001</v>
      </c>
      <c r="W404" s="52">
        <v>0.2346025051321643</v>
      </c>
      <c r="X404" s="52">
        <v>140.1225</v>
      </c>
      <c r="Y404" s="52">
        <v>0.43759676586960783</v>
      </c>
    </row>
    <row r="405" spans="1:25">
      <c r="A405" s="38" t="s">
        <v>7</v>
      </c>
      <c r="B405" s="52">
        <v>143.0402</v>
      </c>
      <c r="C405" s="52">
        <v>-0.15516970595933488</v>
      </c>
      <c r="D405" s="52">
        <v>134.3554</v>
      </c>
      <c r="E405" s="52">
        <v>0.17850219213217944</v>
      </c>
      <c r="F405" s="52">
        <v>97.746200000000002</v>
      </c>
      <c r="G405" s="52">
        <v>-0.19940474671105157</v>
      </c>
      <c r="H405" s="52">
        <v>124.4509</v>
      </c>
      <c r="I405" s="52">
        <v>0.150727968608666</v>
      </c>
      <c r="J405" s="52">
        <v>123.6461</v>
      </c>
      <c r="K405" s="52">
        <v>-0.11027398034941793</v>
      </c>
      <c r="L405" s="52">
        <v>131.00550000000001</v>
      </c>
      <c r="M405" s="52">
        <v>0.54383488785996192</v>
      </c>
      <c r="N405" s="52">
        <v>136.77070000000001</v>
      </c>
      <c r="O405" s="52">
        <v>0.1004878748534388</v>
      </c>
      <c r="P405" s="52">
        <v>98.449399999999997</v>
      </c>
      <c r="Q405" s="52">
        <v>-2.2747629270514214E-2</v>
      </c>
      <c r="R405" s="52">
        <v>118.6045</v>
      </c>
      <c r="S405" s="52">
        <v>-1.247432405766058</v>
      </c>
      <c r="T405" s="52">
        <v>124.57899999999999</v>
      </c>
      <c r="U405" s="52">
        <v>0.57919484327668691</v>
      </c>
      <c r="V405" s="52">
        <v>143.8828</v>
      </c>
      <c r="W405" s="52">
        <v>0.43620631043732594</v>
      </c>
      <c r="X405" s="52">
        <v>140.7467</v>
      </c>
      <c r="Y405" s="52">
        <v>0.44546735891808353</v>
      </c>
    </row>
    <row r="406" spans="1:25">
      <c r="A406" s="38" t="s">
        <v>8</v>
      </c>
      <c r="B406" s="52">
        <v>143.00720000000001</v>
      </c>
      <c r="C406" s="52">
        <v>-2.3070437541328204E-2</v>
      </c>
      <c r="D406" s="52">
        <v>134.46369999999999</v>
      </c>
      <c r="E406" s="52">
        <v>8.060710622721512E-2</v>
      </c>
      <c r="F406" s="52">
        <v>97.536199999999994</v>
      </c>
      <c r="G406" s="52">
        <v>-0.21484211150920585</v>
      </c>
      <c r="H406" s="52">
        <v>124.68</v>
      </c>
      <c r="I406" s="52">
        <v>0.18408866468624385</v>
      </c>
      <c r="J406" s="52">
        <v>124.0005</v>
      </c>
      <c r="K406" s="52">
        <v>0.28662448714515953</v>
      </c>
      <c r="L406" s="52">
        <v>131.43969999999999</v>
      </c>
      <c r="M406" s="52">
        <v>0.33143646640787505</v>
      </c>
      <c r="N406" s="52">
        <v>137.18209999999999</v>
      </c>
      <c r="O406" s="52">
        <v>0.30079541890184469</v>
      </c>
      <c r="P406" s="52">
        <v>98.488100000000003</v>
      </c>
      <c r="Q406" s="52">
        <v>3.9309533628451021E-2</v>
      </c>
      <c r="R406" s="52">
        <v>119.1292</v>
      </c>
      <c r="S406" s="52">
        <v>0.44239468148341565</v>
      </c>
      <c r="T406" s="52">
        <v>124.57899999999999</v>
      </c>
      <c r="U406" s="52">
        <v>0</v>
      </c>
      <c r="V406" s="52">
        <v>144.3296</v>
      </c>
      <c r="W406" s="52">
        <v>0.31053051511369389</v>
      </c>
      <c r="X406" s="52">
        <v>141.65369999999999</v>
      </c>
      <c r="Y406" s="52">
        <v>0.64442008231808678</v>
      </c>
    </row>
    <row r="407" spans="1:25">
      <c r="A407" s="38" t="s">
        <v>9</v>
      </c>
      <c r="B407" s="52">
        <v>143.67779999999999</v>
      </c>
      <c r="C407" s="52">
        <v>0.46892743861846053</v>
      </c>
      <c r="D407" s="52">
        <v>134.65090000000001</v>
      </c>
      <c r="E407" s="52">
        <v>0.13921972993455878</v>
      </c>
      <c r="F407" s="52">
        <v>97.399900000000002</v>
      </c>
      <c r="G407" s="52">
        <v>-0.139742987731728</v>
      </c>
      <c r="H407" s="52">
        <v>125.60429999999999</v>
      </c>
      <c r="I407" s="52">
        <v>0.74133782483156718</v>
      </c>
      <c r="J407" s="52">
        <v>124.1801</v>
      </c>
      <c r="K407" s="52">
        <v>0.14483812565271315</v>
      </c>
      <c r="L407" s="52">
        <v>131.928</v>
      </c>
      <c r="M407" s="52">
        <v>0.37150115223940627</v>
      </c>
      <c r="N407" s="52">
        <v>137.5136</v>
      </c>
      <c r="O407" s="52">
        <v>0.24164960297299309</v>
      </c>
      <c r="P407" s="52">
        <v>98.736999999999995</v>
      </c>
      <c r="Q407" s="52">
        <v>0.25272088709193952</v>
      </c>
      <c r="R407" s="52">
        <v>119.5479</v>
      </c>
      <c r="S407" s="52">
        <v>0.35146714659377576</v>
      </c>
      <c r="T407" s="52">
        <v>124.72490000000001</v>
      </c>
      <c r="U407" s="52">
        <v>0.11711444143878147</v>
      </c>
      <c r="V407" s="52">
        <v>144.95310000000001</v>
      </c>
      <c r="W407" s="52">
        <v>0.43199731725163115</v>
      </c>
      <c r="X407" s="52">
        <v>142.13849999999999</v>
      </c>
      <c r="Y407" s="52">
        <v>0.34224309001460451</v>
      </c>
    </row>
    <row r="408" spans="1:25">
      <c r="A408" s="38" t="s">
        <v>10</v>
      </c>
      <c r="B408" s="52">
        <v>145.4546</v>
      </c>
      <c r="C408" s="52">
        <v>1.2366559064796334</v>
      </c>
      <c r="D408" s="52">
        <v>135.86879999999999</v>
      </c>
      <c r="E408" s="52">
        <v>0.90448708475026063</v>
      </c>
      <c r="F408" s="52">
        <v>97.1631</v>
      </c>
      <c r="G408" s="52">
        <v>-0.24312139950862788</v>
      </c>
      <c r="H408" s="52">
        <v>125.7616</v>
      </c>
      <c r="I408" s="52">
        <v>0.12523456601407634</v>
      </c>
      <c r="J408" s="52">
        <v>124.30110000000001</v>
      </c>
      <c r="K408" s="52">
        <v>9.7439122693576685E-2</v>
      </c>
      <c r="L408" s="52">
        <v>132.3509</v>
      </c>
      <c r="M408" s="52">
        <v>0.32055363531622305</v>
      </c>
      <c r="N408" s="52">
        <v>138.62880000000001</v>
      </c>
      <c r="O408" s="52">
        <v>0.81097433272054875</v>
      </c>
      <c r="P408" s="52">
        <v>99.778300000000002</v>
      </c>
      <c r="Q408" s="52">
        <v>1.0546198486889535</v>
      </c>
      <c r="R408" s="52">
        <v>119.74379999999999</v>
      </c>
      <c r="S408" s="52">
        <v>0.16386737031766074</v>
      </c>
      <c r="T408" s="52">
        <v>127.4449</v>
      </c>
      <c r="U408" s="52">
        <v>2.1807995035474148</v>
      </c>
      <c r="V408" s="52">
        <v>145.7766</v>
      </c>
      <c r="W408" s="52">
        <v>0.56811479023215483</v>
      </c>
      <c r="X408" s="52">
        <v>142.66380000000001</v>
      </c>
      <c r="Y408" s="52">
        <v>0.36956911744532306</v>
      </c>
    </row>
    <row r="409" spans="1:25">
      <c r="A409" s="38" t="s">
        <v>11</v>
      </c>
      <c r="B409" s="52">
        <v>146.50210000000001</v>
      </c>
      <c r="C409" s="52">
        <v>0.72015597994150582</v>
      </c>
      <c r="D409" s="52">
        <v>138.0335</v>
      </c>
      <c r="E409" s="52">
        <v>1.5932281730610676</v>
      </c>
      <c r="F409" s="52">
        <v>97.242000000000004</v>
      </c>
      <c r="G409" s="52">
        <v>8.1203666824136711E-2</v>
      </c>
      <c r="H409" s="52">
        <v>125.9025</v>
      </c>
      <c r="I409" s="52">
        <v>0.11203737865930208</v>
      </c>
      <c r="J409" s="52">
        <v>124.23309999999999</v>
      </c>
      <c r="K409" s="52">
        <v>-5.4705871468563316E-2</v>
      </c>
      <c r="L409" s="52">
        <v>132.66999999999999</v>
      </c>
      <c r="M409" s="52">
        <v>0.24110149609861686</v>
      </c>
      <c r="N409" s="52">
        <v>138.45140000000001</v>
      </c>
      <c r="O409" s="52">
        <v>-0.12796763731635075</v>
      </c>
      <c r="P409" s="52">
        <v>99.334800000000001</v>
      </c>
      <c r="Q409" s="52">
        <v>-0.44448542418541459</v>
      </c>
      <c r="R409" s="52">
        <v>118.98480000000001</v>
      </c>
      <c r="S409" s="52">
        <v>-0.6338532767458438</v>
      </c>
      <c r="T409" s="52">
        <v>130.3631</v>
      </c>
      <c r="U409" s="52">
        <v>2.2897738552111635</v>
      </c>
      <c r="V409" s="52">
        <v>146.66990000000001</v>
      </c>
      <c r="W409" s="52">
        <v>0.6127869630654148</v>
      </c>
      <c r="X409" s="52">
        <v>142.9205</v>
      </c>
      <c r="Y409" s="52">
        <v>0.17993352202871904</v>
      </c>
    </row>
    <row r="410" spans="1:25">
      <c r="A410" s="38" t="s">
        <v>12</v>
      </c>
      <c r="B410" s="52">
        <v>148.1585</v>
      </c>
      <c r="C410" s="52">
        <v>1.1306322571485339</v>
      </c>
      <c r="D410" s="52">
        <v>138.99979999999999</v>
      </c>
      <c r="E410" s="52">
        <v>0.70004745224889753</v>
      </c>
      <c r="F410" s="52">
        <v>97.052199999999999</v>
      </c>
      <c r="G410" s="52">
        <v>-0.19518315131322739</v>
      </c>
      <c r="H410" s="52">
        <v>126.0076</v>
      </c>
      <c r="I410" s="52">
        <v>8.3477293937761488E-2</v>
      </c>
      <c r="J410" s="52">
        <v>124.32680000000001</v>
      </c>
      <c r="K410" s="52">
        <v>7.5422733554919574E-2</v>
      </c>
      <c r="L410" s="52">
        <v>133.11269999999999</v>
      </c>
      <c r="M410" s="52">
        <v>0.33368508328937008</v>
      </c>
      <c r="N410" s="52">
        <v>139.19390000000001</v>
      </c>
      <c r="O410" s="52">
        <v>0.53628926829198953</v>
      </c>
      <c r="P410" s="52">
        <v>99.689800000000005</v>
      </c>
      <c r="Q410" s="52">
        <v>0.35737727362414873</v>
      </c>
      <c r="R410" s="52">
        <v>119.1215</v>
      </c>
      <c r="S410" s="52">
        <v>0.11488862442932124</v>
      </c>
      <c r="T410" s="52">
        <v>130.3631</v>
      </c>
      <c r="U410" s="52">
        <v>0</v>
      </c>
      <c r="V410" s="52">
        <v>147.62370000000001</v>
      </c>
      <c r="W410" s="52">
        <v>0.6503038455743182</v>
      </c>
      <c r="X410" s="52">
        <v>143.5462</v>
      </c>
      <c r="Y410" s="52">
        <v>0.43779583754604001</v>
      </c>
    </row>
    <row r="411" spans="1:25">
      <c r="A411" s="38" t="s">
        <v>13</v>
      </c>
      <c r="B411" s="52">
        <v>151.0556</v>
      </c>
      <c r="C411" s="52">
        <v>1.955405866015103</v>
      </c>
      <c r="D411" s="52">
        <v>139.47999999999999</v>
      </c>
      <c r="E411" s="52">
        <v>0.34546812297571172</v>
      </c>
      <c r="F411" s="52">
        <v>96.480400000000003</v>
      </c>
      <c r="G411" s="52">
        <v>-0.58916747894431909</v>
      </c>
      <c r="H411" s="52">
        <v>126.1123</v>
      </c>
      <c r="I411" s="52">
        <v>8.3090226303816905E-2</v>
      </c>
      <c r="J411" s="52">
        <v>124.1491</v>
      </c>
      <c r="K411" s="52">
        <v>-0.14292976252907597</v>
      </c>
      <c r="L411" s="52">
        <v>133.64500000000001</v>
      </c>
      <c r="M411" s="52">
        <v>0.39988671253758934</v>
      </c>
      <c r="N411" s="52">
        <v>140.24639999999999</v>
      </c>
      <c r="O411" s="52">
        <v>0.75613945726067389</v>
      </c>
      <c r="P411" s="52">
        <v>98.213899999999995</v>
      </c>
      <c r="Q411" s="52">
        <v>-1.4804924876968495</v>
      </c>
      <c r="R411" s="52">
        <v>119.44880000000001</v>
      </c>
      <c r="S411" s="52">
        <v>0.27476148302363335</v>
      </c>
      <c r="T411" s="52">
        <v>130.3631</v>
      </c>
      <c r="U411" s="52">
        <v>0</v>
      </c>
      <c r="V411" s="52">
        <v>148.3844</v>
      </c>
      <c r="W411" s="52">
        <v>0.51529666306966426</v>
      </c>
      <c r="X411" s="52">
        <v>144.33959999999999</v>
      </c>
      <c r="Y411" s="52">
        <v>0.55271403910377437</v>
      </c>
    </row>
    <row r="412" spans="1:25">
      <c r="A412" s="38" t="s">
        <v>14</v>
      </c>
      <c r="B412" s="52">
        <v>153.45599999999999</v>
      </c>
      <c r="C412" s="52">
        <v>1.5890837545910141</v>
      </c>
      <c r="D412" s="52">
        <v>140.0258</v>
      </c>
      <c r="E412" s="52">
        <v>0.39131058216232972</v>
      </c>
      <c r="F412" s="52">
        <v>96.993899999999996</v>
      </c>
      <c r="G412" s="52">
        <v>0.53223245343094749</v>
      </c>
      <c r="H412" s="52">
        <v>126.28579999999999</v>
      </c>
      <c r="I412" s="52">
        <v>0.13757579554094512</v>
      </c>
      <c r="J412" s="52">
        <v>124.848</v>
      </c>
      <c r="K412" s="52">
        <v>0.56295212772383696</v>
      </c>
      <c r="L412" s="52">
        <v>134.06270000000001</v>
      </c>
      <c r="M412" s="52">
        <v>0.31254442740094035</v>
      </c>
      <c r="N412" s="52">
        <v>140.65690000000001</v>
      </c>
      <c r="O412" s="52">
        <v>0.2926991352362851</v>
      </c>
      <c r="P412" s="52">
        <v>98.292000000000002</v>
      </c>
      <c r="Q412" s="52">
        <v>7.9520312297964857E-2</v>
      </c>
      <c r="R412" s="52">
        <v>121.4089</v>
      </c>
      <c r="S412" s="52">
        <v>1.6409541159057239</v>
      </c>
      <c r="T412" s="52">
        <v>130.3631</v>
      </c>
      <c r="U412" s="52">
        <v>0</v>
      </c>
      <c r="V412" s="52">
        <v>149.8664</v>
      </c>
      <c r="W412" s="52">
        <v>0.99875728176277434</v>
      </c>
      <c r="X412" s="52">
        <v>146.2414</v>
      </c>
      <c r="Y412" s="52">
        <v>1.3175871347849144</v>
      </c>
    </row>
    <row r="413" spans="1:25" ht="3.75" customHeight="1">
      <c r="A413" s="57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9"/>
      <c r="R413" s="58"/>
      <c r="S413" s="59"/>
      <c r="T413" s="58"/>
      <c r="U413" s="59"/>
      <c r="V413" s="58"/>
      <c r="W413" s="59"/>
      <c r="X413" s="59"/>
      <c r="Y413" s="58"/>
    </row>
    <row r="414" spans="1:25" ht="18" customHeight="1">
      <c r="A414" s="220" t="s">
        <v>308</v>
      </c>
    </row>
    <row r="418" spans="1:25" ht="15.75">
      <c r="A418" s="255"/>
      <c r="B418" s="256"/>
      <c r="C418" s="256"/>
      <c r="D418" s="256"/>
      <c r="E418" s="256"/>
      <c r="F418" s="256"/>
      <c r="G418" s="256"/>
      <c r="H418" s="257"/>
      <c r="I418" s="256"/>
      <c r="J418" s="257"/>
      <c r="K418" s="256"/>
      <c r="L418" s="257"/>
      <c r="M418" s="256"/>
      <c r="N418" s="257"/>
      <c r="O418" s="256"/>
      <c r="P418" s="257"/>
      <c r="Q418" s="256"/>
      <c r="R418" s="257"/>
      <c r="S418" s="256"/>
      <c r="T418" s="256"/>
      <c r="U418" s="256"/>
      <c r="V418" s="256"/>
      <c r="W418" s="256"/>
      <c r="X418" s="257"/>
      <c r="Y418" s="256"/>
    </row>
    <row r="419" spans="1:25" ht="15.75">
      <c r="A419" s="255"/>
      <c r="B419" s="256"/>
      <c r="C419" s="256"/>
      <c r="D419" s="256"/>
      <c r="E419" s="256"/>
      <c r="F419" s="256"/>
      <c r="G419" s="256"/>
      <c r="H419" s="257"/>
      <c r="I419" s="256"/>
      <c r="J419" s="257"/>
      <c r="K419" s="256"/>
      <c r="L419" s="257"/>
      <c r="M419" s="256"/>
      <c r="N419" s="257"/>
      <c r="O419" s="256"/>
      <c r="P419" s="257"/>
      <c r="Q419" s="256"/>
      <c r="R419" s="257"/>
      <c r="S419" s="256"/>
      <c r="T419" s="256"/>
      <c r="U419" s="256"/>
      <c r="V419" s="256"/>
      <c r="W419" s="256"/>
      <c r="X419" s="257"/>
      <c r="Y419" s="256"/>
    </row>
    <row r="420" spans="1:25" ht="15.75">
      <c r="A420" s="255"/>
      <c r="B420" s="256"/>
      <c r="C420" s="256"/>
      <c r="D420" s="256"/>
      <c r="E420" s="256"/>
      <c r="F420" s="256"/>
      <c r="G420" s="256"/>
      <c r="H420" s="257"/>
      <c r="I420" s="256"/>
      <c r="J420" s="257"/>
      <c r="K420" s="256"/>
      <c r="L420" s="257"/>
      <c r="M420" s="256"/>
      <c r="N420" s="257"/>
      <c r="O420" s="256"/>
      <c r="P420" s="257"/>
      <c r="Q420" s="256"/>
      <c r="R420" s="257"/>
      <c r="S420" s="256"/>
      <c r="T420" s="256"/>
      <c r="U420" s="256"/>
      <c r="V420" s="256"/>
      <c r="W420" s="256"/>
      <c r="X420" s="257"/>
      <c r="Y420" s="256"/>
    </row>
    <row r="421" spans="1:25" ht="15.75">
      <c r="A421" s="255"/>
      <c r="B421" s="256"/>
      <c r="C421" s="256"/>
      <c r="D421" s="256"/>
      <c r="E421" s="256"/>
      <c r="F421" s="256"/>
      <c r="G421" s="256"/>
      <c r="H421" s="257"/>
      <c r="I421" s="256"/>
      <c r="J421" s="257"/>
      <c r="K421" s="256"/>
      <c r="L421" s="257"/>
      <c r="M421" s="256"/>
      <c r="N421" s="257"/>
      <c r="O421" s="256"/>
      <c r="P421" s="257"/>
      <c r="Q421" s="256"/>
      <c r="R421" s="257"/>
      <c r="S421" s="256"/>
      <c r="T421" s="256"/>
      <c r="U421" s="256"/>
      <c r="V421" s="256"/>
      <c r="W421" s="256"/>
      <c r="X421" s="257"/>
      <c r="Y421" s="256"/>
    </row>
    <row r="422" spans="1:25" ht="15.75">
      <c r="A422" s="255"/>
      <c r="B422" s="256"/>
      <c r="C422" s="256"/>
      <c r="D422" s="256"/>
      <c r="E422" s="256"/>
      <c r="F422" s="256"/>
      <c r="G422" s="256"/>
      <c r="H422" s="257"/>
      <c r="I422" s="256"/>
      <c r="J422" s="257"/>
      <c r="K422" s="256"/>
      <c r="L422" s="257"/>
      <c r="M422" s="256"/>
      <c r="N422" s="257"/>
      <c r="O422" s="256"/>
      <c r="P422" s="257"/>
      <c r="Q422" s="256"/>
      <c r="R422" s="257"/>
      <c r="S422" s="256"/>
      <c r="T422" s="256"/>
      <c r="U422" s="256"/>
      <c r="V422" s="256"/>
      <c r="W422" s="256"/>
      <c r="X422" s="257"/>
      <c r="Y422" s="256"/>
    </row>
    <row r="423" spans="1:25" ht="15.75">
      <c r="A423" s="255"/>
      <c r="B423" s="256"/>
      <c r="C423" s="256"/>
      <c r="D423" s="256"/>
      <c r="E423" s="256"/>
      <c r="F423" s="256"/>
      <c r="G423" s="256"/>
      <c r="H423" s="257"/>
      <c r="I423" s="256"/>
      <c r="J423" s="257"/>
      <c r="K423" s="256"/>
      <c r="L423" s="257"/>
      <c r="M423" s="256"/>
      <c r="N423" s="257"/>
      <c r="O423" s="256"/>
      <c r="P423" s="257"/>
      <c r="Q423" s="256"/>
      <c r="R423" s="257"/>
      <c r="S423" s="256"/>
      <c r="T423" s="256"/>
      <c r="U423" s="256"/>
      <c r="V423" s="256"/>
      <c r="W423" s="256"/>
      <c r="X423" s="257"/>
      <c r="Y423" s="256"/>
    </row>
    <row r="424" spans="1:25" ht="15.75">
      <c r="A424" s="255"/>
      <c r="B424" s="256"/>
      <c r="C424" s="256"/>
      <c r="D424" s="256"/>
      <c r="E424" s="256"/>
      <c r="F424" s="256"/>
      <c r="G424" s="256"/>
      <c r="H424" s="257"/>
      <c r="I424" s="256"/>
      <c r="J424" s="257"/>
      <c r="K424" s="256"/>
      <c r="L424" s="257"/>
      <c r="M424" s="256"/>
      <c r="N424" s="257"/>
      <c r="O424" s="256"/>
      <c r="P424" s="257"/>
      <c r="Q424" s="256"/>
      <c r="R424" s="257"/>
      <c r="S424" s="256"/>
      <c r="T424" s="256"/>
      <c r="U424" s="256"/>
      <c r="V424" s="256"/>
      <c r="W424" s="256"/>
      <c r="X424" s="257"/>
      <c r="Y424" s="256"/>
    </row>
    <row r="425" spans="1:25" ht="15.75">
      <c r="A425" s="255"/>
      <c r="B425" s="256"/>
      <c r="C425" s="256"/>
      <c r="D425" s="256"/>
      <c r="E425" s="256"/>
      <c r="F425" s="256"/>
      <c r="G425" s="256"/>
      <c r="H425" s="257"/>
      <c r="I425" s="256"/>
      <c r="J425" s="257"/>
      <c r="K425" s="256"/>
      <c r="L425" s="257"/>
      <c r="M425" s="256"/>
      <c r="N425" s="257"/>
      <c r="O425" s="256"/>
      <c r="P425" s="257"/>
      <c r="Q425" s="256"/>
      <c r="R425" s="257"/>
      <c r="S425" s="256"/>
      <c r="T425" s="256"/>
      <c r="U425" s="256"/>
      <c r="V425" s="256"/>
      <c r="W425" s="256"/>
      <c r="X425" s="257"/>
      <c r="Y425" s="256"/>
    </row>
    <row r="426" spans="1:25" ht="15.75">
      <c r="A426" s="255"/>
      <c r="B426" s="256"/>
      <c r="C426" s="256"/>
      <c r="D426" s="256"/>
      <c r="E426" s="256"/>
      <c r="F426" s="257"/>
      <c r="G426" s="256"/>
      <c r="H426" s="257"/>
      <c r="I426" s="256"/>
      <c r="J426" s="257"/>
      <c r="K426" s="256"/>
      <c r="L426" s="257"/>
      <c r="M426" s="256"/>
      <c r="N426" s="257"/>
      <c r="O426" s="256"/>
      <c r="P426" s="257"/>
      <c r="Q426" s="256"/>
      <c r="R426" s="257"/>
      <c r="S426" s="256"/>
      <c r="T426" s="256"/>
      <c r="U426" s="256"/>
      <c r="V426" s="256"/>
      <c r="W426" s="256"/>
      <c r="X426" s="257"/>
      <c r="Y426" s="256"/>
    </row>
    <row r="427" spans="1:25" ht="15.75">
      <c r="A427" s="255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</row>
    <row r="428" spans="1:25" ht="15.75">
      <c r="A428" s="255"/>
      <c r="B428" s="256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</row>
    <row r="429" spans="1:25" ht="15.75">
      <c r="A429" s="255"/>
      <c r="B429" s="256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</row>
    <row r="430" spans="1:25" ht="15.75">
      <c r="A430" s="255"/>
      <c r="B430" s="256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</row>
    <row r="431" spans="1:25" ht="15.75">
      <c r="A431" s="255"/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</row>
    <row r="432" spans="1:25" ht="15.75">
      <c r="A432" s="255"/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</row>
    <row r="433" spans="1:25" ht="15.75">
      <c r="A433" s="255"/>
      <c r="B433" s="256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</row>
    <row r="434" spans="1:25" ht="15.75">
      <c r="A434" s="255"/>
      <c r="B434" s="256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</row>
    <row r="435" spans="1:25" ht="15.75">
      <c r="A435" s="255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</row>
    <row r="436" spans="1:25" ht="15.75">
      <c r="A436" s="255"/>
      <c r="B436" s="256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</row>
    <row r="437" spans="1:25" ht="15.75">
      <c r="A437" s="255"/>
      <c r="B437" s="256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</row>
    <row r="438" spans="1:25" ht="15.75">
      <c r="A438" s="255"/>
      <c r="B438" s="256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</row>
    <row r="439" spans="1:25" ht="15.75">
      <c r="A439" s="255"/>
      <c r="B439" s="256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</row>
    <row r="440" spans="1:25" ht="15.75">
      <c r="A440" s="255"/>
      <c r="B440" s="256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</row>
    <row r="441" spans="1:25" ht="15.75">
      <c r="A441" s="255"/>
      <c r="B441" s="256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</row>
    <row r="442" spans="1:25" ht="15.75">
      <c r="A442" s="255"/>
      <c r="B442" s="256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</row>
    <row r="443" spans="1:25" ht="15.75">
      <c r="A443" s="255"/>
      <c r="B443" s="256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</row>
    <row r="444" spans="1:25" ht="15.75">
      <c r="A444" s="255"/>
      <c r="B444" s="256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</row>
  </sheetData>
  <mergeCells count="16">
    <mergeCell ref="P5:Q5"/>
    <mergeCell ref="R5:S5"/>
    <mergeCell ref="A1:Y1"/>
    <mergeCell ref="A2:Y2"/>
    <mergeCell ref="A3:Y3"/>
    <mergeCell ref="T5:U5"/>
    <mergeCell ref="V5:W5"/>
    <mergeCell ref="X5:Y5"/>
    <mergeCell ref="J5:K5"/>
    <mergeCell ref="L5:M5"/>
    <mergeCell ref="N5:O5"/>
    <mergeCell ref="A5:A6"/>
    <mergeCell ref="B5:C5"/>
    <mergeCell ref="D5:E5"/>
    <mergeCell ref="F5:G5"/>
    <mergeCell ref="H5:I5"/>
  </mergeCells>
  <printOptions horizontalCentered="1"/>
  <pageMargins left="0" right="0" top="0.261811024" bottom="0.1" header="0.23622047244094499" footer="0.23622047244094499"/>
  <pageSetup scale="70" fitToWidth="3" fitToHeight="3" orientation="portrait" r:id="rId1"/>
  <headerFooter alignWithMargins="0"/>
  <rowBreaks count="6" manualBreakCount="6">
    <brk id="76" max="24" man="1"/>
    <brk id="132" max="24" man="1"/>
    <brk id="188" max="24" man="1"/>
    <brk id="245" max="24" man="1"/>
    <brk id="301" max="24" man="1"/>
    <brk id="370" max="24" man="1"/>
  </rowBreaks>
  <colBreaks count="2" manualBreakCount="2">
    <brk id="9" max="369" man="1"/>
    <brk id="17" max="36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18"/>
  <sheetViews>
    <sheetView showGridLines="0" view="pageBreakPreview" zoomScaleNormal="115" zoomScaleSheetLayoutView="100" workbookViewId="0">
      <pane ySplit="5" topLeftCell="A388" activePane="bottomLeft" state="frozen"/>
      <selection activeCell="B31" sqref="B31"/>
      <selection pane="bottomLeft" activeCell="A411" sqref="A411:J411"/>
    </sheetView>
  </sheetViews>
  <sheetFormatPr defaultRowHeight="14.25"/>
  <cols>
    <col min="1" max="1" width="14.140625" style="64" customWidth="1"/>
    <col min="2" max="2" width="10.5703125" style="64" customWidth="1"/>
    <col min="3" max="3" width="10" style="64" bestFit="1" customWidth="1"/>
    <col min="4" max="4" width="10.7109375" style="64" bestFit="1" customWidth="1"/>
    <col min="5" max="5" width="13.140625" style="64" bestFit="1" customWidth="1"/>
    <col min="6" max="6" width="10.28515625" style="64" bestFit="1" customWidth="1"/>
    <col min="7" max="7" width="10.7109375" style="64" bestFit="1" customWidth="1"/>
    <col min="8" max="8" width="17.140625" style="64" bestFit="1" customWidth="1"/>
    <col min="9" max="9" width="10.28515625" style="64" customWidth="1"/>
    <col min="10" max="10" width="10.7109375" style="64" customWidth="1"/>
    <col min="11" max="16384" width="9.140625" style="64"/>
  </cols>
  <sheetData>
    <row r="1" spans="1:11" ht="15">
      <c r="A1" s="333" t="s">
        <v>162</v>
      </c>
      <c r="B1" s="333"/>
      <c r="C1" s="333"/>
      <c r="D1" s="333"/>
      <c r="E1" s="333"/>
      <c r="F1" s="333"/>
      <c r="G1" s="333"/>
      <c r="H1" s="333"/>
      <c r="I1" s="333"/>
      <c r="J1" s="333"/>
    </row>
    <row r="2" spans="1:11" ht="15">
      <c r="A2" s="333" t="s">
        <v>360</v>
      </c>
      <c r="B2" s="333"/>
      <c r="C2" s="333"/>
      <c r="D2" s="333"/>
      <c r="E2" s="333"/>
      <c r="F2" s="333"/>
      <c r="G2" s="333"/>
      <c r="H2" s="333"/>
      <c r="I2" s="333"/>
      <c r="J2" s="333"/>
    </row>
    <row r="3" spans="1:11" ht="15.75" thickBot="1">
      <c r="A3" s="333" t="s">
        <v>281</v>
      </c>
      <c r="B3" s="333"/>
      <c r="C3" s="333"/>
      <c r="D3" s="333"/>
      <c r="E3" s="333"/>
      <c r="F3" s="333"/>
      <c r="G3" s="333"/>
      <c r="H3" s="333"/>
      <c r="I3" s="333"/>
      <c r="J3" s="333"/>
    </row>
    <row r="4" spans="1:11" ht="15.75" customHeight="1" thickBot="1">
      <c r="A4" s="332" t="s">
        <v>22</v>
      </c>
      <c r="B4" s="228" t="s">
        <v>24</v>
      </c>
      <c r="C4" s="320" t="s">
        <v>172</v>
      </c>
      <c r="D4" s="320"/>
      <c r="E4" s="228" t="s">
        <v>25</v>
      </c>
      <c r="F4" s="320" t="s">
        <v>172</v>
      </c>
      <c r="G4" s="320"/>
      <c r="H4" s="65" t="s">
        <v>25</v>
      </c>
      <c r="I4" s="320" t="s">
        <v>172</v>
      </c>
      <c r="J4" s="320"/>
      <c r="K4" s="66"/>
    </row>
    <row r="5" spans="1:11" ht="16.899999999999999" customHeight="1" thickBot="1">
      <c r="A5" s="332"/>
      <c r="B5" s="229" t="s">
        <v>276</v>
      </c>
      <c r="C5" s="227" t="s">
        <v>26</v>
      </c>
      <c r="D5" s="227" t="s">
        <v>277</v>
      </c>
      <c r="E5" s="229" t="s">
        <v>278</v>
      </c>
      <c r="F5" s="227" t="s">
        <v>26</v>
      </c>
      <c r="G5" s="227" t="s">
        <v>277</v>
      </c>
      <c r="H5" s="229" t="s">
        <v>279</v>
      </c>
      <c r="I5" s="227" t="s">
        <v>26</v>
      </c>
      <c r="J5" s="227" t="s">
        <v>277</v>
      </c>
      <c r="K5" s="66"/>
    </row>
    <row r="6" spans="1:11" ht="12.75" customHeight="1">
      <c r="A6" s="67" t="s">
        <v>27</v>
      </c>
      <c r="B6" s="68">
        <v>22.094203152603448</v>
      </c>
      <c r="C6" s="68" t="s">
        <v>2</v>
      </c>
      <c r="D6" s="68" t="s">
        <v>2</v>
      </c>
      <c r="E6" s="68">
        <v>22.561320829098978</v>
      </c>
      <c r="F6" s="68" t="s">
        <v>2</v>
      </c>
      <c r="G6" s="68" t="s">
        <v>2</v>
      </c>
      <c r="H6" s="68">
        <v>21.665560802876662</v>
      </c>
      <c r="I6" s="68" t="s">
        <v>2</v>
      </c>
      <c r="J6" s="68" t="s">
        <v>2</v>
      </c>
    </row>
    <row r="7" spans="1:11" ht="12.75" customHeight="1">
      <c r="A7" s="69" t="s">
        <v>28</v>
      </c>
      <c r="B7" s="70">
        <v>24.084300598460867</v>
      </c>
      <c r="C7" s="70" t="s">
        <v>2</v>
      </c>
      <c r="D7" s="70">
        <v>9.02</v>
      </c>
      <c r="E7" s="70">
        <v>23.990487899806773</v>
      </c>
      <c r="F7" s="70" t="s">
        <v>2</v>
      </c>
      <c r="G7" s="70">
        <v>6.3345895461248691</v>
      </c>
      <c r="H7" s="70">
        <v>24.165348642358861</v>
      </c>
      <c r="I7" s="70" t="s">
        <v>2</v>
      </c>
      <c r="J7" s="70">
        <v>11.538071237695767</v>
      </c>
    </row>
    <row r="8" spans="1:11" ht="12.75" customHeight="1">
      <c r="A8" s="69" t="s">
        <v>29</v>
      </c>
      <c r="B8" s="70">
        <v>25.141171875181005</v>
      </c>
      <c r="C8" s="70" t="s">
        <v>2</v>
      </c>
      <c r="D8" s="70">
        <v>4.38</v>
      </c>
      <c r="E8" s="70">
        <v>24.640378150790809</v>
      </c>
      <c r="F8" s="70" t="s">
        <v>2</v>
      </c>
      <c r="G8" s="70">
        <v>2.7089497041419941</v>
      </c>
      <c r="H8" s="70">
        <v>25.587831256382593</v>
      </c>
      <c r="I8" s="70" t="s">
        <v>2</v>
      </c>
      <c r="J8" s="70">
        <v>5.886455995632911</v>
      </c>
    </row>
    <row r="9" spans="1:11" ht="12.75" customHeight="1">
      <c r="A9" s="69" t="s">
        <v>30</v>
      </c>
      <c r="B9" s="70">
        <v>27.782614084198123</v>
      </c>
      <c r="C9" s="70" t="s">
        <v>2</v>
      </c>
      <c r="D9" s="70">
        <v>10.50644028103045</v>
      </c>
      <c r="E9" s="70">
        <v>26.689122047806485</v>
      </c>
      <c r="F9" s="70" t="s">
        <v>2</v>
      </c>
      <c r="G9" s="70">
        <v>8.3145797701563495</v>
      </c>
      <c r="H9" s="70">
        <v>28.766980962531463</v>
      </c>
      <c r="I9" s="70" t="s">
        <v>2</v>
      </c>
      <c r="J9" s="70">
        <v>12.424459401403421</v>
      </c>
    </row>
    <row r="10" spans="1:11" ht="12.75" customHeight="1">
      <c r="A10" s="69" t="s">
        <v>31</v>
      </c>
      <c r="B10" s="70">
        <v>39.633408859788418</v>
      </c>
      <c r="C10" s="70" t="s">
        <v>2</v>
      </c>
      <c r="D10" s="70">
        <v>42.655434581048503</v>
      </c>
      <c r="E10" s="70">
        <v>40.106139550203963</v>
      </c>
      <c r="F10" s="70" t="s">
        <v>2</v>
      </c>
      <c r="G10" s="70">
        <v>50.271483184663943</v>
      </c>
      <c r="H10" s="70">
        <v>39.202917296224378</v>
      </c>
      <c r="I10" s="70" t="s">
        <v>2</v>
      </c>
      <c r="J10" s="70">
        <v>36.277481975899931</v>
      </c>
    </row>
    <row r="11" spans="1:11" ht="12.75" customHeight="1">
      <c r="A11" s="69" t="s">
        <v>32</v>
      </c>
      <c r="B11" s="70">
        <v>51.024214395859161</v>
      </c>
      <c r="C11" s="70" t="s">
        <v>2</v>
      </c>
      <c r="D11" s="70">
        <v>28.740413362797355</v>
      </c>
      <c r="E11" s="70">
        <v>51.521731672153443</v>
      </c>
      <c r="F11" s="70" t="s">
        <v>2</v>
      </c>
      <c r="G11" s="70">
        <v>28.463452852797499</v>
      </c>
      <c r="H11" s="70">
        <v>50.56738813376483</v>
      </c>
      <c r="I11" s="70" t="s">
        <v>2</v>
      </c>
      <c r="J11" s="70">
        <v>28.988839661264088</v>
      </c>
    </row>
    <row r="12" spans="1:11" ht="12.75" customHeight="1">
      <c r="A12" s="69" t="s">
        <v>33</v>
      </c>
      <c r="B12" s="70">
        <v>54.81894162619971</v>
      </c>
      <c r="C12" s="70" t="s">
        <v>2</v>
      </c>
      <c r="D12" s="70">
        <v>7.4371105469651422</v>
      </c>
      <c r="E12" s="70">
        <v>56.786655992127677</v>
      </c>
      <c r="F12" s="70" t="s">
        <v>2</v>
      </c>
      <c r="G12" s="70">
        <v>10.218841931549116</v>
      </c>
      <c r="H12" s="70">
        <v>53.032731520460267</v>
      </c>
      <c r="I12" s="70" t="s">
        <v>2</v>
      </c>
      <c r="J12" s="70">
        <v>4.8753623188405815</v>
      </c>
    </row>
    <row r="13" spans="1:11" ht="12.75" customHeight="1">
      <c r="A13" s="69" t="s">
        <v>34</v>
      </c>
      <c r="B13" s="70">
        <v>57.559741510953053</v>
      </c>
      <c r="C13" s="70" t="s">
        <v>2</v>
      </c>
      <c r="D13" s="70">
        <v>4.9997314859567155</v>
      </c>
      <c r="E13" s="70">
        <v>59.496380417447938</v>
      </c>
      <c r="F13" s="70" t="s">
        <v>2</v>
      </c>
      <c r="G13" s="70">
        <v>4.7717626227117727</v>
      </c>
      <c r="H13" s="70">
        <v>55.802944957353468</v>
      </c>
      <c r="I13" s="70" t="s">
        <v>2</v>
      </c>
      <c r="J13" s="70">
        <v>5.2235918412470328</v>
      </c>
    </row>
    <row r="14" spans="1:11" ht="12.75" customHeight="1">
      <c r="A14" s="69" t="s">
        <v>35</v>
      </c>
      <c r="B14" s="70">
        <v>62.669669974927928</v>
      </c>
      <c r="C14" s="70" t="s">
        <v>2</v>
      </c>
      <c r="D14" s="70">
        <v>8.8776084288052282</v>
      </c>
      <c r="E14" s="70">
        <v>66.642955122808274</v>
      </c>
      <c r="F14" s="70" t="s">
        <v>2</v>
      </c>
      <c r="G14" s="70">
        <v>12.011780641473324</v>
      </c>
      <c r="H14" s="70">
        <v>59.072969390003585</v>
      </c>
      <c r="I14" s="70" t="s">
        <v>2</v>
      </c>
      <c r="J14" s="70">
        <v>5.8599495692372106</v>
      </c>
    </row>
    <row r="15" spans="1:11" ht="12.75" customHeight="1">
      <c r="A15" s="69" t="s">
        <v>36</v>
      </c>
      <c r="B15" s="70">
        <v>65.50025975923549</v>
      </c>
      <c r="C15" s="70" t="s">
        <v>2</v>
      </c>
      <c r="D15" s="70">
        <v>4.5166821293936676</v>
      </c>
      <c r="E15" s="70">
        <v>65.848891266657134</v>
      </c>
      <c r="F15" s="70" t="s">
        <v>2</v>
      </c>
      <c r="G15" s="70">
        <v>-1.1915195757568942</v>
      </c>
      <c r="H15" s="70">
        <v>65.176966140237326</v>
      </c>
      <c r="I15" s="70" t="s">
        <v>2</v>
      </c>
      <c r="J15" s="70">
        <v>10.332977693968214</v>
      </c>
    </row>
    <row r="16" spans="1:11" ht="12.75" customHeight="1">
      <c r="A16" s="69" t="s">
        <v>37</v>
      </c>
      <c r="B16" s="70">
        <v>69.276587419995252</v>
      </c>
      <c r="C16" s="70" t="s">
        <v>2</v>
      </c>
      <c r="D16" s="70">
        <v>5.76</v>
      </c>
      <c r="E16" s="70">
        <v>70.142307293351465</v>
      </c>
      <c r="F16" s="70" t="s">
        <v>2</v>
      </c>
      <c r="G16" s="70">
        <v>6.5201037467859768</v>
      </c>
      <c r="H16" s="70">
        <v>68.487297911254942</v>
      </c>
      <c r="I16" s="70" t="s">
        <v>2</v>
      </c>
      <c r="J16" s="70">
        <v>5.0789902737954584</v>
      </c>
    </row>
    <row r="17" spans="1:10" ht="12.75" customHeight="1">
      <c r="A17" s="69" t="s">
        <v>38</v>
      </c>
      <c r="B17" s="70">
        <v>73.598278323129406</v>
      </c>
      <c r="C17" s="70" t="s">
        <v>2</v>
      </c>
      <c r="D17" s="70">
        <v>6.2383137854835846</v>
      </c>
      <c r="E17" s="70">
        <v>73.935182136978455</v>
      </c>
      <c r="F17" s="70" t="s">
        <v>2</v>
      </c>
      <c r="G17" s="70">
        <v>5.4073995994518675</v>
      </c>
      <c r="H17" s="70">
        <v>73.286069759079467</v>
      </c>
      <c r="I17" s="70" t="s">
        <v>2</v>
      </c>
      <c r="J17" s="70">
        <v>7.0068056328382422</v>
      </c>
    </row>
    <row r="18" spans="1:10" ht="12.75" customHeight="1">
      <c r="A18" s="69" t="s">
        <v>39</v>
      </c>
      <c r="B18" s="70">
        <v>79.309504721004259</v>
      </c>
      <c r="C18" s="70" t="s">
        <v>2</v>
      </c>
      <c r="D18" s="70">
        <v>7.7600000000000113</v>
      </c>
      <c r="E18" s="70">
        <v>79.990473553996992</v>
      </c>
      <c r="F18" s="70" t="s">
        <v>2</v>
      </c>
      <c r="G18" s="70">
        <v>8.1900000000000084</v>
      </c>
      <c r="H18" s="70">
        <v>78.628624244516359</v>
      </c>
      <c r="I18" s="70" t="s">
        <v>2</v>
      </c>
      <c r="J18" s="70">
        <v>7.2899999999999965</v>
      </c>
    </row>
    <row r="19" spans="1:10" ht="12.75" customHeight="1">
      <c r="A19" s="69" t="s">
        <v>143</v>
      </c>
      <c r="B19" s="70">
        <v>82.407992238407999</v>
      </c>
      <c r="C19" s="70" t="s">
        <v>2</v>
      </c>
      <c r="D19" s="70">
        <v>3.9068299925760774</v>
      </c>
      <c r="E19" s="70">
        <v>83.154899349459669</v>
      </c>
      <c r="F19" s="70" t="s">
        <v>2</v>
      </c>
      <c r="G19" s="70">
        <v>3.96</v>
      </c>
      <c r="H19" s="70">
        <v>81.669996139518148</v>
      </c>
      <c r="I19" s="70" t="s">
        <v>2</v>
      </c>
      <c r="J19" s="70">
        <v>3.8680212508155343</v>
      </c>
    </row>
    <row r="20" spans="1:10" ht="12.75" customHeight="1">
      <c r="A20" s="69" t="s">
        <v>144</v>
      </c>
      <c r="B20" s="70">
        <v>85.602157517631824</v>
      </c>
      <c r="C20" s="70" t="s">
        <v>2</v>
      </c>
      <c r="D20" s="70">
        <v>3.8760382245244251</v>
      </c>
      <c r="E20" s="70">
        <v>86.822084383453813</v>
      </c>
      <c r="F20" s="70" t="s">
        <v>2</v>
      </c>
      <c r="G20" s="70">
        <v>4.4100649061972197</v>
      </c>
      <c r="H20" s="70">
        <v>84.359594899676367</v>
      </c>
      <c r="I20" s="70" t="s">
        <v>2</v>
      </c>
      <c r="J20" s="70">
        <v>3.2932519741565081</v>
      </c>
    </row>
    <row r="21" spans="1:10" ht="12.75" customHeight="1">
      <c r="A21" s="69" t="s">
        <v>145</v>
      </c>
      <c r="B21" s="70">
        <v>86.956365838777401</v>
      </c>
      <c r="C21" s="70" t="s">
        <v>2</v>
      </c>
      <c r="D21" s="70">
        <v>1.5819791935345329</v>
      </c>
      <c r="E21" s="70">
        <v>87.051283448078436</v>
      </c>
      <c r="F21" s="70" t="s">
        <v>2</v>
      </c>
      <c r="G21" s="70">
        <v>0.2639870561185198</v>
      </c>
      <c r="H21" s="70">
        <v>86.909950127292333</v>
      </c>
      <c r="I21" s="70" t="s">
        <v>2</v>
      </c>
      <c r="J21" s="70">
        <v>3.0231952045869148</v>
      </c>
    </row>
    <row r="22" spans="1:10" ht="12.75" customHeight="1">
      <c r="A22" s="69" t="s">
        <v>146</v>
      </c>
      <c r="B22" s="70">
        <v>88.995038148328092</v>
      </c>
      <c r="C22" s="70" t="s">
        <v>2</v>
      </c>
      <c r="D22" s="70">
        <v>2.34</v>
      </c>
      <c r="E22" s="70">
        <v>88.899663001502901</v>
      </c>
      <c r="F22" s="70" t="s">
        <v>2</v>
      </c>
      <c r="G22" s="70">
        <v>2.12</v>
      </c>
      <c r="H22" s="70">
        <v>89.152503861920167</v>
      </c>
      <c r="I22" s="70" t="s">
        <v>2</v>
      </c>
      <c r="J22" s="70">
        <v>2.58</v>
      </c>
    </row>
    <row r="23" spans="1:10" ht="12.75" customHeight="1">
      <c r="A23" s="69" t="s">
        <v>147</v>
      </c>
      <c r="B23" s="70">
        <v>90.503802853952237</v>
      </c>
      <c r="C23" s="70" t="s">
        <v>2</v>
      </c>
      <c r="D23" s="70">
        <v>1.695335759179617</v>
      </c>
      <c r="E23" s="70">
        <v>90.112199988549349</v>
      </c>
      <c r="F23" s="70" t="s">
        <v>2</v>
      </c>
      <c r="G23" s="70">
        <v>1.3639387890884924</v>
      </c>
      <c r="H23" s="70">
        <v>90.977326998921242</v>
      </c>
      <c r="I23" s="70" t="s">
        <v>2</v>
      </c>
      <c r="J23" s="70">
        <v>2.0468557336621451</v>
      </c>
    </row>
    <row r="24" spans="1:10" ht="12.75" customHeight="1">
      <c r="A24" s="69" t="s">
        <v>149</v>
      </c>
      <c r="B24" s="70">
        <v>94.308833843258014</v>
      </c>
      <c r="C24" s="70" t="s">
        <v>2</v>
      </c>
      <c r="D24" s="70">
        <v>4.2042774660486115</v>
      </c>
      <c r="E24" s="70">
        <v>95.06585719172692</v>
      </c>
      <c r="F24" s="70" t="s">
        <v>2</v>
      </c>
      <c r="G24" s="70">
        <v>5.4972103708565978</v>
      </c>
      <c r="H24" s="70">
        <v>93.564325261416755</v>
      </c>
      <c r="I24" s="70" t="s">
        <v>2</v>
      </c>
      <c r="J24" s="70">
        <v>2.8435637183824802</v>
      </c>
    </row>
    <row r="25" spans="1:10" ht="12.75" customHeight="1">
      <c r="A25" s="69" t="s">
        <v>150</v>
      </c>
      <c r="B25" s="70">
        <v>95.412808018104968</v>
      </c>
      <c r="C25" s="70" t="s">
        <v>2</v>
      </c>
      <c r="D25" s="70">
        <v>1.1705946620883312</v>
      </c>
      <c r="E25" s="70">
        <v>94.903199791025557</v>
      </c>
      <c r="F25" s="70" t="s">
        <v>2</v>
      </c>
      <c r="G25" s="70">
        <v>-0.17109970446415046</v>
      </c>
      <c r="H25" s="70">
        <v>96.012079991370001</v>
      </c>
      <c r="I25" s="70" t="s">
        <v>2</v>
      </c>
      <c r="J25" s="70">
        <v>2.6161196835591705</v>
      </c>
    </row>
    <row r="26" spans="1:10" ht="12.75" customHeight="1">
      <c r="A26" s="69" t="s">
        <v>151</v>
      </c>
      <c r="B26" s="70">
        <v>98.901366410621307</v>
      </c>
      <c r="C26" s="70" t="s">
        <v>2</v>
      </c>
      <c r="D26" s="70">
        <v>3.6562789262573281</v>
      </c>
      <c r="E26" s="70">
        <v>99.087931099978547</v>
      </c>
      <c r="F26" s="70" t="s">
        <v>2</v>
      </c>
      <c r="G26" s="70">
        <v>4.4094733561857336</v>
      </c>
      <c r="H26" s="70">
        <v>98.767636214311395</v>
      </c>
      <c r="I26" s="70" t="s">
        <v>2</v>
      </c>
      <c r="J26" s="70">
        <v>2.8700099229066689</v>
      </c>
    </row>
    <row r="27" spans="1:10" ht="12.75" customHeight="1">
      <c r="A27" s="69" t="s">
        <v>173</v>
      </c>
      <c r="B27" s="70">
        <v>104.39400000000001</v>
      </c>
      <c r="C27" s="70" t="s">
        <v>2</v>
      </c>
      <c r="D27" s="70">
        <v>5.553647829873487</v>
      </c>
      <c r="E27" s="70">
        <v>105.24299999999999</v>
      </c>
      <c r="F27" s="70" t="s">
        <v>2</v>
      </c>
      <c r="G27" s="70">
        <v>6.211724103726679</v>
      </c>
      <c r="H27" s="70">
        <v>103.572</v>
      </c>
      <c r="I27" s="70" t="s">
        <v>2</v>
      </c>
      <c r="J27" s="70">
        <v>4.8643097778140909</v>
      </c>
    </row>
    <row r="28" spans="1:10" ht="12.75" customHeight="1">
      <c r="A28" s="69" t="s">
        <v>233</v>
      </c>
      <c r="B28" s="70">
        <v>113.26300000000001</v>
      </c>
      <c r="C28" s="70" t="s">
        <v>2</v>
      </c>
      <c r="D28" s="70">
        <v>8.4956989865317958</v>
      </c>
      <c r="E28" s="70">
        <v>116.27800000000001</v>
      </c>
      <c r="F28" s="70" t="s">
        <v>2</v>
      </c>
      <c r="G28" s="70">
        <v>10.485257926893009</v>
      </c>
      <c r="H28" s="70">
        <v>110.34099999999999</v>
      </c>
      <c r="I28" s="70" t="s">
        <v>2</v>
      </c>
      <c r="J28" s="70">
        <v>6.535550148688829</v>
      </c>
    </row>
    <row r="29" spans="1:10" ht="12.75" customHeight="1">
      <c r="A29" s="69" t="s">
        <v>266</v>
      </c>
      <c r="B29" s="70">
        <v>122.128</v>
      </c>
      <c r="C29" s="70" t="s">
        <v>2</v>
      </c>
      <c r="D29" s="70">
        <v>7.8269161155893663</v>
      </c>
      <c r="E29" s="70">
        <v>125.94199999999999</v>
      </c>
      <c r="F29" s="70" t="s">
        <v>2</v>
      </c>
      <c r="G29" s="70">
        <v>8.3111164622714497</v>
      </c>
      <c r="H29" s="70">
        <v>118.432</v>
      </c>
      <c r="I29" s="70" t="s">
        <v>2</v>
      </c>
      <c r="J29" s="70">
        <v>7.33</v>
      </c>
    </row>
    <row r="30" spans="1:10" ht="12.75" customHeight="1">
      <c r="A30" s="69" t="s">
        <v>312</v>
      </c>
      <c r="B30" s="70">
        <v>126.4866</v>
      </c>
      <c r="C30" s="70" t="s">
        <v>2</v>
      </c>
      <c r="D30" s="70">
        <v>3.5688785536486245</v>
      </c>
      <c r="E30" s="70">
        <v>129.03319999999999</v>
      </c>
      <c r="F30" s="70" t="s">
        <v>2</v>
      </c>
      <c r="G30" s="70">
        <v>2.4544631655841531</v>
      </c>
      <c r="H30" s="70">
        <v>124.01819999999999</v>
      </c>
      <c r="I30" s="70" t="s">
        <v>2</v>
      </c>
      <c r="J30" s="70">
        <v>4.7167995136449425</v>
      </c>
    </row>
    <row r="31" spans="1:10" ht="12.75" customHeight="1">
      <c r="A31" s="69" t="s">
        <v>341</v>
      </c>
      <c r="B31" s="70">
        <v>130.72200000000001</v>
      </c>
      <c r="C31" s="70" t="s">
        <v>2</v>
      </c>
      <c r="D31" s="70">
        <v>3.348496994938599</v>
      </c>
      <c r="E31" s="70">
        <v>131.74700000000001</v>
      </c>
      <c r="F31" s="70" t="s">
        <v>2</v>
      </c>
      <c r="G31" s="70">
        <v>2.1031796467885888</v>
      </c>
      <c r="H31" s="70">
        <v>129.72839999999999</v>
      </c>
      <c r="I31" s="70" t="s">
        <v>2</v>
      </c>
      <c r="J31" s="70">
        <v>4.6043242040281207</v>
      </c>
    </row>
    <row r="32" spans="1:10" ht="12.75" customHeight="1">
      <c r="A32" s="69" t="s">
        <v>359</v>
      </c>
      <c r="B32" s="70">
        <v>137.19550000000001</v>
      </c>
      <c r="C32" s="70" t="s">
        <v>2</v>
      </c>
      <c r="D32" s="70">
        <v>4.9521121157876991</v>
      </c>
      <c r="E32" s="70">
        <v>138.67760000000001</v>
      </c>
      <c r="F32" s="70" t="s">
        <v>2</v>
      </c>
      <c r="G32" s="70">
        <v>5.2605372418347285</v>
      </c>
      <c r="H32" s="70">
        <v>135.75909999999999</v>
      </c>
      <c r="I32" s="70" t="s">
        <v>2</v>
      </c>
      <c r="J32" s="70">
        <v>4.6487122326337227</v>
      </c>
    </row>
    <row r="33" spans="1:10">
      <c r="A33" s="69"/>
      <c r="B33" s="70"/>
      <c r="C33" s="70"/>
      <c r="D33" s="70"/>
      <c r="E33" s="70"/>
      <c r="F33" s="70"/>
      <c r="G33" s="70"/>
      <c r="H33" s="70"/>
      <c r="I33" s="70"/>
      <c r="J33" s="70"/>
    </row>
    <row r="34" spans="1:10" ht="12.95" customHeight="1">
      <c r="A34" s="69">
        <v>1999</v>
      </c>
      <c r="B34" s="71"/>
      <c r="C34" s="71"/>
      <c r="D34" s="71"/>
      <c r="E34" s="71"/>
      <c r="F34" s="71"/>
      <c r="G34" s="71"/>
      <c r="H34" s="71"/>
      <c r="I34" s="71"/>
      <c r="J34" s="71"/>
    </row>
    <row r="35" spans="1:10" ht="12.95" customHeight="1">
      <c r="A35" s="69" t="s">
        <v>4</v>
      </c>
      <c r="B35" s="70">
        <v>20.851556197737839</v>
      </c>
      <c r="C35" s="70" t="s">
        <v>2</v>
      </c>
      <c r="D35" s="70" t="s">
        <v>2</v>
      </c>
      <c r="E35" s="70">
        <v>21.661207615140182</v>
      </c>
      <c r="F35" s="70" t="s">
        <v>2</v>
      </c>
      <c r="G35" s="70" t="s">
        <v>2</v>
      </c>
      <c r="H35" s="70">
        <v>20.118060659597205</v>
      </c>
      <c r="I35" s="70" t="s">
        <v>2</v>
      </c>
      <c r="J35" s="70" t="s">
        <v>2</v>
      </c>
    </row>
    <row r="36" spans="1:10" ht="12.95" customHeight="1">
      <c r="A36" s="69" t="s">
        <v>5</v>
      </c>
      <c r="B36" s="70">
        <v>20.96027783839585</v>
      </c>
      <c r="C36" s="70">
        <v>0.52140780106286755</v>
      </c>
      <c r="D36" s="70" t="s">
        <v>2</v>
      </c>
      <c r="E36" s="70">
        <v>21.739501136640683</v>
      </c>
      <c r="F36" s="70">
        <v>0.36144578313250797</v>
      </c>
      <c r="G36" s="70" t="s">
        <v>2</v>
      </c>
      <c r="H36" s="70">
        <v>20.25102601144313</v>
      </c>
      <c r="I36" s="70">
        <v>0.66092529541357248</v>
      </c>
      <c r="J36" s="70" t="s">
        <v>2</v>
      </c>
    </row>
    <row r="37" spans="1:10" ht="12.95" customHeight="1">
      <c r="A37" s="69" t="s">
        <v>6</v>
      </c>
      <c r="B37" s="70">
        <v>21.014638658724859</v>
      </c>
      <c r="C37" s="70">
        <v>0.25935162094763431</v>
      </c>
      <c r="D37" s="70" t="s">
        <v>2</v>
      </c>
      <c r="E37" s="70">
        <v>21.796046457724387</v>
      </c>
      <c r="F37" s="70">
        <v>0.26010404161667111</v>
      </c>
      <c r="G37" s="70" t="s">
        <v>2</v>
      </c>
      <c r="H37" s="70">
        <v>20.305420928107374</v>
      </c>
      <c r="I37" s="70">
        <v>0.26860326303224102</v>
      </c>
      <c r="J37" s="70" t="s">
        <v>2</v>
      </c>
    </row>
    <row r="38" spans="1:10" ht="12.95" customHeight="1">
      <c r="A38" s="69" t="s">
        <v>7</v>
      </c>
      <c r="B38" s="70">
        <v>21.004184654815433</v>
      </c>
      <c r="C38" s="70">
        <v>-4.974629390112062E-2</v>
      </c>
      <c r="D38" s="70" t="s">
        <v>2</v>
      </c>
      <c r="E38" s="70">
        <v>21.761249337057496</v>
      </c>
      <c r="F38" s="70">
        <v>-0.15964877270006061</v>
      </c>
      <c r="G38" s="70" t="s">
        <v>2</v>
      </c>
      <c r="H38" s="70">
        <v>20.319523313909215</v>
      </c>
      <c r="I38" s="70">
        <v>6.9451334457792946E-2</v>
      </c>
      <c r="J38" s="70" t="s">
        <v>2</v>
      </c>
    </row>
    <row r="39" spans="1:10" ht="12.95" customHeight="1">
      <c r="A39" s="69" t="s">
        <v>8</v>
      </c>
      <c r="B39" s="70">
        <v>20.889190611811767</v>
      </c>
      <c r="C39" s="70">
        <v>-0.54748158471031871</v>
      </c>
      <c r="D39" s="70" t="s">
        <v>2</v>
      </c>
      <c r="E39" s="70">
        <v>21.615536394264883</v>
      </c>
      <c r="F39" s="70">
        <v>-0.66959824105538024</v>
      </c>
      <c r="G39" s="70" t="s">
        <v>2</v>
      </c>
      <c r="H39" s="70">
        <v>20.228865119468811</v>
      </c>
      <c r="I39" s="70">
        <v>-0.44616299821534922</v>
      </c>
      <c r="J39" s="70" t="s">
        <v>2</v>
      </c>
    </row>
    <row r="40" spans="1:10" ht="12.95" customHeight="1">
      <c r="A40" s="69" t="s">
        <v>9</v>
      </c>
      <c r="B40" s="70">
        <v>20.836920592264644</v>
      </c>
      <c r="C40" s="70">
        <v>-0.25022520268241921</v>
      </c>
      <c r="D40" s="70" t="s">
        <v>2</v>
      </c>
      <c r="E40" s="70">
        <v>21.513319852305891</v>
      </c>
      <c r="F40" s="70">
        <v>-0.47288459603580524</v>
      </c>
      <c r="G40" s="70" t="s">
        <v>2</v>
      </c>
      <c r="H40" s="70">
        <v>20.224835866382573</v>
      </c>
      <c r="I40" s="70">
        <v>-1.9918334827195849E-2</v>
      </c>
      <c r="J40" s="70" t="s">
        <v>2</v>
      </c>
    </row>
    <row r="41" spans="1:10" ht="12.95" customHeight="1">
      <c r="A41" s="69" t="s">
        <v>10</v>
      </c>
      <c r="B41" s="70">
        <v>20.895463014157421</v>
      </c>
      <c r="C41" s="70">
        <v>0.28095524784266246</v>
      </c>
      <c r="D41" s="70" t="s">
        <v>2</v>
      </c>
      <c r="E41" s="70">
        <v>21.374131369638324</v>
      </c>
      <c r="F41" s="70">
        <v>-0.64698746461787637</v>
      </c>
      <c r="G41" s="70" t="s">
        <v>2</v>
      </c>
      <c r="H41" s="70">
        <v>20.4585325453845</v>
      </c>
      <c r="I41" s="70">
        <v>1.1554935750572648</v>
      </c>
      <c r="J41" s="70" t="s">
        <v>2</v>
      </c>
    </row>
    <row r="42" spans="1:10" ht="12.95" customHeight="1">
      <c r="A42" s="69" t="s">
        <v>11</v>
      </c>
      <c r="B42" s="70">
        <v>20.979095045432818</v>
      </c>
      <c r="C42" s="70">
        <v>0.40024014408646114</v>
      </c>
      <c r="D42" s="70" t="s">
        <v>2</v>
      </c>
      <c r="E42" s="70">
        <v>21.291488208054453</v>
      </c>
      <c r="F42" s="70">
        <v>-0.38665038665040008</v>
      </c>
      <c r="G42" s="70" t="s">
        <v>2</v>
      </c>
      <c r="H42" s="70">
        <v>20.694243850929549</v>
      </c>
      <c r="I42" s="70">
        <v>1.1521418020679297</v>
      </c>
      <c r="J42" s="70" t="s">
        <v>2</v>
      </c>
    </row>
    <row r="43" spans="1:10" ht="12.95" customHeight="1">
      <c r="A43" s="69" t="s">
        <v>12</v>
      </c>
      <c r="B43" s="70">
        <v>21.715056920656291</v>
      </c>
      <c r="C43" s="70">
        <v>3.5080725533187085</v>
      </c>
      <c r="D43" s="70" t="s">
        <v>2</v>
      </c>
      <c r="E43" s="70">
        <v>22.028752202184229</v>
      </c>
      <c r="F43" s="70">
        <v>3.4627170582226974</v>
      </c>
      <c r="G43" s="70" t="s">
        <v>2</v>
      </c>
      <c r="H43" s="70">
        <v>21.427567912625264</v>
      </c>
      <c r="I43" s="70">
        <v>3.5436137071651164</v>
      </c>
      <c r="J43" s="70" t="s">
        <v>2</v>
      </c>
    </row>
    <row r="44" spans="1:10" ht="12.95" customHeight="1">
      <c r="A44" s="69" t="s">
        <v>13</v>
      </c>
      <c r="B44" s="70">
        <v>22.026586237157137</v>
      </c>
      <c r="C44" s="70">
        <v>1.4346235316772482</v>
      </c>
      <c r="D44" s="70" t="s">
        <v>2</v>
      </c>
      <c r="E44" s="70">
        <v>22.457191750395332</v>
      </c>
      <c r="F44" s="70">
        <v>1.9449106525816884</v>
      </c>
      <c r="G44" s="70" t="s">
        <v>2</v>
      </c>
      <c r="H44" s="70">
        <v>21.635074446566634</v>
      </c>
      <c r="I44" s="70">
        <v>0.96840917638210122</v>
      </c>
      <c r="J44" s="70" t="s">
        <v>2</v>
      </c>
    </row>
    <row r="45" spans="1:10" ht="12.95" customHeight="1">
      <c r="A45" s="69" t="s">
        <v>14</v>
      </c>
      <c r="B45" s="70">
        <v>22.091401061395569</v>
      </c>
      <c r="C45" s="70">
        <v>0.29425723777882773</v>
      </c>
      <c r="D45" s="70" t="s">
        <v>2</v>
      </c>
      <c r="E45" s="70">
        <v>22.561583112396008</v>
      </c>
      <c r="F45" s="70">
        <v>0.46484601975596007</v>
      </c>
      <c r="G45" s="70" t="s">
        <v>2</v>
      </c>
      <c r="H45" s="70">
        <v>21.665293844713435</v>
      </c>
      <c r="I45" s="70">
        <v>0.13967780985193468</v>
      </c>
      <c r="J45" s="70" t="s">
        <v>2</v>
      </c>
    </row>
    <row r="46" spans="1:10">
      <c r="A46" s="69"/>
      <c r="B46" s="71"/>
      <c r="C46" s="71"/>
      <c r="D46" s="71"/>
      <c r="E46" s="71"/>
      <c r="F46" s="71"/>
      <c r="G46" s="71"/>
      <c r="H46" s="71"/>
      <c r="I46" s="71"/>
      <c r="J46" s="71"/>
    </row>
    <row r="47" spans="1:10" ht="12.95" customHeight="1">
      <c r="A47" s="69">
        <v>2000</v>
      </c>
      <c r="B47" s="71"/>
      <c r="C47" s="71"/>
      <c r="D47" s="71"/>
      <c r="E47" s="71"/>
      <c r="F47" s="71"/>
      <c r="G47" s="71"/>
      <c r="H47" s="71"/>
      <c r="I47" s="71"/>
      <c r="J47" s="71"/>
    </row>
    <row r="48" spans="1:10" ht="12.95" customHeight="1">
      <c r="A48" s="69" t="s">
        <v>3</v>
      </c>
      <c r="B48" s="70">
        <v>22.16039748719777</v>
      </c>
      <c r="C48" s="70">
        <v>0.31232254400908044</v>
      </c>
      <c r="D48" s="70">
        <v>0.31232254400908044</v>
      </c>
      <c r="E48" s="70">
        <v>22.585506132854494</v>
      </c>
      <c r="F48" s="70">
        <v>0.10603431656062146</v>
      </c>
      <c r="G48" s="70">
        <v>0.10603431656062146</v>
      </c>
      <c r="H48" s="70">
        <v>21.7720690514988</v>
      </c>
      <c r="I48" s="70">
        <v>0.49283987353543335</v>
      </c>
      <c r="J48" s="70">
        <v>0.49283987353543335</v>
      </c>
    </row>
    <row r="49" spans="1:10" ht="12.95" customHeight="1">
      <c r="A49" s="69" t="s">
        <v>4</v>
      </c>
      <c r="B49" s="70">
        <v>22.170851491107193</v>
      </c>
      <c r="C49" s="70">
        <v>4.7174261722804367E-2</v>
      </c>
      <c r="D49" s="70">
        <v>0.35964414158622393</v>
      </c>
      <c r="E49" s="70">
        <v>22.583331312812817</v>
      </c>
      <c r="F49" s="70">
        <v>-9.6292729898750373E-3</v>
      </c>
      <c r="G49" s="70">
        <v>9.6394833236934652E-2</v>
      </c>
      <c r="H49" s="70">
        <v>21.796244570016238</v>
      </c>
      <c r="I49" s="70">
        <v>0.11103914129728665</v>
      </c>
      <c r="J49" s="70">
        <v>0.60442625999626021</v>
      </c>
    </row>
    <row r="50" spans="1:10" ht="12.95" customHeight="1">
      <c r="A50" s="69" t="s">
        <v>5</v>
      </c>
      <c r="B50" s="70">
        <v>22.16039748719777</v>
      </c>
      <c r="C50" s="70">
        <v>-4.7152018106366711E-2</v>
      </c>
      <c r="D50" s="70">
        <v>0.31232254400908044</v>
      </c>
      <c r="E50" s="70">
        <v>22.552883832229284</v>
      </c>
      <c r="F50" s="70">
        <v>-0.13482280431433846</v>
      </c>
      <c r="G50" s="70">
        <v>-3.8557933294780522E-2</v>
      </c>
      <c r="H50" s="70">
        <v>21.802288449645598</v>
      </c>
      <c r="I50" s="70">
        <v>2.7728995286069313E-2</v>
      </c>
      <c r="J50" s="70">
        <v>0.63232285661147802</v>
      </c>
    </row>
    <row r="51" spans="1:10" ht="12.95" customHeight="1">
      <c r="A51" s="69" t="s">
        <v>6</v>
      </c>
      <c r="B51" s="70">
        <v>22.175033092670965</v>
      </c>
      <c r="C51" s="70">
        <v>6.6043966411921673E-2</v>
      </c>
      <c r="D51" s="70">
        <v>0.37857278061708133</v>
      </c>
      <c r="E51" s="70">
        <v>22.56593275247937</v>
      </c>
      <c r="F51" s="70">
        <v>5.7859209257471456E-2</v>
      </c>
      <c r="G51" s="70">
        <v>1.9278966647395812E-2</v>
      </c>
      <c r="H51" s="70">
        <v>21.818405461990562</v>
      </c>
      <c r="I51" s="70">
        <v>7.3923489188709723E-2</v>
      </c>
      <c r="J51" s="70">
        <v>0.70671378091873294</v>
      </c>
    </row>
    <row r="52" spans="1:10" ht="12.95" customHeight="1">
      <c r="A52" s="69" t="s">
        <v>7</v>
      </c>
      <c r="B52" s="70">
        <v>22.191759498926043</v>
      </c>
      <c r="C52" s="70">
        <v>7.5429002451432581E-2</v>
      </c>
      <c r="D52" s="70">
        <v>0.45428733674048871</v>
      </c>
      <c r="E52" s="70">
        <v>22.576806852687774</v>
      </c>
      <c r="F52" s="70">
        <v>4.8188126445647406E-2</v>
      </c>
      <c r="G52" s="70">
        <v>6.7476383265852036E-2</v>
      </c>
      <c r="H52" s="70">
        <v>21.840566353964881</v>
      </c>
      <c r="I52" s="70">
        <v>0.10156971375807622</v>
      </c>
      <c r="J52" s="70">
        <v>0.80900130184116126</v>
      </c>
    </row>
    <row r="53" spans="1:10" ht="12.95" customHeight="1">
      <c r="A53" s="69" t="s">
        <v>8</v>
      </c>
      <c r="B53" s="70">
        <v>22.409202780242072</v>
      </c>
      <c r="C53" s="70">
        <v>0.9798379498775267</v>
      </c>
      <c r="D53" s="70">
        <v>1.4385765663448957</v>
      </c>
      <c r="E53" s="70">
        <v>22.544184552062561</v>
      </c>
      <c r="F53" s="70">
        <v>-0.1444947500240934</v>
      </c>
      <c r="G53" s="70">
        <v>-7.7115866589561044E-2</v>
      </c>
      <c r="H53" s="70">
        <v>22.2837841934513</v>
      </c>
      <c r="I53" s="70">
        <v>2.0293330873535576</v>
      </c>
      <c r="J53" s="70">
        <v>2.8547517202901052</v>
      </c>
    </row>
    <row r="54" spans="1:10" ht="12.95" customHeight="1">
      <c r="A54" s="69" t="s">
        <v>9</v>
      </c>
      <c r="B54" s="70">
        <v>22.511652018554429</v>
      </c>
      <c r="C54" s="70">
        <v>0.45717484605336534</v>
      </c>
      <c r="D54" s="70">
        <v>1.9023282226007909</v>
      </c>
      <c r="E54" s="70">
        <v>22.646401094021552</v>
      </c>
      <c r="F54" s="70">
        <v>0.45340536368896345</v>
      </c>
      <c r="G54" s="70">
        <v>0.3759398496240518</v>
      </c>
      <c r="H54" s="70">
        <v>22.384515520607305</v>
      </c>
      <c r="I54" s="70">
        <v>0.45203869451224676</v>
      </c>
      <c r="J54" s="70">
        <v>3.3196949972103429</v>
      </c>
    </row>
    <row r="55" spans="1:10" ht="12.95" customHeight="1">
      <c r="A55" s="69" t="s">
        <v>10</v>
      </c>
      <c r="B55" s="70">
        <v>22.768820514726269</v>
      </c>
      <c r="C55" s="70">
        <v>1.1423794928949516</v>
      </c>
      <c r="D55" s="70">
        <v>3.0664395229982988</v>
      </c>
      <c r="E55" s="70">
        <v>22.846484537856185</v>
      </c>
      <c r="F55" s="70">
        <v>0.88351099587056225</v>
      </c>
      <c r="G55" s="70">
        <v>1.2627723154039039</v>
      </c>
      <c r="H55" s="70">
        <v>22.696782634790917</v>
      </c>
      <c r="I55" s="70">
        <v>1.3950139501395009</v>
      </c>
      <c r="J55" s="70">
        <v>4.7610191556630044</v>
      </c>
    </row>
    <row r="56" spans="1:10" ht="12.95" customHeight="1">
      <c r="A56" s="69" t="s">
        <v>11</v>
      </c>
      <c r="B56" s="70">
        <v>23.642775241554144</v>
      </c>
      <c r="C56" s="70">
        <v>3.8383838383838409</v>
      </c>
      <c r="D56" s="70">
        <v>7.0225250804467176</v>
      </c>
      <c r="E56" s="70">
        <v>23.746860035112011</v>
      </c>
      <c r="F56" s="70">
        <v>3.9409804854831032</v>
      </c>
      <c r="G56" s="70">
        <v>5.2535184114131495</v>
      </c>
      <c r="H56" s="70">
        <v>23.546955035987597</v>
      </c>
      <c r="I56" s="70">
        <v>3.7457837741878386</v>
      </c>
      <c r="J56" s="70">
        <v>8.6851404128696288</v>
      </c>
    </row>
    <row r="57" spans="1:10" ht="12.95" customHeight="1">
      <c r="A57" s="69" t="s">
        <v>12</v>
      </c>
      <c r="B57" s="70">
        <v>23.707590065792573</v>
      </c>
      <c r="C57" s="70">
        <v>0.27414220021222402</v>
      </c>
      <c r="D57" s="70">
        <v>7.3159189854249407</v>
      </c>
      <c r="E57" s="70">
        <v>23.827328376654201</v>
      </c>
      <c r="F57" s="70">
        <v>0.33885886985989266</v>
      </c>
      <c r="G57" s="70">
        <v>5.6101792943898277</v>
      </c>
      <c r="H57" s="70">
        <v>23.5973206995656</v>
      </c>
      <c r="I57" s="70">
        <v>0.21389459274470113</v>
      </c>
      <c r="J57" s="70">
        <v>8.9176120513297263</v>
      </c>
    </row>
    <row r="58" spans="1:10" ht="12.95" customHeight="1">
      <c r="A58" s="69" t="s">
        <v>13</v>
      </c>
      <c r="B58" s="70">
        <v>23.82049330801436</v>
      </c>
      <c r="C58" s="70">
        <v>0.47623247199930496</v>
      </c>
      <c r="D58" s="70">
        <v>7.8269922392580016</v>
      </c>
      <c r="E58" s="70">
        <v>23.938244198779913</v>
      </c>
      <c r="F58" s="70">
        <v>0.46549835706459763</v>
      </c>
      <c r="G58" s="70">
        <v>6.1017929438981877</v>
      </c>
      <c r="H58" s="70">
        <v>23.712154412523443</v>
      </c>
      <c r="I58" s="70">
        <v>0.48663877742678441</v>
      </c>
      <c r="J58" s="70">
        <v>9.447647387018776</v>
      </c>
    </row>
    <row r="59" spans="1:10" ht="12.95" customHeight="1">
      <c r="A59" s="69" t="s">
        <v>14</v>
      </c>
      <c r="B59" s="70">
        <v>24.083934206531854</v>
      </c>
      <c r="C59" s="70">
        <v>1.1059422452383005</v>
      </c>
      <c r="D59" s="70">
        <v>9.0194964982017733</v>
      </c>
      <c r="E59" s="70">
        <v>23.990439879780254</v>
      </c>
      <c r="F59" s="70">
        <v>0.21804306350505787</v>
      </c>
      <c r="G59" s="70">
        <v>6.3331405436668486</v>
      </c>
      <c r="H59" s="70">
        <v>24.165445384725466</v>
      </c>
      <c r="I59" s="70">
        <v>1.9116397621070647</v>
      </c>
      <c r="J59" s="70">
        <v>11.539892133159757</v>
      </c>
    </row>
    <row r="60" spans="1:10">
      <c r="A60" s="69"/>
      <c r="B60" s="71"/>
      <c r="C60" s="71"/>
      <c r="D60" s="71"/>
      <c r="E60" s="71"/>
      <c r="F60" s="71"/>
      <c r="G60" s="71"/>
      <c r="H60" s="71"/>
      <c r="I60" s="71"/>
      <c r="J60" s="71"/>
    </row>
    <row r="61" spans="1:10" ht="12.95" customHeight="1">
      <c r="A61" s="69">
        <v>2001</v>
      </c>
      <c r="B61" s="71"/>
      <c r="C61" s="71"/>
      <c r="D61" s="71"/>
      <c r="E61" s="71"/>
      <c r="F61" s="71"/>
      <c r="G61" s="71"/>
      <c r="H61" s="71"/>
      <c r="I61" s="71"/>
      <c r="J61" s="71"/>
    </row>
    <row r="62" spans="1:10" ht="12.95" customHeight="1">
      <c r="A62" s="69" t="s">
        <v>3</v>
      </c>
      <c r="B62" s="70">
        <v>24.686084831714695</v>
      </c>
      <c r="C62" s="70">
        <v>2.5002170327285134</v>
      </c>
      <c r="D62" s="70">
        <v>2.5002170327285134</v>
      </c>
      <c r="E62" s="70">
        <v>24.742927614201786</v>
      </c>
      <c r="F62" s="70">
        <v>3.1366149941074895</v>
      </c>
      <c r="G62" s="70">
        <v>3.1366149941074895</v>
      </c>
      <c r="H62" s="70">
        <v>24.628809489643089</v>
      </c>
      <c r="I62" s="70">
        <v>1.9174656106711208</v>
      </c>
      <c r="J62" s="70">
        <v>1.9174656106711208</v>
      </c>
    </row>
    <row r="63" spans="1:10" ht="12.95" customHeight="1">
      <c r="A63" s="69" t="s">
        <v>4</v>
      </c>
      <c r="B63" s="70">
        <v>24.719537644224854</v>
      </c>
      <c r="C63" s="70">
        <v>0.13551283137123171</v>
      </c>
      <c r="D63" s="70">
        <v>2.6391179789912345</v>
      </c>
      <c r="E63" s="70">
        <v>24.884290916911041</v>
      </c>
      <c r="F63" s="70">
        <v>0.57132811813309647</v>
      </c>
      <c r="G63" s="70">
        <v>3.7258634756595077</v>
      </c>
      <c r="H63" s="70">
        <v>24.568370693349483</v>
      </c>
      <c r="I63" s="70">
        <v>-0.24539877300615576</v>
      </c>
      <c r="J63" s="70">
        <v>1.6673614005835669</v>
      </c>
    </row>
    <row r="64" spans="1:10" ht="12.95" customHeight="1">
      <c r="A64" s="69" t="s">
        <v>5</v>
      </c>
      <c r="B64" s="70">
        <v>24.614997605130615</v>
      </c>
      <c r="C64" s="70">
        <v>-0.4229045081620364</v>
      </c>
      <c r="D64" s="70">
        <v>2.2050525219203143</v>
      </c>
      <c r="E64" s="70">
        <v>24.803822575368851</v>
      </c>
      <c r="F64" s="70">
        <v>-0.32337004020277504</v>
      </c>
      <c r="G64" s="70">
        <v>3.3904451092376053</v>
      </c>
      <c r="H64" s="70">
        <v>24.439434594589795</v>
      </c>
      <c r="I64" s="70">
        <v>-0.52480524805248452</v>
      </c>
      <c r="J64" s="70">
        <v>1.1338057523968104</v>
      </c>
    </row>
    <row r="65" spans="1:10" ht="12.95" customHeight="1">
      <c r="A65" s="69" t="s">
        <v>6</v>
      </c>
      <c r="B65" s="70">
        <v>24.767626062208205</v>
      </c>
      <c r="C65" s="70">
        <v>0.62006285568672048</v>
      </c>
      <c r="D65" s="70">
        <v>2.8387880892438488</v>
      </c>
      <c r="E65" s="70">
        <v>25.123521121495919</v>
      </c>
      <c r="F65" s="70">
        <v>1.288908373520381</v>
      </c>
      <c r="G65" s="70">
        <v>4.7230532136705694</v>
      </c>
      <c r="H65" s="70">
        <v>24.443463847676036</v>
      </c>
      <c r="I65" s="70">
        <v>1.6486687000250022E-2</v>
      </c>
      <c r="J65" s="70">
        <v>1.150479366402668</v>
      </c>
    </row>
    <row r="66" spans="1:10" ht="12.95" customHeight="1">
      <c r="A66" s="69" t="s">
        <v>7</v>
      </c>
      <c r="B66" s="70">
        <v>24.832440886446633</v>
      </c>
      <c r="C66" s="70">
        <v>0.2616917102819416</v>
      </c>
      <c r="D66" s="70">
        <v>3.1079086726278016</v>
      </c>
      <c r="E66" s="70">
        <v>25.090898820870709</v>
      </c>
      <c r="F66" s="70">
        <v>-0.12984764542935956</v>
      </c>
      <c r="G66" s="70">
        <v>4.5870727948508661</v>
      </c>
      <c r="H66" s="70">
        <v>24.594560838410047</v>
      </c>
      <c r="I66" s="70">
        <v>0.61814885024316091</v>
      </c>
      <c r="J66" s="70">
        <v>1.7757398916215195</v>
      </c>
    </row>
    <row r="67" spans="1:10" ht="12.95" customHeight="1">
      <c r="A67" s="69" t="s">
        <v>8</v>
      </c>
      <c r="B67" s="70">
        <v>24.692357234060353</v>
      </c>
      <c r="C67" s="70">
        <v>-0.56411551738652088</v>
      </c>
      <c r="D67" s="70">
        <v>2.5262609601528041</v>
      </c>
      <c r="E67" s="70">
        <v>24.716829773701626</v>
      </c>
      <c r="F67" s="70">
        <v>-1.4908555083643749</v>
      </c>
      <c r="G67" s="70">
        <v>3.0278306590517889</v>
      </c>
      <c r="H67" s="70">
        <v>24.665072767419247</v>
      </c>
      <c r="I67" s="70">
        <v>0.28669724770640226</v>
      </c>
      <c r="J67" s="70">
        <v>2.0675281367236398</v>
      </c>
    </row>
    <row r="68" spans="1:10" ht="12.95" customHeight="1">
      <c r="A68" s="69" t="s">
        <v>9</v>
      </c>
      <c r="B68" s="70">
        <v>24.633814812167575</v>
      </c>
      <c r="C68" s="70">
        <v>-0.23708721422524004</v>
      </c>
      <c r="D68" s="70">
        <v>2.2831843041930755</v>
      </c>
      <c r="E68" s="70">
        <v>24.523270789992036</v>
      </c>
      <c r="F68" s="70">
        <v>-0.7831060272767365</v>
      </c>
      <c r="G68" s="70">
        <v>2.2210135073882808</v>
      </c>
      <c r="H68" s="70">
        <v>24.729540816799091</v>
      </c>
      <c r="I68" s="70">
        <v>0.26137384627951121</v>
      </c>
      <c r="J68" s="70">
        <v>2.3343059608170069</v>
      </c>
    </row>
    <row r="69" spans="1:10" ht="12.95" customHeight="1">
      <c r="A69" s="69" t="s">
        <v>10</v>
      </c>
      <c r="B69" s="70">
        <v>24.815714480191559</v>
      </c>
      <c r="C69" s="70">
        <v>0.73841453063996365</v>
      </c>
      <c r="D69" s="70">
        <v>3.0384581994964854</v>
      </c>
      <c r="E69" s="70">
        <v>24.736403154076747</v>
      </c>
      <c r="F69" s="70">
        <v>0.8691025186236212</v>
      </c>
      <c r="G69" s="70">
        <v>3.1094189103435754</v>
      </c>
      <c r="H69" s="70">
        <v>24.886681687162458</v>
      </c>
      <c r="I69" s="70">
        <v>0.63543788187372385</v>
      </c>
      <c r="J69" s="70">
        <v>2.9845769070446115</v>
      </c>
    </row>
    <row r="70" spans="1:10" ht="12.95" customHeight="1">
      <c r="A70" s="69" t="s">
        <v>11</v>
      </c>
      <c r="B70" s="70">
        <v>25.041520964635126</v>
      </c>
      <c r="C70" s="70">
        <v>0.90993344005392274</v>
      </c>
      <c r="D70" s="70">
        <v>3.9760395867696863</v>
      </c>
      <c r="E70" s="70">
        <v>24.927787317744656</v>
      </c>
      <c r="F70" s="70">
        <v>0.77369439071568458</v>
      </c>
      <c r="G70" s="70">
        <v>3.9071707007524381</v>
      </c>
      <c r="H70" s="70">
        <v>25.142539258138708</v>
      </c>
      <c r="I70" s="70">
        <v>1.0280903424269461</v>
      </c>
      <c r="J70" s="70">
        <v>4.0433513964151624</v>
      </c>
    </row>
    <row r="71" spans="1:10" ht="12.95" customHeight="1">
      <c r="A71" s="69" t="s">
        <v>12</v>
      </c>
      <c r="B71" s="70">
        <v>25.104244988091668</v>
      </c>
      <c r="C71" s="70">
        <v>0.25048008683308254</v>
      </c>
      <c r="D71" s="70">
        <v>4.2364788610122162</v>
      </c>
      <c r="E71" s="70">
        <v>24.584165751159098</v>
      </c>
      <c r="F71" s="70">
        <v>-1.3784679811551293</v>
      </c>
      <c r="G71" s="70">
        <v>2.4748436225183745</v>
      </c>
      <c r="H71" s="70">
        <v>25.571654711823289</v>
      </c>
      <c r="I71" s="70">
        <v>1.7067307692307798</v>
      </c>
      <c r="J71" s="70">
        <v>5.8190912880366819</v>
      </c>
    </row>
    <row r="72" spans="1:10" ht="12.95" customHeight="1">
      <c r="A72" s="69" t="s">
        <v>13</v>
      </c>
      <c r="B72" s="70">
        <v>25.07915537870905</v>
      </c>
      <c r="C72" s="70">
        <v>-9.9941700674610612E-2</v>
      </c>
      <c r="D72" s="70">
        <v>4.1323031513152086</v>
      </c>
      <c r="E72" s="70">
        <v>24.560242730700612</v>
      </c>
      <c r="F72" s="70">
        <v>-9.7310686482654507E-2</v>
      </c>
      <c r="G72" s="70">
        <v>2.375124648717275</v>
      </c>
      <c r="H72" s="70">
        <v>25.54344994021961</v>
      </c>
      <c r="I72" s="70">
        <v>-0.11029701410225634</v>
      </c>
      <c r="J72" s="70">
        <v>5.7023759899958337</v>
      </c>
    </row>
    <row r="73" spans="1:10" ht="12.95" customHeight="1">
      <c r="A73" s="69" t="s">
        <v>14</v>
      </c>
      <c r="B73" s="70">
        <v>25.139788601383714</v>
      </c>
      <c r="C73" s="70">
        <v>0.24176740308463618</v>
      </c>
      <c r="D73" s="70">
        <v>4.3840611164163601</v>
      </c>
      <c r="E73" s="70">
        <v>24.640711072242794</v>
      </c>
      <c r="F73" s="70">
        <v>0.32763658903742776</v>
      </c>
      <c r="G73" s="70">
        <v>2.7105430151391552</v>
      </c>
      <c r="H73" s="70">
        <v>25.587771724168249</v>
      </c>
      <c r="I73" s="70">
        <v>0.17351526145594764</v>
      </c>
      <c r="J73" s="70">
        <v>5.8857857440600236</v>
      </c>
    </row>
    <row r="74" spans="1:10">
      <c r="A74" s="72"/>
      <c r="B74" s="73"/>
      <c r="C74" s="73"/>
      <c r="D74" s="73"/>
      <c r="E74" s="73"/>
      <c r="F74" s="73"/>
      <c r="G74" s="73"/>
      <c r="H74" s="73"/>
      <c r="I74" s="73"/>
      <c r="J74" s="73"/>
    </row>
    <row r="75" spans="1:10" ht="12.95" customHeight="1">
      <c r="A75" s="69">
        <v>2002</v>
      </c>
      <c r="B75" s="71"/>
      <c r="C75" s="71"/>
      <c r="D75" s="71"/>
      <c r="E75" s="71"/>
      <c r="F75" s="71"/>
      <c r="G75" s="71"/>
      <c r="H75" s="71"/>
      <c r="I75" s="71"/>
      <c r="J75" s="71"/>
    </row>
    <row r="76" spans="1:10" ht="12.95" customHeight="1">
      <c r="A76" s="69" t="s">
        <v>3</v>
      </c>
      <c r="B76" s="70">
        <v>25.281963054551884</v>
      </c>
      <c r="C76" s="70">
        <v>0.56553559547571908</v>
      </c>
      <c r="D76" s="70">
        <v>0.56553559547571908</v>
      </c>
      <c r="E76" s="70">
        <v>24.866892356577594</v>
      </c>
      <c r="F76" s="70">
        <v>0.91791703442190009</v>
      </c>
      <c r="G76" s="70">
        <v>0.91791703442190009</v>
      </c>
      <c r="H76" s="70">
        <v>25.656269026634327</v>
      </c>
      <c r="I76" s="70">
        <v>0.2676954570506096</v>
      </c>
      <c r="J76" s="70">
        <v>0.2676954570506096</v>
      </c>
    </row>
    <row r="77" spans="1:10" ht="12.95" customHeight="1">
      <c r="A77" s="69" t="s">
        <v>4</v>
      </c>
      <c r="B77" s="70">
        <v>25.292417058461307</v>
      </c>
      <c r="C77" s="70">
        <v>4.1349652662914238E-2</v>
      </c>
      <c r="D77" s="70">
        <v>0.6071190951430383</v>
      </c>
      <c r="E77" s="70">
        <v>24.838619696035739</v>
      </c>
      <c r="F77" s="70">
        <v>-0.11369599440268496</v>
      </c>
      <c r="G77" s="70">
        <v>0.8031774051191487</v>
      </c>
      <c r="H77" s="70">
        <v>25.698576184039851</v>
      </c>
      <c r="I77" s="70">
        <v>0.16489988221437546</v>
      </c>
      <c r="J77" s="70">
        <v>0.43303676875834363</v>
      </c>
    </row>
    <row r="78" spans="1:10" ht="12.95" customHeight="1">
      <c r="A78" s="69" t="s">
        <v>5</v>
      </c>
      <c r="B78" s="70">
        <v>25.58094756636142</v>
      </c>
      <c r="C78" s="70">
        <v>1.1407787054641627</v>
      </c>
      <c r="D78" s="70">
        <v>1.7548236859614041</v>
      </c>
      <c r="E78" s="70">
        <v>25.310555645080463</v>
      </c>
      <c r="F78" s="70">
        <v>1.9000087558007417</v>
      </c>
      <c r="G78" s="70">
        <v>2.7184466019417375</v>
      </c>
      <c r="H78" s="70">
        <v>25.821468403170172</v>
      </c>
      <c r="I78" s="70">
        <v>0.47820633427404502</v>
      </c>
      <c r="J78" s="70">
        <v>0.91331391229034775</v>
      </c>
    </row>
    <row r="79" spans="1:10" ht="12.95" customHeight="1">
      <c r="A79" s="69" t="s">
        <v>6</v>
      </c>
      <c r="B79" s="70">
        <v>25.754484031257871</v>
      </c>
      <c r="C79" s="70">
        <v>0.67838169186762443</v>
      </c>
      <c r="D79" s="70">
        <v>2.4451097804391475</v>
      </c>
      <c r="E79" s="70">
        <v>25.580233330248877</v>
      </c>
      <c r="F79" s="70">
        <v>1.0654751675545748</v>
      </c>
      <c r="G79" s="70">
        <v>3.8128861429832295</v>
      </c>
      <c r="H79" s="70">
        <v>25.908097344524339</v>
      </c>
      <c r="I79" s="70">
        <v>0.33549192478741219</v>
      </c>
      <c r="J79" s="70">
        <v>1.251869931501437</v>
      </c>
    </row>
    <row r="80" spans="1:10" ht="12.95" customHeight="1">
      <c r="A80" s="69" t="s">
        <v>7</v>
      </c>
      <c r="B80" s="70">
        <v>25.66248879685493</v>
      </c>
      <c r="C80" s="70">
        <v>-0.35720084429292642</v>
      </c>
      <c r="D80" s="70">
        <v>2.0791749833665829</v>
      </c>
      <c r="E80" s="70">
        <v>25.488890888498286</v>
      </c>
      <c r="F80" s="70">
        <v>-0.35708212888964086</v>
      </c>
      <c r="G80" s="70">
        <v>3.4421888790820976</v>
      </c>
      <c r="H80" s="70">
        <v>25.813409896997694</v>
      </c>
      <c r="I80" s="70">
        <v>-0.3654743390357762</v>
      </c>
      <c r="J80" s="70">
        <v>0.88182032910792962</v>
      </c>
    </row>
    <row r="81" spans="1:10" ht="12.95" customHeight="1">
      <c r="A81" s="69" t="s">
        <v>8</v>
      </c>
      <c r="B81" s="70">
        <v>25.691760007801321</v>
      </c>
      <c r="C81" s="70">
        <v>0.11406224539678433</v>
      </c>
      <c r="D81" s="70">
        <v>2.1956087824351211</v>
      </c>
      <c r="E81" s="70">
        <v>25.473667148206516</v>
      </c>
      <c r="F81" s="70">
        <v>-5.972696245735154E-2</v>
      </c>
      <c r="G81" s="70">
        <v>3.3804060017652127</v>
      </c>
      <c r="H81" s="70">
        <v>25.883921826006898</v>
      </c>
      <c r="I81" s="70">
        <v>0.27316007180206991</v>
      </c>
      <c r="J81" s="70">
        <v>1.1573891819541604</v>
      </c>
    </row>
    <row r="82" spans="1:10" ht="12.95" customHeight="1">
      <c r="A82" s="69" t="s">
        <v>9</v>
      </c>
      <c r="B82" s="70">
        <v>25.794209246113681</v>
      </c>
      <c r="C82" s="70">
        <v>0.39876302083334814</v>
      </c>
      <c r="D82" s="70">
        <v>2.6031270791749828</v>
      </c>
      <c r="E82" s="70">
        <v>25.608505990790725</v>
      </c>
      <c r="F82" s="70">
        <v>0.52932638948177679</v>
      </c>
      <c r="G82" s="70">
        <v>3.9276257722859809</v>
      </c>
      <c r="H82" s="70">
        <v>25.958463008102342</v>
      </c>
      <c r="I82" s="70">
        <v>0.28798256537982958</v>
      </c>
      <c r="J82" s="70">
        <v>1.4487048263916114</v>
      </c>
    </row>
    <row r="83" spans="1:10" ht="12.95" customHeight="1">
      <c r="A83" s="69" t="s">
        <v>10</v>
      </c>
      <c r="B83" s="70">
        <v>26.024197332121012</v>
      </c>
      <c r="C83" s="70">
        <v>0.89162681364998164</v>
      </c>
      <c r="D83" s="70">
        <v>3.5179640718562721</v>
      </c>
      <c r="E83" s="70">
        <v>25.717246992874763</v>
      </c>
      <c r="F83" s="70">
        <v>0.42462845010615702</v>
      </c>
      <c r="G83" s="70">
        <v>4.3689320388349495</v>
      </c>
      <c r="H83" s="70">
        <v>26.296920267346518</v>
      </c>
      <c r="I83" s="70">
        <v>1.3038416763678784</v>
      </c>
      <c r="J83" s="70">
        <v>2.771435320053528</v>
      </c>
    </row>
    <row r="84" spans="1:10" ht="12.95" customHeight="1">
      <c r="A84" s="69" t="s">
        <v>11</v>
      </c>
      <c r="B84" s="70">
        <v>26.390087468950867</v>
      </c>
      <c r="C84" s="70">
        <v>1.4059612758094309</v>
      </c>
      <c r="D84" s="70">
        <v>4.9733865602129113</v>
      </c>
      <c r="E84" s="70">
        <v>25.930379356959474</v>
      </c>
      <c r="F84" s="70">
        <v>0.82875264270612092</v>
      </c>
      <c r="G84" s="70">
        <v>5.2338923212709609</v>
      </c>
      <c r="H84" s="70">
        <v>26.802591529669659</v>
      </c>
      <c r="I84" s="70">
        <v>1.9229295947291725</v>
      </c>
      <c r="J84" s="70">
        <v>4.7476576647507818</v>
      </c>
    </row>
    <row r="85" spans="1:10" ht="12.95" customHeight="1">
      <c r="A85" s="69" t="s">
        <v>12</v>
      </c>
      <c r="B85" s="70">
        <v>27.15741135590261</v>
      </c>
      <c r="C85" s="70">
        <v>2.9076216130565546</v>
      </c>
      <c r="D85" s="70">
        <v>8.0256154357950535</v>
      </c>
      <c r="E85" s="70">
        <v>26.252252723128223</v>
      </c>
      <c r="F85" s="70">
        <v>1.2412983309569636</v>
      </c>
      <c r="G85" s="70">
        <v>6.5401588702559632</v>
      </c>
      <c r="H85" s="70">
        <v>27.973089551222429</v>
      </c>
      <c r="I85" s="70">
        <v>4.3671076368009487</v>
      </c>
      <c r="J85" s="70">
        <v>9.3221006219982527</v>
      </c>
    </row>
    <row r="86" spans="1:10" ht="12.95" customHeight="1">
      <c r="A86" s="69" t="s">
        <v>13</v>
      </c>
      <c r="B86" s="70">
        <v>27.287041004379478</v>
      </c>
      <c r="C86" s="70">
        <v>0.47732696897377913</v>
      </c>
      <c r="D86" s="70">
        <v>8.5412508316699878</v>
      </c>
      <c r="E86" s="70">
        <v>26.193532582002842</v>
      </c>
      <c r="F86" s="70">
        <v>-0.22367658023362269</v>
      </c>
      <c r="G86" s="70">
        <v>6.3018534863195086</v>
      </c>
      <c r="H86" s="70">
        <v>28.269239653061085</v>
      </c>
      <c r="I86" s="70">
        <v>1.0586964350018047</v>
      </c>
      <c r="J86" s="70">
        <v>10.479489803952436</v>
      </c>
    </row>
    <row r="87" spans="1:10" ht="12.95" customHeight="1">
      <c r="A87" s="69" t="s">
        <v>14</v>
      </c>
      <c r="B87" s="70">
        <v>27.782560789686194</v>
      </c>
      <c r="C87" s="70">
        <v>1.8159528005516901</v>
      </c>
      <c r="D87" s="70">
        <v>10.512308715901542</v>
      </c>
      <c r="E87" s="70">
        <v>26.689391551506052</v>
      </c>
      <c r="F87" s="70">
        <v>1.8930587844570024</v>
      </c>
      <c r="G87" s="70">
        <v>8.3142100617828785</v>
      </c>
      <c r="H87" s="70">
        <v>28.766852409211747</v>
      </c>
      <c r="I87" s="70">
        <v>1.7602622576966986</v>
      </c>
      <c r="J87" s="70">
        <v>12.424218565467271</v>
      </c>
    </row>
    <row r="88" spans="1:10">
      <c r="A88" s="69"/>
      <c r="B88" s="70"/>
      <c r="C88" s="70"/>
      <c r="D88" s="70"/>
      <c r="E88" s="70"/>
      <c r="F88" s="70"/>
      <c r="G88" s="70"/>
      <c r="H88" s="70"/>
      <c r="I88" s="70"/>
      <c r="J88" s="70"/>
    </row>
    <row r="89" spans="1:10" ht="12.95" customHeight="1">
      <c r="A89" s="69">
        <v>2003</v>
      </c>
      <c r="B89" s="70"/>
      <c r="C89" s="70"/>
      <c r="D89" s="70"/>
      <c r="E89" s="70"/>
      <c r="F89" s="70"/>
      <c r="G89" s="70"/>
      <c r="H89" s="70"/>
      <c r="I89" s="70"/>
      <c r="J89" s="70"/>
    </row>
    <row r="90" spans="1:10" ht="12.95" customHeight="1">
      <c r="A90" s="69" t="s">
        <v>3</v>
      </c>
      <c r="B90" s="70">
        <v>28.69624073136988</v>
      </c>
      <c r="C90" s="70">
        <v>3.2886815171583317</v>
      </c>
      <c r="D90" s="70">
        <v>3.2886815171583317</v>
      </c>
      <c r="E90" s="70">
        <v>27.337487923926911</v>
      </c>
      <c r="F90" s="70">
        <v>2.4282920469361091</v>
      </c>
      <c r="G90" s="70">
        <v>2.4282920469361091</v>
      </c>
      <c r="H90" s="70">
        <v>29.919218791876435</v>
      </c>
      <c r="I90" s="70">
        <v>4.0058827648995043</v>
      </c>
      <c r="J90" s="70">
        <v>4.0058827648995043</v>
      </c>
    </row>
    <row r="91" spans="1:10" ht="12.95" customHeight="1">
      <c r="A91" s="69" t="s">
        <v>4</v>
      </c>
      <c r="B91" s="70">
        <v>29.837817958279022</v>
      </c>
      <c r="C91" s="70">
        <v>3.9781420765027331</v>
      </c>
      <c r="D91" s="70">
        <v>7.3976520168573145</v>
      </c>
      <c r="E91" s="70">
        <v>28.803316632019733</v>
      </c>
      <c r="F91" s="70">
        <v>5.3619729514717607</v>
      </c>
      <c r="G91" s="70">
        <v>7.920469361147342</v>
      </c>
      <c r="H91" s="70">
        <v>30.767376566529997</v>
      </c>
      <c r="I91" s="70">
        <v>2.8348259376473006</v>
      </c>
      <c r="J91" s="70">
        <v>6.9542685061979137</v>
      </c>
    </row>
    <row r="92" spans="1:10" ht="12.95" customHeight="1">
      <c r="A92" s="69" t="s">
        <v>5</v>
      </c>
      <c r="B92" s="70">
        <v>30.366790556095896</v>
      </c>
      <c r="C92" s="70">
        <v>1.7728260107911176</v>
      </c>
      <c r="D92" s="70">
        <v>9.3016255267910797</v>
      </c>
      <c r="E92" s="70">
        <v>29.151287838688653</v>
      </c>
      <c r="F92" s="70">
        <v>1.2080942313500431</v>
      </c>
      <c r="G92" s="70">
        <v>9.2242503259452491</v>
      </c>
      <c r="H92" s="70">
        <v>31.460408097363306</v>
      </c>
      <c r="I92" s="70">
        <v>2.2524882137244573</v>
      </c>
      <c r="J92" s="70">
        <v>9.3634007983752312</v>
      </c>
    </row>
    <row r="93" spans="1:10" ht="12.95" customHeight="1">
      <c r="A93" s="69" t="s">
        <v>6</v>
      </c>
      <c r="B93" s="70">
        <v>30.454604188935058</v>
      </c>
      <c r="C93" s="70">
        <v>0.28917653538969024</v>
      </c>
      <c r="D93" s="70">
        <v>9.6177001806140758</v>
      </c>
      <c r="E93" s="70">
        <v>29.116490718021758</v>
      </c>
      <c r="F93" s="70">
        <v>-0.11936735302895407</v>
      </c>
      <c r="G93" s="70">
        <v>9.0938722294654504</v>
      </c>
      <c r="H93" s="70">
        <v>31.659856125132194</v>
      </c>
      <c r="I93" s="70">
        <v>0.63396516393441349</v>
      </c>
      <c r="J93" s="70">
        <v>10.056726661530924</v>
      </c>
    </row>
    <row r="94" spans="1:10" ht="12.95" customHeight="1">
      <c r="A94" s="69" t="s">
        <v>7</v>
      </c>
      <c r="B94" s="70">
        <v>30.818403524983029</v>
      </c>
      <c r="C94" s="70">
        <v>1.1945626802142062</v>
      </c>
      <c r="D94" s="70">
        <v>10.927152317880795</v>
      </c>
      <c r="E94" s="70">
        <v>29.692818029067158</v>
      </c>
      <c r="F94" s="70">
        <v>1.9793845234538532</v>
      </c>
      <c r="G94" s="70">
        <v>11.253259452412001</v>
      </c>
      <c r="H94" s="70">
        <v>31.831099381297399</v>
      </c>
      <c r="I94" s="70">
        <v>0.54088450524976128</v>
      </c>
      <c r="J94" s="70">
        <v>10.652006443028217</v>
      </c>
    </row>
    <row r="95" spans="1:10" ht="12.95" customHeight="1">
      <c r="A95" s="69" t="s">
        <v>8</v>
      </c>
      <c r="B95" s="70">
        <v>32.401139716869878</v>
      </c>
      <c r="C95" s="70">
        <v>5.1356852103120687</v>
      </c>
      <c r="D95" s="70">
        <v>16.62402167369055</v>
      </c>
      <c r="E95" s="70">
        <v>31.880686990997983</v>
      </c>
      <c r="F95" s="70">
        <v>7.3683439537097994</v>
      </c>
      <c r="G95" s="70">
        <v>19.45078226857888</v>
      </c>
      <c r="H95" s="70">
        <v>32.864602797918003</v>
      </c>
      <c r="I95" s="70">
        <v>3.2468354430379653</v>
      </c>
      <c r="J95" s="70">
        <v>14.244695006653107</v>
      </c>
    </row>
    <row r="96" spans="1:10" ht="12.95" customHeight="1">
      <c r="A96" s="69" t="s">
        <v>9</v>
      </c>
      <c r="B96" s="70">
        <v>33.586623760198599</v>
      </c>
      <c r="C96" s="70">
        <v>3.6587726656772235</v>
      </c>
      <c r="D96" s="70">
        <v>20.891029500301016</v>
      </c>
      <c r="E96" s="70">
        <v>33.487879001800046</v>
      </c>
      <c r="F96" s="70">
        <v>5.041271573777184</v>
      </c>
      <c r="G96" s="70">
        <v>25.472620599739226</v>
      </c>
      <c r="H96" s="70">
        <v>33.672468041709159</v>
      </c>
      <c r="I96" s="70">
        <v>2.4581622019248517</v>
      </c>
      <c r="J96" s="70">
        <v>17.053014917010991</v>
      </c>
    </row>
    <row r="97" spans="1:10" ht="12.95" customHeight="1">
      <c r="A97" s="69" t="s">
        <v>10</v>
      </c>
      <c r="B97" s="70">
        <v>34.615297744885964</v>
      </c>
      <c r="C97" s="70">
        <v>3.0627490039840888</v>
      </c>
      <c r="D97" s="70">
        <v>24.593618302227593</v>
      </c>
      <c r="E97" s="70">
        <v>34.640533623890846</v>
      </c>
      <c r="F97" s="70">
        <v>3.4420054552539492</v>
      </c>
      <c r="G97" s="70">
        <v>29.791395045632353</v>
      </c>
      <c r="H97" s="70">
        <v>34.58710849228568</v>
      </c>
      <c r="I97" s="70">
        <v>2.7162857484743341</v>
      </c>
      <c r="J97" s="70">
        <v>20.232509279361288</v>
      </c>
    </row>
    <row r="98" spans="1:10" ht="12.95" customHeight="1">
      <c r="A98" s="69" t="s">
        <v>11</v>
      </c>
      <c r="B98" s="70">
        <v>35.135907139575295</v>
      </c>
      <c r="C98" s="70">
        <v>1.5039864701618555</v>
      </c>
      <c r="D98" s="70">
        <v>26.467489464178207</v>
      </c>
      <c r="E98" s="70">
        <v>34.597037223057228</v>
      </c>
      <c r="F98" s="70">
        <v>-0.12556504269212176</v>
      </c>
      <c r="G98" s="70">
        <v>29.628422425032607</v>
      </c>
      <c r="H98" s="70">
        <v>35.616582655820046</v>
      </c>
      <c r="I98" s="70">
        <v>2.9764678471575046</v>
      </c>
      <c r="J98" s="70">
        <v>23.811191259892151</v>
      </c>
    </row>
    <row r="99" spans="1:10" ht="12.95" customHeight="1">
      <c r="A99" s="69" t="s">
        <v>12</v>
      </c>
      <c r="B99" s="70">
        <v>36.047496280477098</v>
      </c>
      <c r="C99" s="70">
        <v>2.5944659327580943</v>
      </c>
      <c r="D99" s="70">
        <v>29.748645394340766</v>
      </c>
      <c r="E99" s="70">
        <v>35.6496501232307</v>
      </c>
      <c r="F99" s="70">
        <v>3.0424943424691708</v>
      </c>
      <c r="G99" s="70">
        <v>33.572359843546273</v>
      </c>
      <c r="H99" s="70">
        <v>36.402287007636879</v>
      </c>
      <c r="I99" s="70">
        <v>2.2060071270999515</v>
      </c>
      <c r="J99" s="70">
        <v>26.542474963232699</v>
      </c>
    </row>
    <row r="100" spans="1:10" ht="12.95" customHeight="1">
      <c r="A100" s="69" t="s">
        <v>13</v>
      </c>
      <c r="B100" s="70">
        <v>38.215656691291713</v>
      </c>
      <c r="C100" s="70">
        <v>6.0147323241111383</v>
      </c>
      <c r="D100" s="70">
        <v>37.552679108970509</v>
      </c>
      <c r="E100" s="70">
        <v>38.550860058832811</v>
      </c>
      <c r="F100" s="70">
        <v>8.1381161542215743</v>
      </c>
      <c r="G100" s="70">
        <v>44.44263363754888</v>
      </c>
      <c r="H100" s="70">
        <v>37.907213035347588</v>
      </c>
      <c r="I100" s="70">
        <v>4.134152415739667</v>
      </c>
      <c r="J100" s="70">
        <v>31.773933748861971</v>
      </c>
    </row>
    <row r="101" spans="1:10" ht="12.95" customHeight="1">
      <c r="A101" s="69" t="s">
        <v>14</v>
      </c>
      <c r="B101" s="70">
        <v>39.633219621409651</v>
      </c>
      <c r="C101" s="70">
        <v>3.7093773935878982</v>
      </c>
      <c r="D101" s="70">
        <v>42.655027092113173</v>
      </c>
      <c r="E101" s="70">
        <v>40.105856388634542</v>
      </c>
      <c r="F101" s="70">
        <v>4.0336229267742274</v>
      </c>
      <c r="G101" s="70">
        <v>50.26890482398958</v>
      </c>
      <c r="H101" s="70">
        <v>39.202617902573806</v>
      </c>
      <c r="I101" s="70">
        <v>3.4173044217687076</v>
      </c>
      <c r="J101" s="70">
        <v>36.27705021360039</v>
      </c>
    </row>
    <row r="102" spans="1:10" ht="12.6" customHeight="1">
      <c r="A102" s="69"/>
      <c r="B102" s="70"/>
      <c r="C102" s="70"/>
      <c r="D102" s="70"/>
      <c r="E102" s="70"/>
      <c r="F102" s="70"/>
      <c r="G102" s="70"/>
      <c r="H102" s="70"/>
      <c r="I102" s="70"/>
      <c r="J102" s="70"/>
    </row>
    <row r="103" spans="1:10" ht="12.95" customHeight="1">
      <c r="A103" s="69">
        <v>2004</v>
      </c>
      <c r="B103" s="70"/>
      <c r="C103" s="70"/>
      <c r="D103" s="70"/>
      <c r="E103" s="70"/>
      <c r="F103" s="70"/>
      <c r="G103" s="70"/>
      <c r="H103" s="70"/>
      <c r="I103" s="70"/>
      <c r="J103" s="70"/>
    </row>
    <row r="104" spans="1:10" ht="12.95" customHeight="1">
      <c r="A104" s="69" t="s">
        <v>3</v>
      </c>
      <c r="B104" s="70">
        <v>43.292120989708181</v>
      </c>
      <c r="C104" s="70">
        <v>9.2319054652880475</v>
      </c>
      <c r="D104" s="70">
        <v>9.2319054652880475</v>
      </c>
      <c r="E104" s="70">
        <v>45.131865504958739</v>
      </c>
      <c r="F104" s="70">
        <v>12.531858359091164</v>
      </c>
      <c r="G104" s="70">
        <v>12.531858359091164</v>
      </c>
      <c r="H104" s="70">
        <v>41.624199007404158</v>
      </c>
      <c r="I104" s="70">
        <v>6.1770902924096927</v>
      </c>
      <c r="J104" s="70">
        <v>6.1770902924096927</v>
      </c>
    </row>
    <row r="105" spans="1:10" ht="12.95" customHeight="1">
      <c r="A105" s="69" t="s">
        <v>4</v>
      </c>
      <c r="B105" s="70">
        <v>48.163686811499936</v>
      </c>
      <c r="C105" s="70">
        <v>11.252776972858115</v>
      </c>
      <c r="D105" s="70">
        <v>21.523528170500118</v>
      </c>
      <c r="E105" s="70">
        <v>50.862516314787491</v>
      </c>
      <c r="F105" s="70">
        <v>12.697571318427148</v>
      </c>
      <c r="G105" s="70">
        <v>26.820671330188173</v>
      </c>
      <c r="H105" s="70">
        <v>45.719934769567296</v>
      </c>
      <c r="I105" s="70">
        <v>9.8397947824403467</v>
      </c>
      <c r="J105" s="70">
        <v>16.624698083149191</v>
      </c>
    </row>
    <row r="106" spans="1:10" ht="12.95" customHeight="1">
      <c r="A106" s="69" t="s">
        <v>5</v>
      </c>
      <c r="B106" s="70">
        <v>49.292719233717769</v>
      </c>
      <c r="C106" s="70">
        <v>2.3441569716964761</v>
      </c>
      <c r="D106" s="70">
        <v>24.372230428360432</v>
      </c>
      <c r="E106" s="70">
        <v>51.947751515586177</v>
      </c>
      <c r="F106" s="70">
        <v>2.1336640013682739</v>
      </c>
      <c r="G106" s="70">
        <v>29.526598340653987</v>
      </c>
      <c r="H106" s="70">
        <v>46.888418164576947</v>
      </c>
      <c r="I106" s="70">
        <v>2.5557416057107707</v>
      </c>
      <c r="J106" s="70">
        <v>19.605324014594807</v>
      </c>
    </row>
    <row r="107" spans="1:10" ht="12.95" customHeight="1">
      <c r="A107" s="69" t="s">
        <v>6</v>
      </c>
      <c r="B107" s="70">
        <v>49.635610561946891</v>
      </c>
      <c r="C107" s="70">
        <v>0.69562266711911125</v>
      </c>
      <c r="D107" s="70">
        <v>25.237391854821702</v>
      </c>
      <c r="E107" s="70">
        <v>52.506680266298133</v>
      </c>
      <c r="F107" s="70">
        <v>1.0759440676546994</v>
      </c>
      <c r="G107" s="70">
        <v>30.920232091535183</v>
      </c>
      <c r="H107" s="70">
        <v>47.033471275681592</v>
      </c>
      <c r="I107" s="70">
        <v>0.30935808197989356</v>
      </c>
      <c r="J107" s="70">
        <v>19.975332750912166</v>
      </c>
    </row>
    <row r="108" spans="1:10" ht="12.95" customHeight="1">
      <c r="A108" s="69" t="s">
        <v>7</v>
      </c>
      <c r="B108" s="70">
        <v>50.940270249843046</v>
      </c>
      <c r="C108" s="70">
        <v>2.6284751474304757</v>
      </c>
      <c r="D108" s="70">
        <v>28.529225575015825</v>
      </c>
      <c r="E108" s="70">
        <v>54.118221917183554</v>
      </c>
      <c r="F108" s="70">
        <v>3.069212608209404</v>
      </c>
      <c r="G108" s="70">
        <v>34.93845236158559</v>
      </c>
      <c r="H108" s="70">
        <v>48.062945439215959</v>
      </c>
      <c r="I108" s="70">
        <v>2.1888117878865687</v>
      </c>
      <c r="J108" s="70">
        <v>22.601366976720282</v>
      </c>
    </row>
    <row r="109" spans="1:10" ht="12.95" customHeight="1">
      <c r="A109" s="69" t="s">
        <v>8</v>
      </c>
      <c r="B109" s="70">
        <v>51.954308629057209</v>
      </c>
      <c r="C109" s="70">
        <v>1.9906419307174517</v>
      </c>
      <c r="D109" s="70">
        <v>31.087782232538519</v>
      </c>
      <c r="E109" s="70">
        <v>55.573176525067971</v>
      </c>
      <c r="F109" s="70">
        <v>2.6884745217810702</v>
      </c>
      <c r="G109" s="70">
        <v>38.566238273412502</v>
      </c>
      <c r="H109" s="70">
        <v>48.677406534867586</v>
      </c>
      <c r="I109" s="70">
        <v>1.2784507691662839</v>
      </c>
      <c r="J109" s="70">
        <v>24.168765095842559</v>
      </c>
    </row>
    <row r="110" spans="1:10" ht="12.95" customHeight="1">
      <c r="A110" s="69" t="s">
        <v>9</v>
      </c>
      <c r="B110" s="70">
        <v>52.274201148685592</v>
      </c>
      <c r="C110" s="70">
        <v>0.61571894241216896</v>
      </c>
      <c r="D110" s="70">
        <v>31.894914538932252</v>
      </c>
      <c r="E110" s="70">
        <v>55.562302424859567</v>
      </c>
      <c r="F110" s="70">
        <v>-1.9567174108714447E-2</v>
      </c>
      <c r="G110" s="70">
        <v>38.539124776313649</v>
      </c>
      <c r="H110" s="70">
        <v>49.297911510148573</v>
      </c>
      <c r="I110" s="70">
        <v>1.2747289131694428</v>
      </c>
      <c r="J110" s="70">
        <v>25.7515802456447</v>
      </c>
    </row>
    <row r="111" spans="1:10" ht="12.95" customHeight="1">
      <c r="A111" s="69" t="s">
        <v>10</v>
      </c>
      <c r="B111" s="70">
        <v>52.558550055021939</v>
      </c>
      <c r="C111" s="70">
        <v>0.54395648348133374</v>
      </c>
      <c r="D111" s="70">
        <v>32.612365477948948</v>
      </c>
      <c r="E111" s="70">
        <v>55.34917006077486</v>
      </c>
      <c r="F111" s="70">
        <v>-0.38359167058086285</v>
      </c>
      <c r="G111" s="70">
        <v>38.007700233176081</v>
      </c>
      <c r="H111" s="70">
        <v>50.029220945301169</v>
      </c>
      <c r="I111" s="70">
        <v>1.483449121373126</v>
      </c>
      <c r="J111" s="70">
        <v>27.617040957911531</v>
      </c>
    </row>
    <row r="112" spans="1:10" ht="12.95" customHeight="1">
      <c r="A112" s="69" t="s">
        <v>11</v>
      </c>
      <c r="B112" s="70">
        <v>51.962671832184753</v>
      </c>
      <c r="C112" s="70">
        <v>-1.133741745564476</v>
      </c>
      <c r="D112" s="70">
        <v>31.108883730744896</v>
      </c>
      <c r="E112" s="70">
        <v>53.744152870014467</v>
      </c>
      <c r="F112" s="70">
        <v>-2.8998035363457908</v>
      </c>
      <c r="G112" s="70">
        <v>34.005748061384942</v>
      </c>
      <c r="H112" s="70">
        <v>50.347531939114134</v>
      </c>
      <c r="I112" s="70">
        <v>0.63625015100872151</v>
      </c>
      <c r="J112" s="70">
        <v>28.429004573719084</v>
      </c>
    </row>
    <row r="113" spans="1:10" ht="12.95" customHeight="1">
      <c r="A113" s="69" t="s">
        <v>12</v>
      </c>
      <c r="B113" s="70">
        <v>52.663090094116185</v>
      </c>
      <c r="C113" s="70">
        <v>1.3479258037259134</v>
      </c>
      <c r="D113" s="70">
        <v>32.876134205528615</v>
      </c>
      <c r="E113" s="70">
        <v>54.413997442852136</v>
      </c>
      <c r="F113" s="70">
        <v>1.2463580446746558</v>
      </c>
      <c r="G113" s="70">
        <v>35.675939482674465</v>
      </c>
      <c r="H113" s="70">
        <v>51.070782868094248</v>
      </c>
      <c r="I113" s="70">
        <v>1.4365171461726334</v>
      </c>
      <c r="J113" s="70">
        <v>30.273909245079402</v>
      </c>
    </row>
    <row r="114" spans="1:10" ht="12.95" customHeight="1">
      <c r="A114" s="69" t="s">
        <v>13</v>
      </c>
      <c r="B114" s="70">
        <v>51.793316968852075</v>
      </c>
      <c r="C114" s="70">
        <v>-1.6515801175162825</v>
      </c>
      <c r="D114" s="70">
        <v>30.681578392065845</v>
      </c>
      <c r="E114" s="70">
        <v>53.1417277184689</v>
      </c>
      <c r="F114" s="70">
        <v>-2.3381294964028854</v>
      </c>
      <c r="G114" s="70">
        <v>32.503660322108338</v>
      </c>
      <c r="H114" s="70">
        <v>50.569140858857345</v>
      </c>
      <c r="I114" s="70">
        <v>-0.98224852071006064</v>
      </c>
      <c r="J114" s="70">
        <v>28.994295698648443</v>
      </c>
    </row>
    <row r="115" spans="1:10" ht="12.95" customHeight="1">
      <c r="A115" s="69" t="s">
        <v>14</v>
      </c>
      <c r="B115" s="70">
        <v>51.023902281118438</v>
      </c>
      <c r="C115" s="70">
        <v>-1.4855481995801778</v>
      </c>
      <c r="D115" s="70">
        <v>28.740240557079556</v>
      </c>
      <c r="E115" s="70">
        <v>51.521486787416755</v>
      </c>
      <c r="F115" s="70">
        <v>-3.0489052588499987</v>
      </c>
      <c r="G115" s="70">
        <v>28.463749254378847</v>
      </c>
      <c r="H115" s="70">
        <v>50.567126232314223</v>
      </c>
      <c r="I115" s="70">
        <v>-3.9839050237078233E-3</v>
      </c>
      <c r="J115" s="70">
        <v>28.98915668842179</v>
      </c>
    </row>
    <row r="116" spans="1:10" ht="12.6" customHeight="1">
      <c r="A116" s="69"/>
      <c r="B116" s="71"/>
      <c r="C116" s="71"/>
      <c r="D116" s="71"/>
      <c r="E116" s="71"/>
      <c r="F116" s="71"/>
      <c r="G116" s="71"/>
      <c r="H116" s="71"/>
      <c r="I116" s="71"/>
      <c r="J116" s="71"/>
    </row>
    <row r="117" spans="1:10" ht="12.95" customHeight="1">
      <c r="A117" s="69">
        <v>2005</v>
      </c>
      <c r="B117" s="71"/>
      <c r="C117" s="71"/>
      <c r="D117" s="71"/>
      <c r="E117" s="71"/>
      <c r="F117" s="71"/>
      <c r="G117" s="71"/>
      <c r="H117" s="71"/>
      <c r="I117" s="71"/>
      <c r="J117" s="71"/>
    </row>
    <row r="118" spans="1:10" ht="12.95" customHeight="1">
      <c r="A118" s="69" t="s">
        <v>3</v>
      </c>
      <c r="B118" s="70">
        <v>51.425336031240342</v>
      </c>
      <c r="C118" s="70">
        <v>0.78675626946402843</v>
      </c>
      <c r="D118" s="70">
        <v>0.78675626946402843</v>
      </c>
      <c r="E118" s="70">
        <v>52.226128480921311</v>
      </c>
      <c r="F118" s="70">
        <v>1.367665681722241</v>
      </c>
      <c r="G118" s="70">
        <v>1.367665681722241</v>
      </c>
      <c r="H118" s="70">
        <v>50.696062331073911</v>
      </c>
      <c r="I118" s="70">
        <v>0.25498007968127734</v>
      </c>
      <c r="J118" s="70">
        <v>0.25498007968127734</v>
      </c>
    </row>
    <row r="119" spans="1:10" ht="12.95" customHeight="1">
      <c r="A119" s="69" t="s">
        <v>4</v>
      </c>
      <c r="B119" s="70">
        <v>51.446244039059188</v>
      </c>
      <c r="C119" s="70">
        <v>4.0657017401191098E-2</v>
      </c>
      <c r="D119" s="70">
        <v>0.8277331584986225</v>
      </c>
      <c r="E119" s="70">
        <v>52.450134945214423</v>
      </c>
      <c r="F119" s="70">
        <v>0.42891646539517936</v>
      </c>
      <c r="G119" s="70">
        <v>1.8024482904178907</v>
      </c>
      <c r="H119" s="70">
        <v>50.532877581081181</v>
      </c>
      <c r="I119" s="70">
        <v>-0.32188841201716833</v>
      </c>
      <c r="J119" s="70">
        <v>-6.7729083665335477E-2</v>
      </c>
    </row>
    <row r="120" spans="1:10" ht="12.95" customHeight="1">
      <c r="A120" s="69" t="s">
        <v>5</v>
      </c>
      <c r="B120" s="70">
        <v>51.40860962498526</v>
      </c>
      <c r="C120" s="70">
        <v>-7.3152889539140897E-2</v>
      </c>
      <c r="D120" s="70">
        <v>0.75397475823637539</v>
      </c>
      <c r="E120" s="70">
        <v>52.767658671299813</v>
      </c>
      <c r="F120" s="70">
        <v>0.6053820956172018</v>
      </c>
      <c r="G120" s="70">
        <v>2.4187420852680219</v>
      </c>
      <c r="H120" s="70">
        <v>50.172259429862684</v>
      </c>
      <c r="I120" s="70">
        <v>-0.71363074592353248</v>
      </c>
      <c r="J120" s="70">
        <v>-0.78087649402390769</v>
      </c>
    </row>
    <row r="121" spans="1:10" ht="12.95" customHeight="1">
      <c r="A121" s="69" t="s">
        <v>6</v>
      </c>
      <c r="B121" s="70">
        <v>51.569601285190394</v>
      </c>
      <c r="C121" s="70">
        <v>0.31316089149178161</v>
      </c>
      <c r="D121" s="70">
        <v>1.0694968038026609</v>
      </c>
      <c r="E121" s="70">
        <v>52.980791035384534</v>
      </c>
      <c r="F121" s="70">
        <v>0.40390718377778523</v>
      </c>
      <c r="G121" s="70">
        <v>2.8324187420852631</v>
      </c>
      <c r="H121" s="70">
        <v>50.28910776936366</v>
      </c>
      <c r="I121" s="70">
        <v>0.23289431416642081</v>
      </c>
      <c r="J121" s="70">
        <v>-0.5498007968127272</v>
      </c>
    </row>
    <row r="122" spans="1:10" ht="12.95" customHeight="1">
      <c r="A122" s="69" t="s">
        <v>7</v>
      </c>
      <c r="B122" s="70">
        <v>51.414882027330918</v>
      </c>
      <c r="C122" s="70">
        <v>-0.30002027163996692</v>
      </c>
      <c r="D122" s="70">
        <v>0.76626782494675361</v>
      </c>
      <c r="E122" s="70">
        <v>52.780707591549906</v>
      </c>
      <c r="F122" s="70">
        <v>-0.37765280571405713</v>
      </c>
      <c r="G122" s="70">
        <v>2.4440692275221609</v>
      </c>
      <c r="H122" s="70">
        <v>50.174274056405814</v>
      </c>
      <c r="I122" s="70">
        <v>-0.22834708757311084</v>
      </c>
      <c r="J122" s="70">
        <v>-0.77689243027886379</v>
      </c>
    </row>
    <row r="123" spans="1:10" ht="12.95" customHeight="1">
      <c r="A123" s="69" t="s">
        <v>8</v>
      </c>
      <c r="B123" s="70">
        <v>51.444153238277302</v>
      </c>
      <c r="C123" s="70">
        <v>5.6931397665804795E-2</v>
      </c>
      <c r="D123" s="70">
        <v>0.82363546959516309</v>
      </c>
      <c r="E123" s="70">
        <v>52.948168734759321</v>
      </c>
      <c r="F123" s="70">
        <v>0.31727718488605561</v>
      </c>
      <c r="G123" s="70">
        <v>2.7691008864499711</v>
      </c>
      <c r="H123" s="70">
        <v>50.077571982336039</v>
      </c>
      <c r="I123" s="70">
        <v>-0.19273238305562712</v>
      </c>
      <c r="J123" s="70">
        <v>-0.96812749003984955</v>
      </c>
    </row>
    <row r="124" spans="1:10" ht="12.95" customHeight="1">
      <c r="A124" s="69" t="s">
        <v>9</v>
      </c>
      <c r="B124" s="70">
        <v>51.751500953214382</v>
      </c>
      <c r="C124" s="70">
        <v>0.59743954480797612</v>
      </c>
      <c r="D124" s="70">
        <v>1.4259957384035626</v>
      </c>
      <c r="E124" s="70">
        <v>53.374433462928742</v>
      </c>
      <c r="F124" s="70">
        <v>0.80506037952845499</v>
      </c>
      <c r="G124" s="70">
        <v>3.5964542000844091</v>
      </c>
      <c r="H124" s="70">
        <v>50.277020010104934</v>
      </c>
      <c r="I124" s="70">
        <v>0.39827815102386754</v>
      </c>
      <c r="J124" s="70">
        <v>-0.57370517928285736</v>
      </c>
    </row>
    <row r="125" spans="1:10" ht="12.95" customHeight="1">
      <c r="A125" s="69" t="s">
        <v>10</v>
      </c>
      <c r="B125" s="70">
        <v>52.44355601201827</v>
      </c>
      <c r="C125" s="70">
        <v>1.3372656755009649</v>
      </c>
      <c r="D125" s="70">
        <v>2.7823307654482932</v>
      </c>
      <c r="E125" s="70">
        <v>54.155193857892129</v>
      </c>
      <c r="F125" s="70">
        <v>1.4627984679325357</v>
      </c>
      <c r="G125" s="70">
        <v>5.1118615449556648</v>
      </c>
      <c r="H125" s="70">
        <v>50.891481105756561</v>
      </c>
      <c r="I125" s="70">
        <v>1.2221509857349044</v>
      </c>
      <c r="J125" s="70">
        <v>0.64143426294822614</v>
      </c>
    </row>
    <row r="126" spans="1:10" ht="12.95" customHeight="1">
      <c r="A126" s="69" t="s">
        <v>11</v>
      </c>
      <c r="B126" s="70">
        <v>54.1538310516001</v>
      </c>
      <c r="C126" s="70">
        <v>3.2611729059522476</v>
      </c>
      <c r="D126" s="70">
        <v>6.1342402884773106</v>
      </c>
      <c r="E126" s="70">
        <v>56.264769298322449</v>
      </c>
      <c r="F126" s="70">
        <v>3.8954258865105729</v>
      </c>
      <c r="G126" s="70">
        <v>9.2064162093710387</v>
      </c>
      <c r="H126" s="70">
        <v>52.241280889647022</v>
      </c>
      <c r="I126" s="70">
        <v>2.6523098848026727</v>
      </c>
      <c r="J126" s="70">
        <v>3.3107569721115615</v>
      </c>
    </row>
    <row r="127" spans="1:10" ht="12.95" customHeight="1">
      <c r="A127" s="69" t="s">
        <v>12</v>
      </c>
      <c r="B127" s="70">
        <v>54.755981676782937</v>
      </c>
      <c r="C127" s="70">
        <v>1.1119261804563463</v>
      </c>
      <c r="D127" s="70">
        <v>7.3143746926733311</v>
      </c>
      <c r="E127" s="70">
        <v>57.173844075745002</v>
      </c>
      <c r="F127" s="70">
        <v>1.6157087085926447</v>
      </c>
      <c r="G127" s="70">
        <v>10.970873786407775</v>
      </c>
      <c r="H127" s="70">
        <v>52.563621136546246</v>
      </c>
      <c r="I127" s="70">
        <v>0.6170220971038809</v>
      </c>
      <c r="J127" s="70">
        <v>3.948207171314766</v>
      </c>
    </row>
    <row r="128" spans="1:10" ht="12.95" customHeight="1">
      <c r="A128" s="69" t="s">
        <v>13</v>
      </c>
      <c r="B128" s="70">
        <v>54.29600550476826</v>
      </c>
      <c r="C128" s="70">
        <v>-0.84004734812326287</v>
      </c>
      <c r="D128" s="70">
        <v>6.4128831339124615</v>
      </c>
      <c r="E128" s="70">
        <v>56.106007435279764</v>
      </c>
      <c r="F128" s="70">
        <v>-1.8677013199436932</v>
      </c>
      <c r="G128" s="70">
        <v>8.8982693119459721</v>
      </c>
      <c r="H128" s="70">
        <v>52.652264704443517</v>
      </c>
      <c r="I128" s="70">
        <v>0.1686405273849001</v>
      </c>
      <c r="J128" s="70">
        <v>4.1235059760956316</v>
      </c>
    </row>
    <row r="129" spans="1:10" ht="12.95" customHeight="1">
      <c r="A129" s="69" t="s">
        <v>14</v>
      </c>
      <c r="B129" s="70">
        <v>54.818705700239484</v>
      </c>
      <c r="C129" s="70">
        <v>0.9626862797951441</v>
      </c>
      <c r="D129" s="70">
        <v>7.4373053597770911</v>
      </c>
      <c r="E129" s="70">
        <v>56.78672610832583</v>
      </c>
      <c r="F129" s="70">
        <v>1.213272346693528</v>
      </c>
      <c r="G129" s="70">
        <v>10.219501899535665</v>
      </c>
      <c r="H129" s="70">
        <v>53.033029121093222</v>
      </c>
      <c r="I129" s="70">
        <v>0.72316816529558459</v>
      </c>
      <c r="J129" s="70">
        <v>4.8764940239043986</v>
      </c>
    </row>
    <row r="130" spans="1:10" ht="12.6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</row>
    <row r="131" spans="1:10" ht="12.95" customHeight="1">
      <c r="A131" s="69">
        <v>2006</v>
      </c>
      <c r="B131" s="70"/>
      <c r="C131" s="70"/>
      <c r="D131" s="70"/>
      <c r="E131" s="70"/>
      <c r="F131" s="70"/>
      <c r="G131" s="70"/>
      <c r="H131" s="70"/>
      <c r="I131" s="70"/>
      <c r="J131" s="70"/>
    </row>
    <row r="132" spans="1:10" ht="12.95" customHeight="1">
      <c r="A132" s="69" t="s">
        <v>3</v>
      </c>
      <c r="B132" s="70">
        <v>55.667570817684748</v>
      </c>
      <c r="C132" s="70">
        <v>1.5484953659560041</v>
      </c>
      <c r="D132" s="70">
        <v>1.5484953659560041</v>
      </c>
      <c r="E132" s="70">
        <v>58.067695112875782</v>
      </c>
      <c r="F132" s="70">
        <v>2.2557542798054442</v>
      </c>
      <c r="G132" s="70">
        <v>2.2557542798054442</v>
      </c>
      <c r="H132" s="70">
        <v>53.492363972924593</v>
      </c>
      <c r="I132" s="70">
        <v>0.86612976751252457</v>
      </c>
      <c r="J132" s="70">
        <v>0.86612976751252457</v>
      </c>
    </row>
    <row r="133" spans="1:10" ht="12.95" customHeight="1">
      <c r="A133" s="69" t="s">
        <v>4</v>
      </c>
      <c r="B133" s="70">
        <v>55.600665192664437</v>
      </c>
      <c r="C133" s="70">
        <v>-0.12018779342721775</v>
      </c>
      <c r="D133" s="70">
        <v>1.4264464701171153</v>
      </c>
      <c r="E133" s="70">
        <v>58.043772092417299</v>
      </c>
      <c r="F133" s="70">
        <v>-4.1198501872652393E-2</v>
      </c>
      <c r="G133" s="70">
        <v>2.2136264409635897</v>
      </c>
      <c r="H133" s="70">
        <v>53.385588766139236</v>
      </c>
      <c r="I133" s="70">
        <v>-0.19960831575774884</v>
      </c>
      <c r="J133" s="70">
        <v>0.66479258471356939</v>
      </c>
    </row>
    <row r="134" spans="1:10" ht="12.95" customHeight="1">
      <c r="A134" s="69" t="s">
        <v>5</v>
      </c>
      <c r="B134" s="70">
        <v>55.65293521221156</v>
      </c>
      <c r="C134" s="70">
        <v>9.4009701801223144E-2</v>
      </c>
      <c r="D134" s="70">
        <v>1.5217971699912569</v>
      </c>
      <c r="E134" s="70">
        <v>58.124240433959478</v>
      </c>
      <c r="F134" s="70">
        <v>0.13863389411366001</v>
      </c>
      <c r="G134" s="70">
        <v>2.3553291716134739</v>
      </c>
      <c r="H134" s="70">
        <v>53.411778911199796</v>
      </c>
      <c r="I134" s="70">
        <v>4.9058455036044002E-2</v>
      </c>
      <c r="J134" s="70">
        <v>0.71417717672086489</v>
      </c>
    </row>
    <row r="135" spans="1:10" ht="12.95" customHeight="1">
      <c r="A135" s="69" t="s">
        <v>6</v>
      </c>
      <c r="B135" s="70">
        <v>55.983281735749358</v>
      </c>
      <c r="C135" s="70">
        <v>0.59358328950331884</v>
      </c>
      <c r="D135" s="70">
        <v>2.1244135931957731</v>
      </c>
      <c r="E135" s="70">
        <v>58.911525289047908</v>
      </c>
      <c r="F135" s="70">
        <v>1.3544862680535896</v>
      </c>
      <c r="G135" s="70">
        <v>3.741718049864029</v>
      </c>
      <c r="H135" s="70">
        <v>53.331193849474992</v>
      </c>
      <c r="I135" s="70">
        <v>-0.15087507543753986</v>
      </c>
      <c r="J135" s="70">
        <v>0.56222458592918301</v>
      </c>
    </row>
    <row r="136" spans="1:10" ht="12.95" customHeight="1">
      <c r="A136" s="69" t="s">
        <v>7</v>
      </c>
      <c r="B136" s="70">
        <v>56.303174255377755</v>
      </c>
      <c r="C136" s="70">
        <v>0.5714072303555584</v>
      </c>
      <c r="D136" s="70">
        <v>2.7079598764255142</v>
      </c>
      <c r="E136" s="70">
        <v>59.229049015133299</v>
      </c>
      <c r="F136" s="70">
        <v>0.53898405197874144</v>
      </c>
      <c r="G136" s="70">
        <v>4.3008693654015495</v>
      </c>
      <c r="H136" s="70">
        <v>53.653534096374202</v>
      </c>
      <c r="I136" s="70">
        <v>0.60441220912661464</v>
      </c>
      <c r="J136" s="70">
        <v>1.1700349490958661</v>
      </c>
    </row>
    <row r="137" spans="1:10" ht="12.95" customHeight="1">
      <c r="A137" s="69" t="s">
        <v>8</v>
      </c>
      <c r="B137" s="70">
        <v>56.729697614882255</v>
      </c>
      <c r="C137" s="70">
        <v>0.75754762523669861</v>
      </c>
      <c r="D137" s="70">
        <v>3.4860215873984579</v>
      </c>
      <c r="E137" s="70">
        <v>59.705334604261381</v>
      </c>
      <c r="F137" s="70">
        <v>0.80414188147168719</v>
      </c>
      <c r="G137" s="70">
        <v>5.1395963387078192</v>
      </c>
      <c r="H137" s="70">
        <v>54.032283886480776</v>
      </c>
      <c r="I137" s="70">
        <v>0.70591769300090146</v>
      </c>
      <c r="J137" s="70">
        <v>1.884212125816731</v>
      </c>
    </row>
    <row r="138" spans="1:10" ht="12.95" customHeight="1">
      <c r="A138" s="69" t="s">
        <v>9</v>
      </c>
      <c r="B138" s="70">
        <v>57.237762204880283</v>
      </c>
      <c r="C138" s="70">
        <v>0.89558839789187772</v>
      </c>
      <c r="D138" s="70">
        <v>4.4128303901750598</v>
      </c>
      <c r="E138" s="70">
        <v>60.505668379599889</v>
      </c>
      <c r="F138" s="70">
        <v>1.3404728080719686</v>
      </c>
      <c r="G138" s="70">
        <v>6.5489640381448222</v>
      </c>
      <c r="H138" s="70">
        <v>54.280082951284555</v>
      </c>
      <c r="I138" s="70">
        <v>0.45861297539151469</v>
      </c>
      <c r="J138" s="70">
        <v>2.3514663425011406</v>
      </c>
    </row>
    <row r="139" spans="1:10" ht="12.95" customHeight="1">
      <c r="A139" s="69" t="s">
        <v>10</v>
      </c>
      <c r="B139" s="70">
        <v>57.346483845538287</v>
      </c>
      <c r="C139" s="70">
        <v>0.18994739918174464</v>
      </c>
      <c r="D139" s="70">
        <v>4.6111598459132486</v>
      </c>
      <c r="E139" s="70">
        <v>60.342556876473836</v>
      </c>
      <c r="F139" s="70">
        <v>-0.26958053269112714</v>
      </c>
      <c r="G139" s="70">
        <v>6.2617287733139237</v>
      </c>
      <c r="H139" s="70">
        <v>54.63264259633057</v>
      </c>
      <c r="I139" s="70">
        <v>0.64951935567678643</v>
      </c>
      <c r="J139" s="70">
        <v>3.01625892721471</v>
      </c>
    </row>
    <row r="140" spans="1:10" ht="12.95" customHeight="1">
      <c r="A140" s="69" t="s">
        <v>11</v>
      </c>
      <c r="B140" s="70">
        <v>56.715062009409067</v>
      </c>
      <c r="C140" s="70">
        <v>-1.1010646055125917</v>
      </c>
      <c r="D140" s="70">
        <v>3.4593233914336885</v>
      </c>
      <c r="E140" s="70">
        <v>58.58095264271244</v>
      </c>
      <c r="F140" s="70">
        <v>-2.919339724644987</v>
      </c>
      <c r="G140" s="70">
        <v>3.1595879131400606</v>
      </c>
      <c r="H140" s="70">
        <v>55.021465519152748</v>
      </c>
      <c r="I140" s="70">
        <v>0.71170440297958493</v>
      </c>
      <c r="J140" s="70">
        <v>3.7494301777845296</v>
      </c>
    </row>
    <row r="141" spans="1:10" ht="12.95" customHeight="1">
      <c r="A141" s="69" t="s">
        <v>12</v>
      </c>
      <c r="B141" s="70">
        <v>56.773604431301855</v>
      </c>
      <c r="C141" s="70">
        <v>0.10322200103223267</v>
      </c>
      <c r="D141" s="70">
        <v>3.5661161752927439</v>
      </c>
      <c r="E141" s="70">
        <v>58.583127462754121</v>
      </c>
      <c r="F141" s="70">
        <v>3.7125037124940974E-3</v>
      </c>
      <c r="G141" s="70">
        <v>3.1634177166711241</v>
      </c>
      <c r="H141" s="70">
        <v>55.132269979024358</v>
      </c>
      <c r="I141" s="70">
        <v>0.20138405770568912</v>
      </c>
      <c r="J141" s="70">
        <v>3.9583649901230977</v>
      </c>
    </row>
    <row r="142" spans="1:10" ht="12.95" customHeight="1">
      <c r="A142" s="69" t="s">
        <v>13</v>
      </c>
      <c r="B142" s="70">
        <v>57.137403767349802</v>
      </c>
      <c r="C142" s="70">
        <v>0.64078957059729991</v>
      </c>
      <c r="D142" s="70">
        <v>4.2297570464167045</v>
      </c>
      <c r="E142" s="70">
        <v>59.139881393424389</v>
      </c>
      <c r="F142" s="70">
        <v>0.9503656680402317</v>
      </c>
      <c r="G142" s="70">
        <v>4.1438474206273224</v>
      </c>
      <c r="H142" s="70">
        <v>55.321644874077641</v>
      </c>
      <c r="I142" s="70">
        <v>0.34349192428559938</v>
      </c>
      <c r="J142" s="70">
        <v>4.315453578483508</v>
      </c>
    </row>
    <row r="143" spans="1:10" ht="12.95" customHeight="1">
      <c r="A143" s="69" t="s">
        <v>14</v>
      </c>
      <c r="B143" s="70">
        <v>57.559745525290552</v>
      </c>
      <c r="C143" s="70">
        <v>0.73916861826699432</v>
      </c>
      <c r="D143" s="70">
        <v>5.0001907013997426</v>
      </c>
      <c r="E143" s="70">
        <v>59.496551880260029</v>
      </c>
      <c r="F143" s="70">
        <v>0.60309638509910002</v>
      </c>
      <c r="G143" s="70">
        <v>4.7719351997242532</v>
      </c>
      <c r="H143" s="70">
        <v>55.803140617883344</v>
      </c>
      <c r="I143" s="70">
        <v>0.87035688273853218</v>
      </c>
      <c r="J143" s="70">
        <v>5.2233703084637595</v>
      </c>
    </row>
    <row r="144" spans="1:10" ht="12.6" customHeight="1">
      <c r="A144" s="69"/>
      <c r="B144" s="70"/>
      <c r="C144" s="70"/>
      <c r="D144" s="70"/>
      <c r="E144" s="70"/>
      <c r="F144" s="70"/>
      <c r="G144" s="70"/>
      <c r="H144" s="70"/>
      <c r="I144" s="70"/>
      <c r="J144" s="70"/>
    </row>
    <row r="145" spans="1:10" ht="12.95" customHeight="1">
      <c r="A145" s="69">
        <v>2007</v>
      </c>
      <c r="B145" s="70"/>
      <c r="C145" s="70"/>
      <c r="D145" s="70"/>
      <c r="E145" s="70"/>
      <c r="F145" s="70"/>
      <c r="G145" s="70"/>
      <c r="H145" s="70"/>
      <c r="I145" s="70"/>
      <c r="J145" s="70"/>
    </row>
    <row r="146" spans="1:10" ht="12.95" customHeight="1">
      <c r="A146" s="69" t="s">
        <v>3</v>
      </c>
      <c r="B146" s="70">
        <v>58.097081326234964</v>
      </c>
      <c r="C146" s="70">
        <v>0.93352706138758457</v>
      </c>
      <c r="D146" s="70">
        <v>0.93352706138758457</v>
      </c>
      <c r="E146" s="70">
        <v>60.829716565810322</v>
      </c>
      <c r="F146" s="70">
        <v>2.2407427715027239</v>
      </c>
      <c r="G146" s="70">
        <v>2.2407427715027239</v>
      </c>
      <c r="H146" s="70">
        <v>55.619809602459412</v>
      </c>
      <c r="I146" s="70">
        <v>-0.32853171594643404</v>
      </c>
      <c r="J146" s="70">
        <v>-0.32853171594643404</v>
      </c>
    </row>
    <row r="147" spans="1:10" ht="12.95" customHeight="1">
      <c r="A147" s="69" t="s">
        <v>4</v>
      </c>
      <c r="B147" s="70">
        <v>58.274799392695186</v>
      </c>
      <c r="C147" s="70">
        <v>0.30589844171735603</v>
      </c>
      <c r="D147" s="70">
        <v>1.2422811478387308</v>
      </c>
      <c r="E147" s="70">
        <v>61.308176974980086</v>
      </c>
      <c r="F147" s="70">
        <v>0.78655702538434902</v>
      </c>
      <c r="G147" s="70">
        <v>3.0449245165771188</v>
      </c>
      <c r="H147" s="70">
        <v>55.525122154932767</v>
      </c>
      <c r="I147" s="70">
        <v>-0.17024050999709939</v>
      </c>
      <c r="J147" s="70">
        <v>-0.49821293187480853</v>
      </c>
    </row>
    <row r="148" spans="1:10" ht="12.95" customHeight="1">
      <c r="A148" s="69" t="s">
        <v>5</v>
      </c>
      <c r="B148" s="70">
        <v>58.734775564709857</v>
      </c>
      <c r="C148" s="70">
        <v>0.78932261768083212</v>
      </c>
      <c r="D148" s="70">
        <v>2.0414093715946269</v>
      </c>
      <c r="E148" s="70">
        <v>62.208552472235915</v>
      </c>
      <c r="F148" s="70">
        <v>1.4686058886129949</v>
      </c>
      <c r="G148" s="70">
        <v>4.5582483459443601</v>
      </c>
      <c r="H148" s="70">
        <v>55.58556095122637</v>
      </c>
      <c r="I148" s="70">
        <v>0.10884946119515959</v>
      </c>
      <c r="J148" s="70">
        <v>-0.38990577277159266</v>
      </c>
    </row>
    <row r="149" spans="1:10" ht="12.95" customHeight="1">
      <c r="A149" s="69" t="s">
        <v>6</v>
      </c>
      <c r="B149" s="70">
        <v>59.212314463292365</v>
      </c>
      <c r="C149" s="70">
        <v>0.81304285917700447</v>
      </c>
      <c r="D149" s="70">
        <v>2.8710497638939403</v>
      </c>
      <c r="E149" s="70">
        <v>62.952340926490727</v>
      </c>
      <c r="F149" s="70">
        <v>1.1956369738498118</v>
      </c>
      <c r="G149" s="70">
        <v>5.8083854223781817</v>
      </c>
      <c r="H149" s="70">
        <v>55.827316136400782</v>
      </c>
      <c r="I149" s="70">
        <v>0.43492443187995722</v>
      </c>
      <c r="J149" s="70">
        <v>4.3322863641281906E-2</v>
      </c>
    </row>
    <row r="150" spans="1:10" ht="12.95" customHeight="1">
      <c r="A150" s="69" t="s">
        <v>7</v>
      </c>
      <c r="B150" s="70">
        <v>59.84080917832695</v>
      </c>
      <c r="C150" s="70">
        <v>1.0614256860778548</v>
      </c>
      <c r="D150" s="70">
        <v>3.9629495096258571</v>
      </c>
      <c r="E150" s="70">
        <v>63.800520742746222</v>
      </c>
      <c r="F150" s="70">
        <v>1.3473364195398352</v>
      </c>
      <c r="G150" s="70">
        <v>7.2339803341009645</v>
      </c>
      <c r="H150" s="70">
        <v>56.256431590085356</v>
      </c>
      <c r="I150" s="70">
        <v>0.76864782938181886</v>
      </c>
      <c r="J150" s="70">
        <v>0.812303693274119</v>
      </c>
    </row>
    <row r="151" spans="1:10" ht="12.95" customHeight="1">
      <c r="A151" s="69" t="s">
        <v>8</v>
      </c>
      <c r="B151" s="70">
        <v>60.081251268243712</v>
      </c>
      <c r="C151" s="70">
        <v>0.40180287201705411</v>
      </c>
      <c r="D151" s="70">
        <v>4.38067562658917</v>
      </c>
      <c r="E151" s="70">
        <v>63.733101321454122</v>
      </c>
      <c r="F151" s="70">
        <v>-0.10567221161712492</v>
      </c>
      <c r="G151" s="70">
        <v>7.1206638154768687</v>
      </c>
      <c r="H151" s="70">
        <v>56.7721759851241</v>
      </c>
      <c r="I151" s="70">
        <v>0.91677410113164548</v>
      </c>
      <c r="J151" s="70">
        <v>1.7365247842882292</v>
      </c>
    </row>
    <row r="152" spans="1:10" ht="12.95" customHeight="1">
      <c r="A152" s="69" t="s">
        <v>9</v>
      </c>
      <c r="B152" s="70">
        <v>60.235970526103202</v>
      </c>
      <c r="C152" s="70">
        <v>0.25751670378619806</v>
      </c>
      <c r="D152" s="70">
        <v>4.6494733018525469</v>
      </c>
      <c r="E152" s="70">
        <v>63.848366783663188</v>
      </c>
      <c r="F152" s="70">
        <v>0.18085650912811335</v>
      </c>
      <c r="G152" s="70">
        <v>7.3143985086083996</v>
      </c>
      <c r="H152" s="70">
        <v>56.963565506720506</v>
      </c>
      <c r="I152" s="70">
        <v>0.33711852377571461</v>
      </c>
      <c r="J152" s="70">
        <v>2.0794974547817535</v>
      </c>
    </row>
    <row r="153" spans="1:10" ht="12.95" customHeight="1">
      <c r="A153" s="69" t="s">
        <v>10</v>
      </c>
      <c r="B153" s="70">
        <v>59.849172381454494</v>
      </c>
      <c r="C153" s="70">
        <v>-0.64213814647692269</v>
      </c>
      <c r="D153" s="70">
        <v>3.9774791136941712</v>
      </c>
      <c r="E153" s="70">
        <v>62.902320065532074</v>
      </c>
      <c r="F153" s="70">
        <v>-1.4817085632536142</v>
      </c>
      <c r="G153" s="70">
        <v>5.7243118763022238</v>
      </c>
      <c r="H153" s="70">
        <v>57.08242847276459</v>
      </c>
      <c r="I153" s="70">
        <v>0.20866489832007673</v>
      </c>
      <c r="J153" s="70">
        <v>2.2925015343514099</v>
      </c>
    </row>
    <row r="154" spans="1:10" ht="12.95" customHeight="1">
      <c r="A154" s="69" t="s">
        <v>11</v>
      </c>
      <c r="B154" s="70">
        <v>60.578861854332317</v>
      </c>
      <c r="C154" s="70">
        <v>1.2192139737991381</v>
      </c>
      <c r="D154" s="70">
        <v>5.2451870686524016</v>
      </c>
      <c r="E154" s="70">
        <v>63.780947362371087</v>
      </c>
      <c r="F154" s="70">
        <v>1.3968122255644255</v>
      </c>
      <c r="G154" s="70">
        <v>7.2010819899842815</v>
      </c>
      <c r="H154" s="70">
        <v>57.678757929528146</v>
      </c>
      <c r="I154" s="70">
        <v>1.0446813016164569</v>
      </c>
      <c r="J154" s="70">
        <v>3.3611321708364894</v>
      </c>
    </row>
    <row r="155" spans="1:10" ht="12.95" customHeight="1">
      <c r="A155" s="69" t="s">
        <v>12</v>
      </c>
      <c r="B155" s="70">
        <v>60.867392362232422</v>
      </c>
      <c r="C155" s="70">
        <v>0.47628908676744519</v>
      </c>
      <c r="D155" s="70">
        <v>5.7464584090083592</v>
      </c>
      <c r="E155" s="70">
        <v>64.057149507664548</v>
      </c>
      <c r="F155" s="70">
        <v>0.43304804446415712</v>
      </c>
      <c r="G155" s="70">
        <v>7.6653141791863222</v>
      </c>
      <c r="H155" s="70">
        <v>57.978937284453032</v>
      </c>
      <c r="I155" s="70">
        <v>0.52043311212013332</v>
      </c>
      <c r="J155" s="70">
        <v>3.8990577277157934</v>
      </c>
    </row>
    <row r="156" spans="1:10" ht="12.95" customHeight="1">
      <c r="A156" s="69" t="s">
        <v>13</v>
      </c>
      <c r="B156" s="70">
        <v>61.9629719719401</v>
      </c>
      <c r="C156" s="70">
        <v>1.799945039846107</v>
      </c>
      <c r="D156" s="70">
        <v>7.6498365419542358</v>
      </c>
      <c r="E156" s="70">
        <v>65.901396903009811</v>
      </c>
      <c r="F156" s="70">
        <v>2.8790656617097676</v>
      </c>
      <c r="G156" s="70">
        <v>10.765069269291217</v>
      </c>
      <c r="H156" s="70">
        <v>58.395964978878901</v>
      </c>
      <c r="I156" s="70">
        <v>0.7192744709684229</v>
      </c>
      <c r="J156" s="70">
        <v>4.6463771255280006</v>
      </c>
    </row>
    <row r="157" spans="1:10" ht="12.95" customHeight="1">
      <c r="A157" s="69" t="s">
        <v>14</v>
      </c>
      <c r="B157" s="70">
        <v>62.66966263621719</v>
      </c>
      <c r="C157" s="70">
        <v>1.1405047914698319</v>
      </c>
      <c r="D157" s="70">
        <v>8.8775880857246747</v>
      </c>
      <c r="E157" s="70">
        <v>66.643010537222949</v>
      </c>
      <c r="F157" s="70">
        <v>1.1253382615008967</v>
      </c>
      <c r="G157" s="70">
        <v>12.011550974156538</v>
      </c>
      <c r="H157" s="70">
        <v>59.072879497367254</v>
      </c>
      <c r="I157" s="70">
        <v>1.1591802939350027</v>
      </c>
      <c r="J157" s="70">
        <v>5.8594173074840272</v>
      </c>
    </row>
    <row r="158" spans="1:10" ht="12.6" customHeight="1">
      <c r="A158" s="69"/>
      <c r="B158" s="70"/>
      <c r="C158" s="70"/>
      <c r="D158" s="70"/>
      <c r="E158" s="70"/>
      <c r="F158" s="70"/>
      <c r="G158" s="70"/>
      <c r="H158" s="70"/>
      <c r="I158" s="70"/>
      <c r="J158" s="70"/>
    </row>
    <row r="159" spans="1:10" ht="12.95" customHeight="1">
      <c r="A159" s="69">
        <v>2008</v>
      </c>
      <c r="B159" s="70"/>
      <c r="C159" s="70"/>
      <c r="D159" s="70"/>
      <c r="E159" s="70"/>
      <c r="F159" s="70"/>
      <c r="G159" s="70"/>
      <c r="H159" s="70"/>
      <c r="I159" s="70"/>
      <c r="J159" s="70"/>
    </row>
    <row r="160" spans="1:10" ht="12.95" customHeight="1">
      <c r="A160" s="69" t="s">
        <v>3</v>
      </c>
      <c r="B160" s="70">
        <v>63.353354491893533</v>
      </c>
      <c r="C160" s="70">
        <v>1.0909454860879242</v>
      </c>
      <c r="D160" s="70">
        <v>1.0909454860879242</v>
      </c>
      <c r="E160" s="70">
        <v>67.397673091686158</v>
      </c>
      <c r="F160" s="70">
        <v>1.1323956531670953</v>
      </c>
      <c r="G160" s="70">
        <v>1.1323956531670953</v>
      </c>
      <c r="H160" s="70">
        <v>59.691369846105111</v>
      </c>
      <c r="I160" s="70">
        <v>1.0469954300525108</v>
      </c>
      <c r="J160" s="70">
        <v>1.0469954300525108</v>
      </c>
    </row>
    <row r="161" spans="1:10" ht="12.95" customHeight="1">
      <c r="A161" s="69" t="s">
        <v>4</v>
      </c>
      <c r="B161" s="70">
        <v>63.332446484074701</v>
      </c>
      <c r="C161" s="70">
        <v>-3.3002211148125404E-2</v>
      </c>
      <c r="D161" s="70">
        <v>1.0575832388069806</v>
      </c>
      <c r="E161" s="70">
        <v>67.743469478313401</v>
      </c>
      <c r="F161" s="70">
        <v>0.51306873184899793</v>
      </c>
      <c r="G161" s="70">
        <v>1.6512743530333163</v>
      </c>
      <c r="H161" s="70">
        <v>59.336795574515968</v>
      </c>
      <c r="I161" s="70">
        <v>-0.5940126227682474</v>
      </c>
      <c r="J161" s="70">
        <v>0.44676352226993288</v>
      </c>
    </row>
    <row r="162" spans="1:10" ht="12.95" customHeight="1">
      <c r="A162" s="69" t="s">
        <v>5</v>
      </c>
      <c r="B162" s="70">
        <v>64.415481289091048</v>
      </c>
      <c r="C162" s="70">
        <v>1.7100789013237971</v>
      </c>
      <c r="D162" s="70">
        <v>2.7857476479615562</v>
      </c>
      <c r="E162" s="70">
        <v>69.378934149657312</v>
      </c>
      <c r="F162" s="70">
        <v>2.4142027031365254</v>
      </c>
      <c r="G162" s="70">
        <v>4.1053421662369693</v>
      </c>
      <c r="H162" s="70">
        <v>59.923051898563926</v>
      </c>
      <c r="I162" s="70">
        <v>0.98801480324586244</v>
      </c>
      <c r="J162" s="70">
        <v>1.4391924152513447</v>
      </c>
    </row>
    <row r="163" spans="1:10" ht="12.95" customHeight="1">
      <c r="A163" s="69" t="s">
        <v>6</v>
      </c>
      <c r="B163" s="70">
        <v>65.626054941802394</v>
      </c>
      <c r="C163" s="70">
        <v>1.8793209776364117</v>
      </c>
      <c r="D163" s="70">
        <v>4.7174217655301165</v>
      </c>
      <c r="E163" s="70">
        <v>70.577259992623397</v>
      </c>
      <c r="F163" s="70">
        <v>1.7272185824895647</v>
      </c>
      <c r="G163" s="70">
        <v>5.9034689814965624</v>
      </c>
      <c r="H163" s="70">
        <v>61.145930210237815</v>
      </c>
      <c r="I163" s="70">
        <v>2.040747713824631</v>
      </c>
      <c r="J163" s="70">
        <v>3.5093104153877563</v>
      </c>
    </row>
    <row r="164" spans="1:10" ht="12.95" customHeight="1">
      <c r="A164" s="69" t="s">
        <v>7</v>
      </c>
      <c r="B164" s="70">
        <v>65.845589023900317</v>
      </c>
      <c r="C164" s="70">
        <v>0.33452274754683931</v>
      </c>
      <c r="D164" s="70">
        <v>5.0677253619803908</v>
      </c>
      <c r="E164" s="70">
        <v>71.142713203460403</v>
      </c>
      <c r="F164" s="70">
        <v>0.80118328608407285</v>
      </c>
      <c r="G164" s="70">
        <v>6.7519498743595641</v>
      </c>
      <c r="H164" s="70">
        <v>61.051242762711169</v>
      </c>
      <c r="I164" s="70">
        <v>-0.15485486474909882</v>
      </c>
      <c r="J164" s="70">
        <v>3.3490212127412766</v>
      </c>
    </row>
    <row r="165" spans="1:10" ht="12.95" customHeight="1">
      <c r="A165" s="69" t="s">
        <v>8</v>
      </c>
      <c r="B165" s="70">
        <v>67.413689610313966</v>
      </c>
      <c r="C165" s="70">
        <v>2.3814815990855109</v>
      </c>
      <c r="D165" s="70">
        <v>7.5698939080536487</v>
      </c>
      <c r="E165" s="70">
        <v>73.274036844307531</v>
      </c>
      <c r="F165" s="70">
        <v>2.9958425042797776</v>
      </c>
      <c r="G165" s="70">
        <v>9.9500701628430619</v>
      </c>
      <c r="H165" s="70">
        <v>62.112950950935456</v>
      </c>
      <c r="I165" s="70">
        <v>1.7390443505807873</v>
      </c>
      <c r="J165" s="70">
        <v>5.146306527521971</v>
      </c>
    </row>
    <row r="166" spans="1:10" ht="12.95" customHeight="1">
      <c r="A166" s="69" t="s">
        <v>9</v>
      </c>
      <c r="B166" s="70">
        <v>68.505087618457864</v>
      </c>
      <c r="C166" s="70">
        <v>1.6189560524765056</v>
      </c>
      <c r="D166" s="70">
        <v>9.3114032161206275</v>
      </c>
      <c r="E166" s="70">
        <v>74.372320965356295</v>
      </c>
      <c r="F166" s="70">
        <v>1.4988721358185852</v>
      </c>
      <c r="G166" s="70">
        <v>11.598081127826898</v>
      </c>
      <c r="H166" s="70">
        <v>63.192790778047829</v>
      </c>
      <c r="I166" s="70">
        <v>1.738509941292854</v>
      </c>
      <c r="J166" s="70">
        <v>6.9742855194052211</v>
      </c>
    </row>
    <row r="167" spans="1:10" ht="12.95" customHeight="1">
      <c r="A167" s="69" t="s">
        <v>10</v>
      </c>
      <c r="B167" s="70">
        <v>68.567811641914417</v>
      </c>
      <c r="C167" s="70">
        <v>9.1561117045646512E-2</v>
      </c>
      <c r="D167" s="70">
        <v>9.4114899579635711</v>
      </c>
      <c r="E167" s="70">
        <v>73.324057705266185</v>
      </c>
      <c r="F167" s="70">
        <v>-1.4094803637745956</v>
      </c>
      <c r="G167" s="70">
        <v>10.025128087980949</v>
      </c>
      <c r="H167" s="70">
        <v>64.260542845901483</v>
      </c>
      <c r="I167" s="70">
        <v>1.6896738610641782</v>
      </c>
      <c r="J167" s="70">
        <v>8.7818020598867683</v>
      </c>
    </row>
    <row r="168" spans="1:10" ht="12.95" customHeight="1">
      <c r="A168" s="69" t="s">
        <v>11</v>
      </c>
      <c r="B168" s="70">
        <v>69.410404357014016</v>
      </c>
      <c r="C168" s="70">
        <v>1.2288458606494856</v>
      </c>
      <c r="D168" s="70">
        <v>10.755988523386929</v>
      </c>
      <c r="E168" s="70">
        <v>73.848189335311247</v>
      </c>
      <c r="F168" s="70">
        <v>0.71481536408126711</v>
      </c>
      <c r="G168" s="70">
        <v>10.811604607903934</v>
      </c>
      <c r="H168" s="70">
        <v>65.390748336591841</v>
      </c>
      <c r="I168" s="70">
        <v>1.7587860927359644</v>
      </c>
      <c r="J168" s="70">
        <v>10.695041265943651</v>
      </c>
    </row>
    <row r="169" spans="1:10" ht="12.95" customHeight="1">
      <c r="A169" s="69" t="s">
        <v>12</v>
      </c>
      <c r="B169" s="70">
        <v>68.684896485699952</v>
      </c>
      <c r="C169" s="70">
        <v>-1.0452436893788941</v>
      </c>
      <c r="D169" s="70">
        <v>9.5983185427370046</v>
      </c>
      <c r="E169" s="70">
        <v>71.843005256881597</v>
      </c>
      <c r="F169" s="70">
        <v>-2.7152785958299064</v>
      </c>
      <c r="G169" s="70">
        <v>7.8027608262898562</v>
      </c>
      <c r="H169" s="70">
        <v>65.823893043362659</v>
      </c>
      <c r="I169" s="70">
        <v>0.66239447901903503</v>
      </c>
      <c r="J169" s="70">
        <v>11.428279107837103</v>
      </c>
    </row>
    <row r="170" spans="1:10" ht="12.95" customHeight="1">
      <c r="A170" s="69" t="s">
        <v>13</v>
      </c>
      <c r="B170" s="70">
        <v>66.433104043609958</v>
      </c>
      <c r="C170" s="70">
        <v>-3.2784390125110141</v>
      </c>
      <c r="D170" s="70">
        <v>6.0052045105758234</v>
      </c>
      <c r="E170" s="70">
        <v>67.841336380189034</v>
      </c>
      <c r="F170" s="70">
        <v>-5.570018768541507</v>
      </c>
      <c r="G170" s="70">
        <v>1.7981268152595931</v>
      </c>
      <c r="H170" s="70">
        <v>65.153022404503673</v>
      </c>
      <c r="I170" s="70">
        <v>-1.0191901570103745</v>
      </c>
      <c r="J170" s="70">
        <v>10.292613055043986</v>
      </c>
    </row>
    <row r="171" spans="1:10" ht="12.95" customHeight="1">
      <c r="A171" s="69" t="s">
        <v>14</v>
      </c>
      <c r="B171" s="70">
        <v>65.500606894889302</v>
      </c>
      <c r="C171" s="70">
        <v>-1.4036633725687753</v>
      </c>
      <c r="D171" s="70">
        <v>4.517248281844255</v>
      </c>
      <c r="E171" s="70">
        <v>65.849201222009469</v>
      </c>
      <c r="F171" s="70">
        <v>-2.9364621401551716</v>
      </c>
      <c r="G171" s="70">
        <v>-1.1911366380576438</v>
      </c>
      <c r="H171" s="70">
        <v>65.177197923021112</v>
      </c>
      <c r="I171" s="70">
        <v>3.7105751391464104E-2</v>
      </c>
      <c r="J171" s="70">
        <v>10.333537957847327</v>
      </c>
    </row>
    <row r="172" spans="1:10" ht="12.6" customHeight="1">
      <c r="A172" s="69"/>
      <c r="B172" s="70"/>
      <c r="C172" s="70"/>
      <c r="D172" s="70"/>
      <c r="E172" s="70"/>
      <c r="F172" s="70"/>
      <c r="G172" s="70"/>
      <c r="H172" s="70"/>
      <c r="I172" s="70"/>
      <c r="J172" s="70"/>
    </row>
    <row r="173" spans="1:10" ht="12.95" customHeight="1">
      <c r="A173" s="69">
        <v>2009</v>
      </c>
      <c r="B173" s="70"/>
      <c r="C173" s="70"/>
      <c r="D173" s="70"/>
      <c r="E173" s="70"/>
      <c r="F173" s="70"/>
      <c r="G173" s="70"/>
      <c r="H173" s="70"/>
      <c r="I173" s="70"/>
      <c r="J173" s="70"/>
    </row>
    <row r="174" spans="1:10" ht="12.95" customHeight="1">
      <c r="A174" s="69" t="s">
        <v>3</v>
      </c>
      <c r="B174" s="70">
        <v>65.684597363695175</v>
      </c>
      <c r="C174" s="70">
        <v>0.28089887640450062</v>
      </c>
      <c r="D174" s="70">
        <v>0.28089887640450062</v>
      </c>
      <c r="E174" s="70">
        <v>65.73828539988375</v>
      </c>
      <c r="F174" s="70">
        <v>-0.16843913072197569</v>
      </c>
      <c r="G174" s="70">
        <v>-0.16843913072197569</v>
      </c>
      <c r="H174" s="70">
        <v>65.626459642136894</v>
      </c>
      <c r="I174" s="70">
        <v>0.68929277942630929</v>
      </c>
      <c r="J174" s="70">
        <v>0.68929277942630929</v>
      </c>
    </row>
    <row r="175" spans="1:10" ht="12.95" customHeight="1">
      <c r="A175" s="69" t="s">
        <v>4</v>
      </c>
      <c r="B175" s="70">
        <v>65.885314238756123</v>
      </c>
      <c r="C175" s="70">
        <v>0.30557677616500634</v>
      </c>
      <c r="D175" s="70">
        <v>0.5873340143003114</v>
      </c>
      <c r="E175" s="70">
        <v>66.210221348928485</v>
      </c>
      <c r="F175" s="70">
        <v>0.71790121414632146</v>
      </c>
      <c r="G175" s="70">
        <v>0.54825285685977665</v>
      </c>
      <c r="H175" s="70">
        <v>65.584152484731376</v>
      </c>
      <c r="I175" s="70">
        <v>-6.4466615502678515E-2</v>
      </c>
      <c r="J175" s="70">
        <v>0.6243818001978374</v>
      </c>
    </row>
    <row r="176" spans="1:10" ht="12.95" customHeight="1">
      <c r="A176" s="69" t="s">
        <v>5</v>
      </c>
      <c r="B176" s="70">
        <v>65.987763477068484</v>
      </c>
      <c r="C176" s="70">
        <v>0.15549631886264681</v>
      </c>
      <c r="D176" s="70">
        <v>0.74374361593463334</v>
      </c>
      <c r="E176" s="70">
        <v>66.575591115930848</v>
      </c>
      <c r="F176" s="70">
        <v>0.5518328734726019</v>
      </c>
      <c r="G176" s="70">
        <v>1.1031111698262874</v>
      </c>
      <c r="H176" s="70">
        <v>65.449172506342322</v>
      </c>
      <c r="I176" s="70">
        <v>-0.20581188179641385</v>
      </c>
      <c r="J176" s="70">
        <v>0.41728486646883667</v>
      </c>
    </row>
    <row r="177" spans="1:10" ht="12.95" customHeight="1">
      <c r="A177" s="69" t="s">
        <v>6</v>
      </c>
      <c r="B177" s="70">
        <v>66.081849512253299</v>
      </c>
      <c r="C177" s="70">
        <v>0.14258103355406782</v>
      </c>
      <c r="D177" s="70">
        <v>0.88738508682328909</v>
      </c>
      <c r="E177" s="70">
        <v>67.167142167267997</v>
      </c>
      <c r="F177" s="70">
        <v>0.88854044165684876</v>
      </c>
      <c r="G177" s="70">
        <v>2.0014532003434837</v>
      </c>
      <c r="H177" s="70">
        <v>65.090568981666948</v>
      </c>
      <c r="I177" s="70">
        <v>-0.54791147228121506</v>
      </c>
      <c r="J177" s="70">
        <v>-0.1329129574678567</v>
      </c>
    </row>
    <row r="178" spans="1:10" ht="12.95" customHeight="1">
      <c r="A178" s="69" t="s">
        <v>7</v>
      </c>
      <c r="B178" s="70">
        <v>66.157118340401155</v>
      </c>
      <c r="C178" s="70">
        <v>0.11390242359046177</v>
      </c>
      <c r="D178" s="70">
        <v>1.0022982635342181</v>
      </c>
      <c r="E178" s="70">
        <v>67.443344312561464</v>
      </c>
      <c r="F178" s="70">
        <v>0.41121616370938252</v>
      </c>
      <c r="G178" s="70">
        <v>2.4208996631217561</v>
      </c>
      <c r="H178" s="70">
        <v>64.985808401424705</v>
      </c>
      <c r="I178" s="70">
        <v>-0.16094586647682485</v>
      </c>
      <c r="J178" s="70">
        <v>-0.29364490603362992</v>
      </c>
    </row>
    <row r="179" spans="1:10" ht="12.95" customHeight="1">
      <c r="A179" s="69" t="s">
        <v>8</v>
      </c>
      <c r="B179" s="70">
        <v>67.58722607521041</v>
      </c>
      <c r="C179" s="70">
        <v>2.1616838379369119</v>
      </c>
      <c r="D179" s="70">
        <v>3.1856486210418922</v>
      </c>
      <c r="E179" s="70">
        <v>69.550744932950096</v>
      </c>
      <c r="F179" s="70">
        <v>3.1246976879171884</v>
      </c>
      <c r="G179" s="70">
        <v>5.6212431468392943</v>
      </c>
      <c r="H179" s="70">
        <v>65.803746777931465</v>
      </c>
      <c r="I179" s="70">
        <v>1.258641535170657</v>
      </c>
      <c r="J179" s="70">
        <v>0.96130069238378191</v>
      </c>
    </row>
    <row r="180" spans="1:10" ht="12.95" customHeight="1">
      <c r="A180" s="69" t="s">
        <v>9</v>
      </c>
      <c r="B180" s="70">
        <v>67.668767305703909</v>
      </c>
      <c r="C180" s="70">
        <v>0.12064591969311866</v>
      </c>
      <c r="D180" s="70">
        <v>3.3101378958120486</v>
      </c>
      <c r="E180" s="70">
        <v>68.954844241529571</v>
      </c>
      <c r="F180" s="70">
        <v>-0.85678549093183287</v>
      </c>
      <c r="G180" s="70">
        <v>4.7162956602153416</v>
      </c>
      <c r="H180" s="70">
        <v>66.496778308764775</v>
      </c>
      <c r="I180" s="70">
        <v>1.0531794385084003</v>
      </c>
      <c r="J180" s="70">
        <v>2.0246043521266133</v>
      </c>
    </row>
    <row r="181" spans="1:10" ht="12.95" customHeight="1">
      <c r="A181" s="69" t="s">
        <v>10</v>
      </c>
      <c r="B181" s="70">
        <v>68.245828321504149</v>
      </c>
      <c r="C181" s="70">
        <v>0.85277305731501496</v>
      </c>
      <c r="D181" s="70">
        <v>4.1911389172625269</v>
      </c>
      <c r="E181" s="70">
        <v>69.711681616034468</v>
      </c>
      <c r="F181" s="70">
        <v>1.0975840534914516</v>
      </c>
      <c r="G181" s="70">
        <v>5.8656450227888346</v>
      </c>
      <c r="H181" s="70">
        <v>66.913806003190629</v>
      </c>
      <c r="I181" s="70">
        <v>0.62713969763987798</v>
      </c>
      <c r="J181" s="70">
        <v>2.6644411473788265</v>
      </c>
    </row>
    <row r="182" spans="1:10" ht="12.95" customHeight="1">
      <c r="A182" s="69" t="s">
        <v>11</v>
      </c>
      <c r="B182" s="70">
        <v>68.32109714965199</v>
      </c>
      <c r="C182" s="70">
        <v>0.11029073864157191</v>
      </c>
      <c r="D182" s="70">
        <v>4.3060520939734337</v>
      </c>
      <c r="E182" s="70">
        <v>69.302815448198501</v>
      </c>
      <c r="F182" s="70">
        <v>-0.58651026392959604</v>
      </c>
      <c r="G182" s="70">
        <v>5.2447321487548937</v>
      </c>
      <c r="H182" s="70">
        <v>67.427535771686252</v>
      </c>
      <c r="I182" s="70">
        <v>0.76774853977239488</v>
      </c>
      <c r="J182" s="70">
        <v>3.4526458951533057</v>
      </c>
    </row>
    <row r="183" spans="1:10" ht="12.95" customHeight="1">
      <c r="A183" s="69" t="s">
        <v>12</v>
      </c>
      <c r="B183" s="70">
        <v>68.47790720829336</v>
      </c>
      <c r="C183" s="70">
        <v>0.22951923371179461</v>
      </c>
      <c r="D183" s="70">
        <v>4.5454545454545414</v>
      </c>
      <c r="E183" s="70">
        <v>69.344137028990431</v>
      </c>
      <c r="F183" s="70">
        <v>5.9624678340552961E-2</v>
      </c>
      <c r="G183" s="70">
        <v>5.3074839817689679</v>
      </c>
      <c r="H183" s="70">
        <v>67.687422595748743</v>
      </c>
      <c r="I183" s="70">
        <v>0.38543129463084469</v>
      </c>
      <c r="J183" s="70">
        <v>3.8513847675568647</v>
      </c>
    </row>
    <row r="184" spans="1:10" ht="12.95" customHeight="1">
      <c r="A184" s="69" t="s">
        <v>13</v>
      </c>
      <c r="B184" s="70">
        <v>69.209687481953068</v>
      </c>
      <c r="C184" s="70">
        <v>1.0686370297997128</v>
      </c>
      <c r="D184" s="70">
        <v>5.6626659856996886</v>
      </c>
      <c r="E184" s="70">
        <v>70.405449209330627</v>
      </c>
      <c r="F184" s="70">
        <v>1.5305002352203223</v>
      </c>
      <c r="G184" s="70">
        <v>6.9192152718145161</v>
      </c>
      <c r="H184" s="70">
        <v>68.120567302519561</v>
      </c>
      <c r="I184" s="70">
        <v>0.63991904280016332</v>
      </c>
      <c r="J184" s="70">
        <v>4.515949554896137</v>
      </c>
    </row>
    <row r="185" spans="1:10" ht="12.95" customHeight="1">
      <c r="A185" s="69" t="s">
        <v>14</v>
      </c>
      <c r="B185" s="70">
        <v>69.27659310697338</v>
      </c>
      <c r="C185" s="70">
        <v>9.6670896018369312E-2</v>
      </c>
      <c r="D185" s="70">
        <v>5.7648110316649515</v>
      </c>
      <c r="E185" s="70">
        <v>70.142295984287259</v>
      </c>
      <c r="F185" s="70">
        <v>-0.37376826367652161</v>
      </c>
      <c r="G185" s="70">
        <v>6.5195851773565128</v>
      </c>
      <c r="H185" s="70">
        <v>68.487229333367409</v>
      </c>
      <c r="I185" s="70">
        <v>0.53825451749325293</v>
      </c>
      <c r="J185" s="70">
        <v>5.0785113748763377</v>
      </c>
    </row>
    <row r="186" spans="1:10" ht="12.6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</row>
    <row r="187" spans="1:10" ht="12.95" customHeight="1">
      <c r="A187" s="69">
        <v>2010</v>
      </c>
      <c r="B187" s="70"/>
      <c r="C187" s="70"/>
      <c r="D187" s="70"/>
      <c r="E187" s="70"/>
      <c r="F187" s="70"/>
      <c r="G187" s="70"/>
      <c r="H187" s="70"/>
      <c r="I187" s="70"/>
      <c r="J187" s="70"/>
    </row>
    <row r="188" spans="1:10" ht="12.95" customHeight="1">
      <c r="A188" s="69" t="s">
        <v>3</v>
      </c>
      <c r="B188" s="70">
        <v>70.186091447093304</v>
      </c>
      <c r="C188" s="70">
        <v>1.3128508480714673</v>
      </c>
      <c r="D188" s="70">
        <v>1.3128508480714673</v>
      </c>
      <c r="E188" s="70">
        <v>71.066594502001578</v>
      </c>
      <c r="F188" s="70">
        <v>1.3177477365744927</v>
      </c>
      <c r="G188" s="70">
        <v>1.3177477365744927</v>
      </c>
      <c r="H188" s="70">
        <v>69.383738145055858</v>
      </c>
      <c r="I188" s="70">
        <v>1.3090160317693833</v>
      </c>
      <c r="J188" s="70">
        <v>1.3090160317693833</v>
      </c>
    </row>
    <row r="189" spans="1:10" ht="12.95" customHeight="1">
      <c r="A189" s="69" t="s">
        <v>4</v>
      </c>
      <c r="B189" s="70">
        <v>70.284359083841892</v>
      </c>
      <c r="C189" s="70">
        <v>0.14001012839226501</v>
      </c>
      <c r="D189" s="70">
        <v>1.4546991006217258</v>
      </c>
      <c r="E189" s="70">
        <v>71.003524720792839</v>
      </c>
      <c r="F189" s="70">
        <v>-8.8747437035219257E-2</v>
      </c>
      <c r="G189" s="70">
        <v>1.2278308321964637</v>
      </c>
      <c r="H189" s="70">
        <v>69.623478703687141</v>
      </c>
      <c r="I189" s="70">
        <v>0.34552845528454945</v>
      </c>
      <c r="J189" s="70">
        <v>1.6590675099279251</v>
      </c>
    </row>
    <row r="190" spans="1:10" ht="12.95" customHeight="1">
      <c r="A190" s="69" t="s">
        <v>5</v>
      </c>
      <c r="B190" s="70">
        <v>70.888600509806622</v>
      </c>
      <c r="C190" s="70">
        <v>0.85970966206567745</v>
      </c>
      <c r="D190" s="70">
        <v>2.3269149514094423</v>
      </c>
      <c r="E190" s="70">
        <v>71.845180076923285</v>
      </c>
      <c r="F190" s="70">
        <v>1.1853712325410326</v>
      </c>
      <c r="G190" s="70">
        <v>2.427756418206628</v>
      </c>
      <c r="H190" s="70">
        <v>70.014316253052442</v>
      </c>
      <c r="I190" s="70">
        <v>0.5613588356144561</v>
      </c>
      <c r="J190" s="70">
        <v>2.2297396675981851</v>
      </c>
    </row>
    <row r="191" spans="1:10" ht="12.95" customHeight="1">
      <c r="A191" s="69" t="s">
        <v>6</v>
      </c>
      <c r="B191" s="70">
        <v>71.141587404414693</v>
      </c>
      <c r="C191" s="70">
        <v>0.35687951629552739</v>
      </c>
      <c r="D191" s="70">
        <v>2.6920987505281602</v>
      </c>
      <c r="E191" s="70">
        <v>72.212724663967336</v>
      </c>
      <c r="F191" s="70">
        <v>0.51157862872710513</v>
      </c>
      <c r="G191" s="70">
        <v>2.9517549299268531</v>
      </c>
      <c r="H191" s="70">
        <v>70.165413243786446</v>
      </c>
      <c r="I191" s="70">
        <v>0.21580870716195744</v>
      </c>
      <c r="J191" s="70">
        <v>2.4503603471098812</v>
      </c>
    </row>
    <row r="192" spans="1:10" ht="12.95" customHeight="1">
      <c r="A192" s="69" t="s">
        <v>7</v>
      </c>
      <c r="B192" s="70">
        <v>71.384120295113334</v>
      </c>
      <c r="C192" s="70">
        <v>0.34091577029329301</v>
      </c>
      <c r="D192" s="70">
        <v>3.0421923100138804</v>
      </c>
      <c r="E192" s="70">
        <v>72.482402349135739</v>
      </c>
      <c r="F192" s="70">
        <v>0.3734489820503395</v>
      </c>
      <c r="G192" s="70">
        <v>3.3362272107156254</v>
      </c>
      <c r="H192" s="70">
        <v>70.385007536986535</v>
      </c>
      <c r="I192" s="70">
        <v>0.31296657861490385</v>
      </c>
      <c r="J192" s="70">
        <v>2.770995734666859</v>
      </c>
    </row>
    <row r="193" spans="1:10" ht="12.95" customHeight="1">
      <c r="A193" s="69" t="s">
        <v>8</v>
      </c>
      <c r="B193" s="70">
        <v>71.262853849764014</v>
      </c>
      <c r="C193" s="70">
        <v>-0.16987874172572637</v>
      </c>
      <c r="D193" s="70">
        <v>2.8671455302710314</v>
      </c>
      <c r="E193" s="70">
        <v>71.987147979604103</v>
      </c>
      <c r="F193" s="70">
        <v>-0.68327532405186853</v>
      </c>
      <c r="G193" s="70">
        <v>2.6301562693786362</v>
      </c>
      <c r="H193" s="70">
        <v>70.599847311544863</v>
      </c>
      <c r="I193" s="70">
        <v>0.30523513753326625</v>
      </c>
      <c r="J193" s="70">
        <v>3.0846889248419052</v>
      </c>
    </row>
    <row r="194" spans="1:10" ht="12.95" customHeight="1">
      <c r="A194" s="69" t="s">
        <v>9</v>
      </c>
      <c r="B194" s="70">
        <v>71.50747754124454</v>
      </c>
      <c r="C194" s="70">
        <v>0.34326956929937591</v>
      </c>
      <c r="D194" s="70">
        <v>3.2202571376833466</v>
      </c>
      <c r="E194" s="70">
        <v>72.267095165009351</v>
      </c>
      <c r="F194" s="70">
        <v>0.38888495135904755</v>
      </c>
      <c r="G194" s="70">
        <v>3.0292695026665095</v>
      </c>
      <c r="H194" s="70">
        <v>70.812108364128008</v>
      </c>
      <c r="I194" s="70">
        <v>0.30065369921619123</v>
      </c>
      <c r="J194" s="70">
        <v>3.3946168554199296</v>
      </c>
    </row>
    <row r="195" spans="1:10" ht="12.95" customHeight="1">
      <c r="A195" s="69" t="s">
        <v>10</v>
      </c>
      <c r="B195" s="70">
        <v>71.664287599885895</v>
      </c>
      <c r="C195" s="70">
        <v>0.21929183357209947</v>
      </c>
      <c r="D195" s="70">
        <v>3.4466107321784234</v>
      </c>
      <c r="E195" s="70">
        <v>72.125731862300086</v>
      </c>
      <c r="F195" s="70">
        <v>-0.19561226639384088</v>
      </c>
      <c r="G195" s="70">
        <v>2.8277316135433272</v>
      </c>
      <c r="H195" s="70">
        <v>71.237194564726337</v>
      </c>
      <c r="I195" s="70">
        <v>0.60030157330221989</v>
      </c>
      <c r="J195" s="70">
        <v>4.0152963671128195</v>
      </c>
    </row>
    <row r="196" spans="1:10" ht="12.95" customHeight="1">
      <c r="A196" s="69" t="s">
        <v>11</v>
      </c>
      <c r="B196" s="70">
        <v>72.216259006303517</v>
      </c>
      <c r="C196" s="70">
        <v>0.77021822849809851</v>
      </c>
      <c r="D196" s="70">
        <v>4.2433753848011291</v>
      </c>
      <c r="E196" s="70">
        <v>72.236647684425805</v>
      </c>
      <c r="F196" s="70">
        <v>0.15378120853937194</v>
      </c>
      <c r="G196" s="70">
        <v>2.9858613419322833</v>
      </c>
      <c r="H196" s="70">
        <v>72.186083666535907</v>
      </c>
      <c r="I196" s="70">
        <v>1.3320135746606399</v>
      </c>
      <c r="J196" s="70">
        <v>5.4007942344462601</v>
      </c>
    </row>
    <row r="197" spans="1:10" ht="12.95" customHeight="1">
      <c r="A197" s="69" t="s">
        <v>12</v>
      </c>
      <c r="B197" s="70">
        <v>72.703415588482699</v>
      </c>
      <c r="C197" s="70">
        <v>0.67458019687320903</v>
      </c>
      <c r="D197" s="70">
        <v>4.9465805516991868</v>
      </c>
      <c r="E197" s="70">
        <v>73.030456999639284</v>
      </c>
      <c r="F197" s="70">
        <v>1.0989010989011172</v>
      </c>
      <c r="G197" s="70">
        <v>4.1175741039315428</v>
      </c>
      <c r="H197" s="70">
        <v>72.401648706649752</v>
      </c>
      <c r="I197" s="70">
        <v>0.29862409645278198</v>
      </c>
      <c r="J197" s="70">
        <v>5.7155464038829429</v>
      </c>
    </row>
    <row r="198" spans="1:10" ht="12.95" customHeight="1">
      <c r="A198" s="69" t="s">
        <v>13</v>
      </c>
      <c r="B198" s="70">
        <v>72.929222072926251</v>
      </c>
      <c r="C198" s="70">
        <v>0.31058579932703445</v>
      </c>
      <c r="D198" s="70">
        <v>5.2725297277720795</v>
      </c>
      <c r="E198" s="70">
        <v>73.421924607141818</v>
      </c>
      <c r="F198" s="70">
        <v>0.53603335318641587</v>
      </c>
      <c r="G198" s="70">
        <v>4.675679027657198</v>
      </c>
      <c r="H198" s="70">
        <v>72.476189888745196</v>
      </c>
      <c r="I198" s="70">
        <v>0.10295508932050002</v>
      </c>
      <c r="J198" s="70">
        <v>5.8243859391087005</v>
      </c>
    </row>
    <row r="199" spans="1:10" ht="12.95" customHeight="1">
      <c r="A199" s="69" t="s">
        <v>14</v>
      </c>
      <c r="B199" s="70">
        <v>73.598278323129406</v>
      </c>
      <c r="C199" s="70">
        <v>0.91740489091483024</v>
      </c>
      <c r="D199" s="70">
        <v>6.2383050642844218</v>
      </c>
      <c r="E199" s="70">
        <v>73.935182136978455</v>
      </c>
      <c r="F199" s="70">
        <v>0.69905213270140543</v>
      </c>
      <c r="G199" s="70">
        <v>5.4074165943197139</v>
      </c>
      <c r="H199" s="70">
        <v>73.286069759079467</v>
      </c>
      <c r="I199" s="70">
        <v>1.117442668519808</v>
      </c>
      <c r="J199" s="70">
        <v>7.0069127812913745</v>
      </c>
    </row>
    <row r="200" spans="1:10" ht="12.6" customHeight="1">
      <c r="A200" s="69"/>
      <c r="B200" s="70"/>
      <c r="C200" s="70"/>
      <c r="D200" s="70"/>
      <c r="E200" s="70"/>
      <c r="F200" s="70"/>
      <c r="G200" s="70"/>
      <c r="H200" s="70"/>
      <c r="I200" s="70"/>
      <c r="J200" s="70"/>
    </row>
    <row r="201" spans="1:10" ht="12.95" customHeight="1">
      <c r="A201" s="69">
        <v>2011</v>
      </c>
      <c r="B201" s="70"/>
      <c r="C201" s="70"/>
      <c r="D201" s="70"/>
      <c r="E201" s="70"/>
      <c r="F201" s="70"/>
      <c r="G201" s="70"/>
      <c r="H201" s="70"/>
      <c r="I201" s="70"/>
      <c r="J201" s="70"/>
    </row>
    <row r="202" spans="1:10" ht="12.95" customHeight="1">
      <c r="A202" s="69" t="s">
        <v>3</v>
      </c>
      <c r="B202" s="70">
        <v>74.513840905469138</v>
      </c>
      <c r="C202" s="70">
        <v>1.2440000000000007</v>
      </c>
      <c r="D202" s="70">
        <v>1.2440000000000007</v>
      </c>
      <c r="E202" s="70">
        <v>75.018554360831601</v>
      </c>
      <c r="F202" s="70">
        <v>1.4653000000000027</v>
      </c>
      <c r="G202" s="70">
        <v>1.4653000000000027</v>
      </c>
      <c r="H202" s="70">
        <v>74.013727145717368</v>
      </c>
      <c r="I202" s="70">
        <v>0.99290000000000767</v>
      </c>
      <c r="J202" s="70">
        <v>0.99290000000000767</v>
      </c>
    </row>
    <row r="203" spans="1:10" ht="12.95" customHeight="1">
      <c r="A203" s="69" t="s">
        <v>4</v>
      </c>
      <c r="B203" s="70">
        <v>75.409531952661624</v>
      </c>
      <c r="C203" s="70">
        <v>1.2020465410296</v>
      </c>
      <c r="D203" s="70">
        <v>2.4610000000000021</v>
      </c>
      <c r="E203" s="70">
        <v>75.926626267837975</v>
      </c>
      <c r="F203" s="70">
        <v>1.2104630844239406</v>
      </c>
      <c r="G203" s="70">
        <v>2.6935000000000153</v>
      </c>
      <c r="H203" s="70">
        <v>74.898216721639685</v>
      </c>
      <c r="I203" s="70">
        <v>1.1950345024253961</v>
      </c>
      <c r="J203" s="70">
        <v>2.199799999999974</v>
      </c>
    </row>
    <row r="204" spans="1:10" ht="12.95" customHeight="1">
      <c r="A204" s="69" t="s">
        <v>5</v>
      </c>
      <c r="B204" s="70">
        <v>76.280935568007479</v>
      </c>
      <c r="C204" s="70">
        <v>1.1555616283268844</v>
      </c>
      <c r="D204" s="70">
        <v>3.6450000000000093</v>
      </c>
      <c r="E204" s="70">
        <v>77.087038951477851</v>
      </c>
      <c r="F204" s="70">
        <v>1.5283343152195705</v>
      </c>
      <c r="G204" s="70">
        <v>4.2630000000000168</v>
      </c>
      <c r="H204" s="70">
        <v>75.46193317022653</v>
      </c>
      <c r="I204" s="70">
        <v>0.75264335155256212</v>
      </c>
      <c r="J204" s="70">
        <v>2.9689999999999994</v>
      </c>
    </row>
    <row r="205" spans="1:10" ht="12.95" customHeight="1">
      <c r="A205" s="69" t="s">
        <v>6</v>
      </c>
      <c r="B205" s="70">
        <v>76.947735969615039</v>
      </c>
      <c r="C205" s="70">
        <v>0.87413768150901294</v>
      </c>
      <c r="D205" s="70">
        <v>4.5510000000000161</v>
      </c>
      <c r="E205" s="70">
        <v>78.288707466750168</v>
      </c>
      <c r="F205" s="70">
        <v>1.5588463788688278</v>
      </c>
      <c r="G205" s="70">
        <v>5.8883000000000241</v>
      </c>
      <c r="H205" s="70">
        <v>75.563947379331168</v>
      </c>
      <c r="I205" s="70">
        <v>0.135186318212277</v>
      </c>
      <c r="J205" s="70">
        <v>3.1081999999999832</v>
      </c>
    </row>
    <row r="206" spans="1:10" ht="12.95" customHeight="1">
      <c r="A206" s="69" t="s">
        <v>7</v>
      </c>
      <c r="B206" s="70">
        <v>77.115540044191761</v>
      </c>
      <c r="C206" s="70">
        <v>0.21807538904456969</v>
      </c>
      <c r="D206" s="70">
        <v>4.7789999999999999</v>
      </c>
      <c r="E206" s="70">
        <v>78.54873750232592</v>
      </c>
      <c r="F206" s="70">
        <v>0.33214245577650736</v>
      </c>
      <c r="G206" s="70">
        <v>6.2400000000000233</v>
      </c>
      <c r="H206" s="70">
        <v>75.631223991370007</v>
      </c>
      <c r="I206" s="70">
        <v>8.9032686052137322E-2</v>
      </c>
      <c r="J206" s="70">
        <v>3.2000000000000028</v>
      </c>
    </row>
    <row r="207" spans="1:10" ht="12.95" customHeight="1">
      <c r="A207" s="69" t="s">
        <v>8</v>
      </c>
      <c r="B207" s="70">
        <v>77.903777605032474</v>
      </c>
      <c r="C207" s="70">
        <v>1.0221513852966657</v>
      </c>
      <c r="D207" s="70">
        <v>5.85</v>
      </c>
      <c r="E207" s="70">
        <v>79.246094140241894</v>
      </c>
      <c r="F207" s="70">
        <v>0.88780120481926073</v>
      </c>
      <c r="G207" s="70">
        <v>7.1832000000000118</v>
      </c>
      <c r="H207" s="70">
        <v>76.510803400618471</v>
      </c>
      <c r="I207" s="70">
        <v>1.1629844961240199</v>
      </c>
      <c r="J207" s="70">
        <v>4.4001999999999875</v>
      </c>
    </row>
    <row r="208" spans="1:10" ht="12.95" customHeight="1">
      <c r="A208" s="69" t="s">
        <v>9</v>
      </c>
      <c r="B208" s="70">
        <v>78.566191549251982</v>
      </c>
      <c r="C208" s="70">
        <v>0.8502975909305821</v>
      </c>
      <c r="D208" s="70">
        <v>6.7500400000000127</v>
      </c>
      <c r="E208" s="70">
        <v>79.863896522178493</v>
      </c>
      <c r="F208" s="70">
        <v>0.779599788026486</v>
      </c>
      <c r="G208" s="70">
        <v>8.0188000000000148</v>
      </c>
      <c r="H208" s="70">
        <v>77.228933598187695</v>
      </c>
      <c r="I208" s="70">
        <v>0.93859973448326972</v>
      </c>
      <c r="J208" s="70">
        <v>5.3800999999999988</v>
      </c>
    </row>
    <row r="209" spans="1:10" ht="12.95" customHeight="1">
      <c r="A209" s="69" t="s">
        <v>10</v>
      </c>
      <c r="B209" s="70">
        <v>78.956232985053234</v>
      </c>
      <c r="C209" s="70">
        <v>0.49644946268871948</v>
      </c>
      <c r="D209" s="70">
        <v>7.2800000000000198</v>
      </c>
      <c r="E209" s="70">
        <v>80.069806004429978</v>
      </c>
      <c r="F209" s="70">
        <v>0.25782548963699803</v>
      </c>
      <c r="G209" s="70">
        <v>8.2973000000000177</v>
      </c>
      <c r="H209" s="70">
        <v>77.811777710981659</v>
      </c>
      <c r="I209" s="70">
        <v>0.75469656984574751</v>
      </c>
      <c r="J209" s="70">
        <v>6.1753999999999865</v>
      </c>
    </row>
    <row r="210" spans="1:10" ht="12.95" customHeight="1">
      <c r="A210" s="69" t="s">
        <v>11</v>
      </c>
      <c r="B210" s="70">
        <v>79.124773042413196</v>
      </c>
      <c r="C210" s="70">
        <v>0.21346010439968754</v>
      </c>
      <c r="D210" s="70">
        <v>7.5090000000000101</v>
      </c>
      <c r="E210" s="70">
        <v>80.049695634888721</v>
      </c>
      <c r="F210" s="70">
        <v>-2.5116046291084881E-2</v>
      </c>
      <c r="G210" s="70">
        <v>8.2701000000000136</v>
      </c>
      <c r="H210" s="70">
        <v>78.174910186637902</v>
      </c>
      <c r="I210" s="70">
        <v>0.46668060586538829</v>
      </c>
      <c r="J210" s="70">
        <v>6.6709000000000129</v>
      </c>
    </row>
    <row r="211" spans="1:10" ht="12.95" customHeight="1">
      <c r="A211" s="69" t="s">
        <v>12</v>
      </c>
      <c r="B211" s="70">
        <v>79.1492812690948</v>
      </c>
      <c r="C211" s="70">
        <v>3.0974151001306183E-2</v>
      </c>
      <c r="D211" s="70">
        <v>7.5423000000000018</v>
      </c>
      <c r="E211" s="70">
        <v>79.950548555643024</v>
      </c>
      <c r="F211" s="70">
        <v>-0.1238569097100739</v>
      </c>
      <c r="G211" s="70">
        <v>8.1360000000000099</v>
      </c>
      <c r="H211" s="70">
        <v>78.328884219201726</v>
      </c>
      <c r="I211" s="70">
        <v>0.19696093311296625</v>
      </c>
      <c r="J211" s="70">
        <v>6.8810000000000038</v>
      </c>
    </row>
    <row r="212" spans="1:10" ht="12.95" customHeight="1">
      <c r="A212" s="69" t="s">
        <v>13</v>
      </c>
      <c r="B212" s="70">
        <v>79.220450804233266</v>
      </c>
      <c r="C212" s="70">
        <v>8.9918106642694617E-2</v>
      </c>
      <c r="D212" s="70">
        <v>7.6389999999999958</v>
      </c>
      <c r="E212" s="70">
        <v>80.266991135189286</v>
      </c>
      <c r="F212" s="70">
        <v>0.39579788414587647</v>
      </c>
      <c r="G212" s="70">
        <v>8.563999999999993</v>
      </c>
      <c r="H212" s="70">
        <v>78.147134766199201</v>
      </c>
      <c r="I212" s="70">
        <v>-0.23203375716919217</v>
      </c>
      <c r="J212" s="70">
        <v>6.633</v>
      </c>
    </row>
    <row r="213" spans="1:10" ht="12.95" customHeight="1">
      <c r="A213" s="69" t="s">
        <v>14</v>
      </c>
      <c r="B213" s="70">
        <v>79.309504721004259</v>
      </c>
      <c r="C213" s="70">
        <v>0.1124127871868108</v>
      </c>
      <c r="D213" s="70">
        <v>7.7600000000000113</v>
      </c>
      <c r="E213" s="70">
        <v>79.990473553996992</v>
      </c>
      <c r="F213" s="70">
        <v>-0.34449725507533779</v>
      </c>
      <c r="G213" s="70">
        <v>8.1900000000000084</v>
      </c>
      <c r="H213" s="70">
        <v>78.628624244516359</v>
      </c>
      <c r="I213" s="70">
        <v>0.61613196665197822</v>
      </c>
      <c r="J213" s="70">
        <v>7.2899999999999965</v>
      </c>
    </row>
    <row r="214" spans="1:10" ht="12.6" customHeight="1">
      <c r="A214" s="69"/>
      <c r="B214" s="70"/>
      <c r="C214" s="70"/>
      <c r="D214" s="70"/>
      <c r="E214" s="70"/>
      <c r="F214" s="70"/>
      <c r="G214" s="70"/>
      <c r="H214" s="70"/>
      <c r="I214" s="70"/>
      <c r="J214" s="70"/>
    </row>
    <row r="215" spans="1:10" ht="12.95" customHeight="1">
      <c r="A215" s="69">
        <v>2012</v>
      </c>
      <c r="B215" s="70"/>
      <c r="C215" s="70"/>
      <c r="D215" s="70"/>
      <c r="E215" s="70"/>
      <c r="F215" s="70"/>
      <c r="G215" s="70"/>
      <c r="H215" s="70"/>
      <c r="I215" s="70"/>
      <c r="J215" s="70"/>
    </row>
    <row r="216" spans="1:10" ht="12.95" customHeight="1">
      <c r="A216" s="69" t="s">
        <v>3</v>
      </c>
      <c r="B216" s="70">
        <v>79.655416629122968</v>
      </c>
      <c r="C216" s="70">
        <v>0.4361544172234666</v>
      </c>
      <c r="D216" s="70">
        <v>0.4361544172234666</v>
      </c>
      <c r="E216" s="70">
        <v>80.382330019322978</v>
      </c>
      <c r="F216" s="70">
        <v>0.48987891672058748</v>
      </c>
      <c r="G216" s="70">
        <v>0.48987891672058748</v>
      </c>
      <c r="H216" s="70">
        <v>78.921768523552672</v>
      </c>
      <c r="I216" s="70">
        <v>0.37282132537981294</v>
      </c>
      <c r="J216" s="70">
        <v>0.37282132537981294</v>
      </c>
    </row>
    <row r="217" spans="1:10" ht="12.95" customHeight="1">
      <c r="A217" s="69" t="s">
        <v>4</v>
      </c>
      <c r="B217" s="70">
        <v>79.935090086750861</v>
      </c>
      <c r="C217" s="70">
        <v>0.35110413009331598</v>
      </c>
      <c r="D217" s="70">
        <v>0.78878990348922873</v>
      </c>
      <c r="E217" s="70">
        <v>80.788973521076358</v>
      </c>
      <c r="F217" s="70">
        <v>0.50588668138336068</v>
      </c>
      <c r="G217" s="70">
        <v>0.99824383029853969</v>
      </c>
      <c r="H217" s="70">
        <v>79.075669270046745</v>
      </c>
      <c r="I217" s="70">
        <v>0.19500417866098463</v>
      </c>
      <c r="J217" s="70">
        <v>0.56855252120422417</v>
      </c>
    </row>
    <row r="218" spans="1:10" ht="12.95" customHeight="1">
      <c r="A218" s="69" t="s">
        <v>5</v>
      </c>
      <c r="B218" s="70">
        <v>80.052847332067856</v>
      </c>
      <c r="C218" s="70">
        <v>0.14731608507503324</v>
      </c>
      <c r="D218" s="70">
        <v>0.93726800296953794</v>
      </c>
      <c r="E218" s="70">
        <v>81.040353140342091</v>
      </c>
      <c r="F218" s="70">
        <v>0.3111558524755198</v>
      </c>
      <c r="G218" s="70">
        <v>1.3125057768740289</v>
      </c>
      <c r="H218" s="70">
        <v>79.053683449119021</v>
      </c>
      <c r="I218" s="70">
        <v>-2.780352177942369E-2</v>
      </c>
      <c r="J218" s="70">
        <v>0.54059092180072099</v>
      </c>
    </row>
    <row r="219" spans="1:10" ht="12.95" customHeight="1">
      <c r="A219" s="69" t="s">
        <v>6</v>
      </c>
      <c r="B219" s="70">
        <v>80.060207159900173</v>
      </c>
      <c r="C219" s="70">
        <v>9.1937115013429604E-3</v>
      </c>
      <c r="D219" s="70">
        <v>0.94654788418706559</v>
      </c>
      <c r="E219" s="70">
        <v>81.20301054104344</v>
      </c>
      <c r="F219" s="70">
        <v>0.20071161390382564</v>
      </c>
      <c r="G219" s="70">
        <v>1.5158517423051965</v>
      </c>
      <c r="H219" s="70">
        <v>78.877796881697222</v>
      </c>
      <c r="I219" s="70">
        <v>-0.2224900343005598</v>
      </c>
      <c r="J219" s="70">
        <v>0.31689812657282879</v>
      </c>
    </row>
    <row r="220" spans="1:10" ht="12.95" customHeight="1">
      <c r="A220" s="69" t="s">
        <v>7</v>
      </c>
      <c r="B220" s="70">
        <v>79.846772152763094</v>
      </c>
      <c r="C220" s="70">
        <v>-0.26659312373598087</v>
      </c>
      <c r="D220" s="70">
        <v>0.67743132887898572</v>
      </c>
      <c r="E220" s="70">
        <v>81.055140176769484</v>
      </c>
      <c r="F220" s="70">
        <v>-0.18209960848584172</v>
      </c>
      <c r="G220" s="70">
        <v>1.3309917737313937</v>
      </c>
      <c r="H220" s="70">
        <v>78.606638423588635</v>
      </c>
      <c r="I220" s="70">
        <v>-0.34377032425902954</v>
      </c>
      <c r="J220" s="70">
        <v>-2.7961599403492077E-2</v>
      </c>
    </row>
    <row r="221" spans="1:10" ht="12.95" customHeight="1">
      <c r="A221" s="69" t="s">
        <v>8</v>
      </c>
      <c r="B221" s="70">
        <v>80.016048192906297</v>
      </c>
      <c r="C221" s="70">
        <v>0.2120011060927407</v>
      </c>
      <c r="D221" s="70">
        <v>0.89086859688194409</v>
      </c>
      <c r="E221" s="70">
        <v>80.759399448221572</v>
      </c>
      <c r="F221" s="70">
        <v>-0.36486363221746032</v>
      </c>
      <c r="G221" s="70">
        <v>0.96127183658378801</v>
      </c>
      <c r="H221" s="70">
        <v>79.280870265372172</v>
      </c>
      <c r="I221" s="70">
        <v>0.85772888308783823</v>
      </c>
      <c r="J221" s="70">
        <v>0.82952744897009101</v>
      </c>
    </row>
    <row r="222" spans="1:10" ht="12.95" customHeight="1">
      <c r="A222" s="69" t="s">
        <v>9</v>
      </c>
      <c r="B222" s="70">
        <v>79.854131980595412</v>
      </c>
      <c r="C222" s="70">
        <v>-0.20235467255335093</v>
      </c>
      <c r="D222" s="70">
        <v>0.68671121009651337</v>
      </c>
      <c r="E222" s="70">
        <v>80.278820764331215</v>
      </c>
      <c r="F222" s="70">
        <v>-0.59507461320149613</v>
      </c>
      <c r="G222" s="70">
        <v>0.36047693871892328</v>
      </c>
      <c r="H222" s="70">
        <v>79.442099618842136</v>
      </c>
      <c r="I222" s="70">
        <v>0.20336476243296708</v>
      </c>
      <c r="J222" s="70">
        <v>1.0345791779289737</v>
      </c>
    </row>
    <row r="223" spans="1:10" ht="12.95" customHeight="1">
      <c r="A223" s="69" t="s">
        <v>10</v>
      </c>
      <c r="B223" s="70">
        <v>80.663713042149837</v>
      </c>
      <c r="C223" s="70">
        <v>1.0138248847926246</v>
      </c>
      <c r="D223" s="70">
        <v>1.7074981440237558</v>
      </c>
      <c r="E223" s="70">
        <v>80.870302221427039</v>
      </c>
      <c r="F223" s="70">
        <v>0.73678393811014153</v>
      </c>
      <c r="G223" s="70">
        <v>1.0999168130141568</v>
      </c>
      <c r="H223" s="70">
        <v>80.482761809421064</v>
      </c>
      <c r="I223" s="70">
        <v>1.3099630996310063</v>
      </c>
      <c r="J223" s="70">
        <v>2.3580948830272952</v>
      </c>
    </row>
    <row r="224" spans="1:10" ht="12.95" customHeight="1">
      <c r="A224" s="69" t="s">
        <v>11</v>
      </c>
      <c r="B224" s="70">
        <v>81.186260818244051</v>
      </c>
      <c r="C224" s="70">
        <v>0.64781021897810653</v>
      </c>
      <c r="D224" s="70">
        <v>2.3663697104676862</v>
      </c>
      <c r="E224" s="70">
        <v>81.536599179860048</v>
      </c>
      <c r="F224" s="70">
        <v>0.82390808508252533</v>
      </c>
      <c r="G224" s="70">
        <v>1.9328872016482812</v>
      </c>
      <c r="H224" s="70">
        <v>80.850657779202919</v>
      </c>
      <c r="I224" s="70">
        <v>0.4571115124665015</v>
      </c>
      <c r="J224" s="70">
        <v>2.8259855186790084</v>
      </c>
    </row>
    <row r="225" spans="1:10" ht="12.95" customHeight="1">
      <c r="A225" s="69" t="s">
        <v>12</v>
      </c>
      <c r="B225" s="70">
        <v>81.377616341884192</v>
      </c>
      <c r="C225" s="70">
        <v>0.23569939262080286</v>
      </c>
      <c r="D225" s="70">
        <v>2.6076466221232275</v>
      </c>
      <c r="E225" s="70">
        <v>81.690982743147501</v>
      </c>
      <c r="F225" s="70">
        <v>0.18934265696672892</v>
      </c>
      <c r="G225" s="70">
        <v>2.1258896385987658</v>
      </c>
      <c r="H225" s="70">
        <v>81.091036188421427</v>
      </c>
      <c r="I225" s="70">
        <v>0.29731163087747259</v>
      </c>
      <c r="J225" s="70">
        <v>3.1316991331904243</v>
      </c>
    </row>
    <row r="226" spans="1:10" ht="12.95" customHeight="1">
      <c r="A226" s="69" t="s">
        <v>13</v>
      </c>
      <c r="B226" s="70">
        <v>81.892804290146088</v>
      </c>
      <c r="C226" s="70">
        <v>0.63308311476890644</v>
      </c>
      <c r="D226" s="70">
        <v>3.2572383073496525</v>
      </c>
      <c r="E226" s="70">
        <v>82.452515119158377</v>
      </c>
      <c r="F226" s="70">
        <v>0.9322110598244171</v>
      </c>
      <c r="G226" s="70">
        <v>3.0779184767538714</v>
      </c>
      <c r="H226" s="70">
        <v>81.347537432578207</v>
      </c>
      <c r="I226" s="70">
        <v>0.31631269769543113</v>
      </c>
      <c r="J226" s="70">
        <v>3.4579177928977467</v>
      </c>
    </row>
    <row r="227" spans="1:10" ht="12.95" customHeight="1">
      <c r="A227" s="69" t="s">
        <v>14</v>
      </c>
      <c r="B227" s="70">
        <v>82.407992238407999</v>
      </c>
      <c r="C227" s="70">
        <v>0.62910038644738986</v>
      </c>
      <c r="D227" s="70">
        <v>3.9068299925760774</v>
      </c>
      <c r="E227" s="70">
        <v>83.154899349459669</v>
      </c>
      <c r="F227" s="70">
        <v>0.8518651362984242</v>
      </c>
      <c r="G227" s="70">
        <v>3.9560033274794293</v>
      </c>
      <c r="H227" s="70">
        <v>81.669996139518148</v>
      </c>
      <c r="I227" s="70">
        <v>0.39639639639639235</v>
      </c>
      <c r="J227" s="70">
        <v>3.8680212508155343</v>
      </c>
    </row>
    <row r="228" spans="1:10" ht="12.6" customHeight="1">
      <c r="A228" s="69"/>
      <c r="B228" s="70"/>
      <c r="C228" s="70"/>
      <c r="D228" s="70"/>
      <c r="E228" s="70"/>
      <c r="F228" s="70"/>
      <c r="G228" s="70"/>
      <c r="H228" s="70"/>
      <c r="I228" s="70"/>
      <c r="J228" s="70"/>
    </row>
    <row r="229" spans="1:10" ht="12.95" customHeight="1">
      <c r="A229" s="69">
        <v>2013</v>
      </c>
      <c r="B229" s="70"/>
      <c r="C229" s="70"/>
      <c r="D229" s="70"/>
      <c r="E229" s="70"/>
      <c r="F229" s="70"/>
      <c r="G229" s="70"/>
      <c r="H229" s="70"/>
      <c r="I229" s="70"/>
      <c r="J229" s="70"/>
    </row>
    <row r="230" spans="1:10" ht="12.95" customHeight="1">
      <c r="A230" s="69" t="s">
        <v>3</v>
      </c>
      <c r="B230" s="70">
        <v>83.445727962764124</v>
      </c>
      <c r="C230" s="70">
        <v>1.2592658747878849</v>
      </c>
      <c r="D230" s="70">
        <v>1.2592658747878849</v>
      </c>
      <c r="E230" s="70">
        <v>84.360042818292413</v>
      </c>
      <c r="F230" s="70">
        <v>1.4492753623188248</v>
      </c>
      <c r="G230" s="70">
        <v>1.4492753623188248</v>
      </c>
      <c r="H230" s="70">
        <v>82.534771762675291</v>
      </c>
      <c r="I230" s="70">
        <v>1.0588657573582294</v>
      </c>
      <c r="J230" s="70">
        <v>1.0588657573582294</v>
      </c>
    </row>
    <row r="231" spans="1:10" ht="12.95" customHeight="1">
      <c r="A231" s="69" t="s">
        <v>4</v>
      </c>
      <c r="B231" s="70">
        <v>83.718041592559715</v>
      </c>
      <c r="C231" s="70">
        <v>0.32633621449993377</v>
      </c>
      <c r="D231" s="70">
        <v>1.5897115298740827</v>
      </c>
      <c r="E231" s="70">
        <v>84.884982611464977</v>
      </c>
      <c r="F231" s="70">
        <v>0.62226117440842277</v>
      </c>
      <c r="G231" s="70">
        <v>2.0805548146172415</v>
      </c>
      <c r="H231" s="70">
        <v>82.534771762675291</v>
      </c>
      <c r="I231" s="70">
        <v>0</v>
      </c>
      <c r="J231" s="70">
        <v>1.0588657573582294</v>
      </c>
    </row>
    <row r="232" spans="1:10" ht="12.95" customHeight="1">
      <c r="A232" s="69" t="s">
        <v>5</v>
      </c>
      <c r="B232" s="70">
        <v>84.034514189349167</v>
      </c>
      <c r="C232" s="70">
        <v>0.37802197802196957</v>
      </c>
      <c r="D232" s="70">
        <v>1.9737429668661433</v>
      </c>
      <c r="E232" s="70">
        <v>85.276839076790964</v>
      </c>
      <c r="F232" s="70">
        <v>0.4616322619980906</v>
      </c>
      <c r="G232" s="70">
        <v>2.5517915888681575</v>
      </c>
      <c r="H232" s="70">
        <v>82.769287185904346</v>
      </c>
      <c r="I232" s="70">
        <v>0.28414136032677284</v>
      </c>
      <c r="J232" s="70">
        <v>1.3460157932519756</v>
      </c>
    </row>
    <row r="233" spans="1:10" ht="12.95" customHeight="1">
      <c r="A233" s="69" t="s">
        <v>6</v>
      </c>
      <c r="B233" s="70">
        <v>83.982995394522973</v>
      </c>
      <c r="C233" s="70">
        <v>-6.1306708705555213E-2</v>
      </c>
      <c r="D233" s="70">
        <v>1.9112262213092812</v>
      </c>
      <c r="E233" s="70">
        <v>85.099394639662208</v>
      </c>
      <c r="F233" s="70">
        <v>-0.20808045777701567</v>
      </c>
      <c r="G233" s="70">
        <v>2.3384013514715196</v>
      </c>
      <c r="H233" s="70">
        <v>82.849901862639328</v>
      </c>
      <c r="I233" s="70">
        <v>9.7396847883834958E-2</v>
      </c>
      <c r="J233" s="70">
        <v>1.4447236180904488</v>
      </c>
    </row>
    <row r="234" spans="1:10" ht="12.95" customHeight="1">
      <c r="A234" s="69" t="s">
        <v>7</v>
      </c>
      <c r="B234" s="70">
        <v>83.828439010044406</v>
      </c>
      <c r="C234" s="70">
        <v>-0.18403295066163894</v>
      </c>
      <c r="D234" s="70">
        <v>1.7236759846387617</v>
      </c>
      <c r="E234" s="70">
        <v>84.759292801832103</v>
      </c>
      <c r="F234" s="70">
        <v>-0.39965247610773691</v>
      </c>
      <c r="G234" s="70">
        <v>1.9294033964612822</v>
      </c>
      <c r="H234" s="70">
        <v>82.886544897518874</v>
      </c>
      <c r="I234" s="70">
        <v>4.4228217602837461E-2</v>
      </c>
      <c r="J234" s="70">
        <v>1.4895908111988598</v>
      </c>
    </row>
    <row r="235" spans="1:10" ht="12.95" customHeight="1">
      <c r="A235" s="69" t="s">
        <v>8</v>
      </c>
      <c r="B235" s="70">
        <v>83.857878321373647</v>
      </c>
      <c r="C235" s="70">
        <v>3.5118525021937685E-2</v>
      </c>
      <c r="D235" s="70">
        <v>1.759399839242648</v>
      </c>
      <c r="E235" s="70">
        <v>84.944130757174548</v>
      </c>
      <c r="F235" s="70">
        <v>0.21807397069084633</v>
      </c>
      <c r="G235" s="70">
        <v>2.1516848937494393</v>
      </c>
      <c r="H235" s="70">
        <v>82.761958578928443</v>
      </c>
      <c r="I235" s="70">
        <v>-0.15030946065428541</v>
      </c>
      <c r="J235" s="70">
        <v>1.3370423546303023</v>
      </c>
    </row>
    <row r="236" spans="1:10" ht="12.95" customHeight="1">
      <c r="A236" s="69" t="s">
        <v>9</v>
      </c>
      <c r="B236" s="70">
        <v>84.380426097467875</v>
      </c>
      <c r="C236" s="70">
        <v>0.62313498332455808</v>
      </c>
      <c r="D236" s="70">
        <v>2.3934982584620901</v>
      </c>
      <c r="E236" s="70">
        <v>85.55039925069778</v>
      </c>
      <c r="F236" s="70">
        <v>0.7137261728610067</v>
      </c>
      <c r="G236" s="70">
        <v>2.8807682048546335</v>
      </c>
      <c r="H236" s="70">
        <v>83.187017783531104</v>
      </c>
      <c r="I236" s="70">
        <v>0.51359249092357562</v>
      </c>
      <c r="J236" s="70">
        <v>1.8575017946877326</v>
      </c>
    </row>
    <row r="237" spans="1:10" ht="12.95" customHeight="1">
      <c r="A237" s="69" t="s">
        <v>10</v>
      </c>
      <c r="B237" s="70">
        <v>84.939773012723649</v>
      </c>
      <c r="C237" s="70">
        <v>0.66288704753596495</v>
      </c>
      <c r="D237" s="70">
        <v>3.0722514959364178</v>
      </c>
      <c r="E237" s="70">
        <v>86.28975107206756</v>
      </c>
      <c r="F237" s="70">
        <v>0.86422953936564628</v>
      </c>
      <c r="G237" s="70">
        <v>3.7698941940073061</v>
      </c>
      <c r="H237" s="70">
        <v>83.560776739302398</v>
      </c>
      <c r="I237" s="70">
        <v>0.44929962117874478</v>
      </c>
      <c r="J237" s="70">
        <v>2.3151471643934052</v>
      </c>
    </row>
    <row r="238" spans="1:10" ht="12.95" customHeight="1">
      <c r="A238" s="69" t="s">
        <v>11</v>
      </c>
      <c r="B238" s="70">
        <v>85.351923371333186</v>
      </c>
      <c r="C238" s="70">
        <v>0.48522658348497671</v>
      </c>
      <c r="D238" s="70">
        <v>3.5723854603911809</v>
      </c>
      <c r="E238" s="70">
        <v>86.65942698275245</v>
      </c>
      <c r="F238" s="70">
        <v>0.42841230400136876</v>
      </c>
      <c r="G238" s="70">
        <v>4.2144571885836202</v>
      </c>
      <c r="H238" s="70">
        <v>84.022478978784605</v>
      </c>
      <c r="I238" s="70">
        <v>0.55253464304507727</v>
      </c>
      <c r="J238" s="70">
        <v>2.8804737975592243</v>
      </c>
    </row>
    <row r="239" spans="1:10" ht="12.95" customHeight="1">
      <c r="A239" s="69" t="s">
        <v>12</v>
      </c>
      <c r="B239" s="70">
        <v>85.234166126016177</v>
      </c>
      <c r="C239" s="70">
        <v>-0.13796671552988027</v>
      </c>
      <c r="D239" s="70">
        <v>3.429490041975547</v>
      </c>
      <c r="E239" s="70">
        <v>86.304538108494967</v>
      </c>
      <c r="F239" s="70">
        <v>-0.40952137189658178</v>
      </c>
      <c r="G239" s="70">
        <v>3.7876767137903666</v>
      </c>
      <c r="H239" s="70">
        <v>84.147065297375036</v>
      </c>
      <c r="I239" s="70">
        <v>0.14827736589619889</v>
      </c>
      <c r="J239" s="70">
        <v>3.0330222541277818</v>
      </c>
    </row>
    <row r="240" spans="1:10" ht="12.95" customHeight="1">
      <c r="A240" s="69" t="s">
        <v>13</v>
      </c>
      <c r="B240" s="70">
        <v>85.285684920842357</v>
      </c>
      <c r="C240" s="70">
        <v>6.0443830411860411E-2</v>
      </c>
      <c r="D240" s="70">
        <v>3.4920067875323646</v>
      </c>
      <c r="E240" s="70">
        <v>86.304538108494967</v>
      </c>
      <c r="F240" s="70">
        <v>0</v>
      </c>
      <c r="G240" s="70">
        <v>3.7876767137903666</v>
      </c>
      <c r="H240" s="70">
        <v>84.264323008989564</v>
      </c>
      <c r="I240" s="70">
        <v>0.13934854554955578</v>
      </c>
      <c r="J240" s="70">
        <v>3.176597272074666</v>
      </c>
    </row>
    <row r="241" spans="1:10" ht="12.95" customHeight="1">
      <c r="A241" s="69" t="s">
        <v>14</v>
      </c>
      <c r="B241" s="70">
        <v>85.602157517631824</v>
      </c>
      <c r="C241" s="70">
        <v>0.37107352433554119</v>
      </c>
      <c r="D241" s="70">
        <v>3.8760382245244251</v>
      </c>
      <c r="E241" s="70">
        <v>86.822084383453813</v>
      </c>
      <c r="F241" s="70">
        <v>0.59967446243467393</v>
      </c>
      <c r="G241" s="70">
        <v>4.4100649061972197</v>
      </c>
      <c r="H241" s="70">
        <v>84.359594899676367</v>
      </c>
      <c r="I241" s="70">
        <v>0.11306314141590335</v>
      </c>
      <c r="J241" s="70">
        <v>3.2932519741565081</v>
      </c>
    </row>
    <row r="242" spans="1:10" ht="12.6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</row>
    <row r="243" spans="1:10" ht="12.95" customHeight="1">
      <c r="A243" s="69">
        <v>2014</v>
      </c>
      <c r="B243" s="70"/>
      <c r="C243" s="70"/>
      <c r="D243" s="70"/>
      <c r="E243" s="70"/>
      <c r="F243" s="70"/>
      <c r="G243" s="70"/>
      <c r="H243" s="70"/>
      <c r="I243" s="70"/>
      <c r="J243" s="70"/>
    </row>
    <row r="244" spans="1:10" ht="12.95" customHeight="1">
      <c r="A244" s="69" t="s">
        <v>3</v>
      </c>
      <c r="B244" s="70">
        <v>85.800872869104268</v>
      </c>
      <c r="C244" s="70">
        <v>0.23213825122516685</v>
      </c>
      <c r="D244" s="70">
        <v>0.23213825122516685</v>
      </c>
      <c r="E244" s="70">
        <v>87.162186221283903</v>
      </c>
      <c r="F244" s="70">
        <v>0.39172272843395195</v>
      </c>
      <c r="G244" s="70">
        <v>0.39172272843395195</v>
      </c>
      <c r="H244" s="70">
        <v>84.418223755483638</v>
      </c>
      <c r="I244" s="70">
        <v>6.9498740335349751E-2</v>
      </c>
      <c r="J244" s="70">
        <v>6.9498740335349751E-2</v>
      </c>
    </row>
    <row r="245" spans="1:10" ht="12.95" customHeight="1">
      <c r="A245" s="69" t="s">
        <v>4</v>
      </c>
      <c r="B245" s="70">
        <v>86.095265982396796</v>
      </c>
      <c r="C245" s="70">
        <v>0.3431120260765308</v>
      </c>
      <c r="D245" s="70">
        <v>0.57604677155878026</v>
      </c>
      <c r="E245" s="70">
        <v>87.864570451585209</v>
      </c>
      <c r="F245" s="70">
        <v>0.80583594876582065</v>
      </c>
      <c r="G245" s="70">
        <v>1.2007153197649556</v>
      </c>
      <c r="H245" s="70">
        <v>84.271651615965467</v>
      </c>
      <c r="I245" s="70">
        <v>-0.17362618282837916</v>
      </c>
      <c r="J245" s="70">
        <v>-0.10424811050300242</v>
      </c>
    </row>
    <row r="246" spans="1:10" ht="12.95" customHeight="1">
      <c r="A246" s="69" t="s">
        <v>5</v>
      </c>
      <c r="B246" s="70">
        <v>86.544215480167878</v>
      </c>
      <c r="C246" s="70">
        <v>0.52145665925797946</v>
      </c>
      <c r="D246" s="70">
        <v>1.1005072650674963</v>
      </c>
      <c r="E246" s="70">
        <v>88.382116726544055</v>
      </c>
      <c r="F246" s="70">
        <v>0.58902726354761459</v>
      </c>
      <c r="G246" s="70">
        <v>1.7968151239035945</v>
      </c>
      <c r="H246" s="70">
        <v>84.652739178712693</v>
      </c>
      <c r="I246" s="70">
        <v>0.45221323593358509</v>
      </c>
      <c r="J246" s="70">
        <v>0.34749370167665994</v>
      </c>
    </row>
    <row r="247" spans="1:10" ht="12.95" customHeight="1">
      <c r="A247" s="69" t="s">
        <v>6</v>
      </c>
      <c r="B247" s="70">
        <v>86.912206871783525</v>
      </c>
      <c r="C247" s="70">
        <v>0.42520622501913685</v>
      </c>
      <c r="D247" s="70">
        <v>1.5303929154844687</v>
      </c>
      <c r="E247" s="70">
        <v>88.648283382237182</v>
      </c>
      <c r="F247" s="70">
        <v>0.30115442529696779</v>
      </c>
      <c r="G247" s="70">
        <v>2.1033807374606139</v>
      </c>
      <c r="H247" s="70">
        <v>85.129098632146707</v>
      </c>
      <c r="I247" s="70">
        <v>0.56272184226473509</v>
      </c>
      <c r="J247" s="70">
        <v>0.91217096690123789</v>
      </c>
    </row>
    <row r="248" spans="1:10" ht="12.95" customHeight="1">
      <c r="A248" s="69" t="s">
        <v>7</v>
      </c>
      <c r="B248" s="70">
        <v>86.926926527448146</v>
      </c>
      <c r="C248" s="70">
        <v>1.693623507492692E-2</v>
      </c>
      <c r="D248" s="70">
        <v>1.5475883415011493</v>
      </c>
      <c r="E248" s="70">
        <v>88.611315791168678</v>
      </c>
      <c r="F248" s="70">
        <v>-4.1701417848227784E-2</v>
      </c>
      <c r="G248" s="70">
        <v>2.0608021800221143</v>
      </c>
      <c r="H248" s="70">
        <v>85.187727487953964</v>
      </c>
      <c r="I248" s="70">
        <v>6.8870523415975882E-2</v>
      </c>
      <c r="J248" s="70">
        <v>0.98166970723656544</v>
      </c>
    </row>
    <row r="249" spans="1:10" ht="12.95" customHeight="1">
      <c r="A249" s="69" t="s">
        <v>8</v>
      </c>
      <c r="B249" s="70">
        <v>86.941646183112766</v>
      </c>
      <c r="C249" s="70">
        <v>1.6933367200056004E-2</v>
      </c>
      <c r="D249" s="70">
        <v>1.56478376751783</v>
      </c>
      <c r="E249" s="70">
        <v>88.773973191870027</v>
      </c>
      <c r="F249" s="70">
        <v>0.18356278681685989</v>
      </c>
      <c r="G249" s="70">
        <v>2.2481478327514015</v>
      </c>
      <c r="H249" s="70">
        <v>85.055812562387629</v>
      </c>
      <c r="I249" s="70">
        <v>-0.15485203028215988</v>
      </c>
      <c r="J249" s="70">
        <v>0.8252975414820618</v>
      </c>
    </row>
    <row r="250" spans="1:10" ht="12.95" customHeight="1">
      <c r="A250" s="69" t="s">
        <v>9</v>
      </c>
      <c r="B250" s="70">
        <v>87.258118779902233</v>
      </c>
      <c r="C250" s="70">
        <v>0.36400575637012267</v>
      </c>
      <c r="D250" s="70">
        <v>1.9344854268764422</v>
      </c>
      <c r="E250" s="70">
        <v>89.069713920417954</v>
      </c>
      <c r="F250" s="70">
        <v>0.33313900224869464</v>
      </c>
      <c r="G250" s="70">
        <v>2.5887762922592206</v>
      </c>
      <c r="H250" s="70">
        <v>85.385599876303488</v>
      </c>
      <c r="I250" s="70">
        <v>0.38773048423228484</v>
      </c>
      <c r="J250" s="70">
        <v>1.2162279558683098</v>
      </c>
    </row>
    <row r="251" spans="1:10" ht="12.95" customHeight="1">
      <c r="A251" s="69" t="s">
        <v>10</v>
      </c>
      <c r="B251" s="70">
        <v>87.596670860188624</v>
      </c>
      <c r="C251" s="70">
        <v>0.38798920377867141</v>
      </c>
      <c r="D251" s="70">
        <v>2.3299802252600754</v>
      </c>
      <c r="E251" s="70">
        <v>89.158436138982324</v>
      </c>
      <c r="F251" s="70">
        <v>9.9609861376270814E-2</v>
      </c>
      <c r="G251" s="70">
        <v>2.690964830111553</v>
      </c>
      <c r="H251" s="70">
        <v>85.993874255303837</v>
      </c>
      <c r="I251" s="70">
        <v>0.71238520298686492</v>
      </c>
      <c r="J251" s="70">
        <v>1.9372773868473692</v>
      </c>
    </row>
    <row r="252" spans="1:10" ht="12.95" customHeight="1">
      <c r="A252" s="69" t="s">
        <v>11</v>
      </c>
      <c r="B252" s="70">
        <v>87.765946900331826</v>
      </c>
      <c r="C252" s="70">
        <v>0.1932448328012093</v>
      </c>
      <c r="D252" s="70">
        <v>2.5277276244519031</v>
      </c>
      <c r="E252" s="70">
        <v>89.121468547913835</v>
      </c>
      <c r="F252" s="70">
        <v>-4.1462807861347706E-2</v>
      </c>
      <c r="G252" s="70">
        <v>2.6483862726730756</v>
      </c>
      <c r="H252" s="70">
        <v>86.382290425026966</v>
      </c>
      <c r="I252" s="70">
        <v>0.4516788818817119</v>
      </c>
      <c r="J252" s="70">
        <v>2.3977065415689447</v>
      </c>
    </row>
    <row r="253" spans="1:10" ht="12.95" customHeight="1">
      <c r="A253" s="69" t="s">
        <v>12</v>
      </c>
      <c r="B253" s="70">
        <v>87.692348622008694</v>
      </c>
      <c r="C253" s="70">
        <v>-8.3857442348012068E-2</v>
      </c>
      <c r="D253" s="70">
        <v>2.4417504943684998</v>
      </c>
      <c r="E253" s="70">
        <v>88.870088928648116</v>
      </c>
      <c r="F253" s="70">
        <v>-0.28206404513023697</v>
      </c>
      <c r="G253" s="70">
        <v>2.358852082091456</v>
      </c>
      <c r="H253" s="70">
        <v>86.499548136641494</v>
      </c>
      <c r="I253" s="70">
        <v>0.13574276745567104</v>
      </c>
      <c r="J253" s="70">
        <v>2.5367040222395998</v>
      </c>
    </row>
    <row r="254" spans="1:10" ht="12.95" customHeight="1">
      <c r="A254" s="69" t="s">
        <v>13</v>
      </c>
      <c r="B254" s="70">
        <v>87.567231548859382</v>
      </c>
      <c r="C254" s="70">
        <v>-0.14267729752411862</v>
      </c>
      <c r="D254" s="70">
        <v>2.2955893732267363</v>
      </c>
      <c r="E254" s="70">
        <v>88.44126487225364</v>
      </c>
      <c r="F254" s="70">
        <v>-0.48252911813644328</v>
      </c>
      <c r="G254" s="70">
        <v>1.8649408158051495</v>
      </c>
      <c r="H254" s="70">
        <v>86.690091918015099</v>
      </c>
      <c r="I254" s="70">
        <v>0.22028297890366311</v>
      </c>
      <c r="J254" s="70">
        <v>2.762574928329431</v>
      </c>
    </row>
    <row r="255" spans="1:10" ht="12.95" customHeight="1">
      <c r="A255" s="69" t="s">
        <v>14</v>
      </c>
      <c r="B255" s="70">
        <v>86.956365838777401</v>
      </c>
      <c r="C255" s="70">
        <v>-0.69759623466129073</v>
      </c>
      <c r="D255" s="70">
        <v>1.5819791935345107</v>
      </c>
      <c r="E255" s="70">
        <v>87.051283448078436</v>
      </c>
      <c r="F255" s="70">
        <v>-1.5716435378699267</v>
      </c>
      <c r="G255" s="70">
        <v>0.2639870561185198</v>
      </c>
      <c r="H255" s="70">
        <v>86.909950127292333</v>
      </c>
      <c r="I255" s="70">
        <v>0.25361399949277441</v>
      </c>
      <c r="J255" s="70">
        <v>3.0231952045869148</v>
      </c>
    </row>
    <row r="256" spans="1:10" ht="12.6" customHeight="1">
      <c r="A256" s="69"/>
      <c r="B256" s="70"/>
      <c r="C256" s="70"/>
      <c r="D256" s="70"/>
      <c r="E256" s="70"/>
      <c r="F256" s="70"/>
      <c r="G256" s="70"/>
      <c r="H256" s="70"/>
      <c r="I256" s="70"/>
      <c r="J256" s="70"/>
    </row>
    <row r="257" spans="1:10" ht="12.95" customHeight="1">
      <c r="A257" s="69">
        <v>2015</v>
      </c>
      <c r="B257" s="70"/>
      <c r="C257" s="70"/>
      <c r="D257" s="70"/>
      <c r="E257" s="70"/>
      <c r="F257" s="70"/>
      <c r="G257" s="70"/>
      <c r="H257" s="70"/>
      <c r="I257" s="70"/>
      <c r="J257" s="70"/>
    </row>
    <row r="258" spans="1:10" ht="12.95" customHeight="1">
      <c r="A258" s="69" t="s">
        <v>3</v>
      </c>
      <c r="B258" s="70">
        <v>86.794449626466516</v>
      </c>
      <c r="C258" s="70">
        <v>-0.18620397799407051</v>
      </c>
      <c r="D258" s="70">
        <v>-0.18620397799407051</v>
      </c>
      <c r="E258" s="70">
        <v>86.341505699563442</v>
      </c>
      <c r="F258" s="70">
        <v>-0.81535586886359868</v>
      </c>
      <c r="G258" s="70">
        <v>-0.81535586886359868</v>
      </c>
      <c r="H258" s="70">
        <v>87.320352117943187</v>
      </c>
      <c r="I258" s="70">
        <v>0.47221519521039035</v>
      </c>
      <c r="J258" s="70">
        <v>0.47221519521039035</v>
      </c>
    </row>
    <row r="259" spans="1:10" ht="12.95" customHeight="1">
      <c r="A259" s="69" t="s">
        <v>4</v>
      </c>
      <c r="B259" s="70">
        <v>86.971085494442036</v>
      </c>
      <c r="C259" s="70">
        <v>0.20351055711016475</v>
      </c>
      <c r="D259" s="70">
        <v>1.6927634363117505E-2</v>
      </c>
      <c r="E259" s="70">
        <v>86.652033464538761</v>
      </c>
      <c r="F259" s="70">
        <v>0.35965062510705526</v>
      </c>
      <c r="G259" s="70">
        <v>-0.45863767623576246</v>
      </c>
      <c r="H259" s="70">
        <v>87.356995152822719</v>
      </c>
      <c r="I259" s="70">
        <v>4.1963911036502211E-2</v>
      </c>
      <c r="J259" s="70">
        <v>0.51437726621130775</v>
      </c>
    </row>
    <row r="260" spans="1:10" ht="12.95" customHeight="1">
      <c r="A260" s="69" t="s">
        <v>5</v>
      </c>
      <c r="B260" s="70">
        <v>87.096202567591348</v>
      </c>
      <c r="C260" s="70">
        <v>0.14386053990014247</v>
      </c>
      <c r="D260" s="70">
        <v>0.16081252644943866</v>
      </c>
      <c r="E260" s="70">
        <v>87.221334366993489</v>
      </c>
      <c r="F260" s="70">
        <v>0.65699658703071151</v>
      </c>
      <c r="G260" s="70">
        <v>0.1953456769152373</v>
      </c>
      <c r="H260" s="70">
        <v>87.019879231930943</v>
      </c>
      <c r="I260" s="70">
        <v>-0.38590604026846886</v>
      </c>
      <c r="J260" s="70">
        <v>0.12648621300277441</v>
      </c>
    </row>
    <row r="261" spans="1:10" ht="12.95" customHeight="1">
      <c r="A261" s="69" t="s">
        <v>6</v>
      </c>
      <c r="B261" s="70">
        <v>86.875407732621966</v>
      </c>
      <c r="C261" s="70">
        <v>-0.25350684468480322</v>
      </c>
      <c r="D261" s="70">
        <v>-9.3101988997024154E-2</v>
      </c>
      <c r="E261" s="70">
        <v>87.191760294138703</v>
      </c>
      <c r="F261" s="70">
        <v>-3.390692548952412E-2</v>
      </c>
      <c r="G261" s="70">
        <v>0.16137251571259892</v>
      </c>
      <c r="H261" s="70">
        <v>86.594820027328296</v>
      </c>
      <c r="I261" s="70">
        <v>-0.48846218628935123</v>
      </c>
      <c r="J261" s="70">
        <v>-0.36259381060796958</v>
      </c>
    </row>
    <row r="262" spans="1:10" ht="12.95" customHeight="1">
      <c r="A262" s="69" t="s">
        <v>7</v>
      </c>
      <c r="B262" s="70">
        <v>87.12564187892059</v>
      </c>
      <c r="C262" s="70">
        <v>0.28803795323617543</v>
      </c>
      <c r="D262" s="70">
        <v>0.19466779517560706</v>
      </c>
      <c r="E262" s="70">
        <v>87.627977868746868</v>
      </c>
      <c r="F262" s="70">
        <v>0.50029678622911522</v>
      </c>
      <c r="G262" s="70">
        <v>0.66247664345167045</v>
      </c>
      <c r="H262" s="70">
        <v>86.653448883135553</v>
      </c>
      <c r="I262" s="70">
        <v>6.7704807041302217E-2</v>
      </c>
      <c r="J262" s="70">
        <v>-0.29513449700649952</v>
      </c>
    </row>
    <row r="263" spans="1:10" ht="12.95" customHeight="1">
      <c r="A263" s="69" t="s">
        <v>8</v>
      </c>
      <c r="B263" s="70">
        <v>87.478913614871615</v>
      </c>
      <c r="C263" s="70">
        <v>0.40547389761784736</v>
      </c>
      <c r="D263" s="70">
        <v>0.60093101988996089</v>
      </c>
      <c r="E263" s="70">
        <v>87.901538042653698</v>
      </c>
      <c r="F263" s="70">
        <v>0.31218359770504023</v>
      </c>
      <c r="G263" s="70">
        <v>0.97672838457618649</v>
      </c>
      <c r="H263" s="70">
        <v>87.085836694714118</v>
      </c>
      <c r="I263" s="70">
        <v>0.49898511502028953</v>
      </c>
      <c r="J263" s="70">
        <v>0.20237794080444349</v>
      </c>
    </row>
    <row r="264" spans="1:10" ht="12.95" customHeight="1">
      <c r="A264" s="69" t="s">
        <v>9</v>
      </c>
      <c r="B264" s="70">
        <v>87.692348622008694</v>
      </c>
      <c r="C264" s="70">
        <v>0.24398451960290224</v>
      </c>
      <c r="D264" s="70">
        <v>0.84638171815487606</v>
      </c>
      <c r="E264" s="70">
        <v>88.086375997996143</v>
      </c>
      <c r="F264" s="70">
        <v>0.21027840861300717</v>
      </c>
      <c r="G264" s="70">
        <v>1.1890606420927652</v>
      </c>
      <c r="H264" s="70">
        <v>87.320352117943187</v>
      </c>
      <c r="I264" s="70">
        <v>0.26929226626275504</v>
      </c>
      <c r="J264" s="70">
        <v>0.47221519521039035</v>
      </c>
    </row>
    <row r="265" spans="1:10" ht="12.95" customHeight="1">
      <c r="A265" s="69" t="s">
        <v>10</v>
      </c>
      <c r="B265" s="70">
        <v>87.972022079636588</v>
      </c>
      <c r="C265" s="70">
        <v>0.31892572387746121</v>
      </c>
      <c r="D265" s="70">
        <v>1.1680067710537534</v>
      </c>
      <c r="E265" s="70">
        <v>88.056801925141343</v>
      </c>
      <c r="F265" s="70">
        <v>-3.3573946617437844E-2</v>
      </c>
      <c r="G265" s="70">
        <v>1.1550874808901046</v>
      </c>
      <c r="H265" s="70">
        <v>87.943283710895358</v>
      </c>
      <c r="I265" s="70">
        <v>0.7133864876206486</v>
      </c>
      <c r="J265" s="70">
        <v>1.1889704022261638</v>
      </c>
    </row>
    <row r="266" spans="1:10" ht="12.95" customHeight="1">
      <c r="A266" s="69" t="s">
        <v>11</v>
      </c>
      <c r="B266" s="70">
        <v>88.111858808450535</v>
      </c>
      <c r="C266" s="70">
        <v>0.15895591065004933</v>
      </c>
      <c r="D266" s="70">
        <v>1.3288192975031698</v>
      </c>
      <c r="E266" s="70">
        <v>87.834996378730409</v>
      </c>
      <c r="F266" s="70">
        <v>-0.25188916876573986</v>
      </c>
      <c r="G266" s="70">
        <v>0.90028877187022793</v>
      </c>
      <c r="H266" s="70">
        <v>88.463614806184808</v>
      </c>
      <c r="I266" s="70">
        <v>0.59166666666665702</v>
      </c>
      <c r="J266" s="70">
        <v>1.7876718104393063</v>
      </c>
    </row>
    <row r="267" spans="1:10" ht="12.95" customHeight="1">
      <c r="A267" s="69" t="s">
        <v>12</v>
      </c>
      <c r="B267" s="70">
        <v>88.766883485526378</v>
      </c>
      <c r="C267" s="70">
        <v>0.74340126962912922</v>
      </c>
      <c r="D267" s="70">
        <v>2.0820990266610107</v>
      </c>
      <c r="E267" s="70">
        <v>88.907056519716605</v>
      </c>
      <c r="F267" s="70">
        <v>1.220538720538733</v>
      </c>
      <c r="G267" s="70">
        <v>2.1318158654662911</v>
      </c>
      <c r="H267" s="70">
        <v>88.676144408486152</v>
      </c>
      <c r="I267" s="70">
        <v>0.24024521580650049</v>
      </c>
      <c r="J267" s="70">
        <v>2.0322118222447116</v>
      </c>
    </row>
    <row r="268" spans="1:10" ht="12.95" customHeight="1">
      <c r="A268" s="69" t="s">
        <v>13</v>
      </c>
      <c r="B268" s="70">
        <v>88.914080042172642</v>
      </c>
      <c r="C268" s="70">
        <v>0.16582372937568035</v>
      </c>
      <c r="D268" s="70">
        <v>2.2513753702920081</v>
      </c>
      <c r="E268" s="70">
        <v>89.054926883990561</v>
      </c>
      <c r="F268" s="70">
        <v>0.16632016632016633</v>
      </c>
      <c r="G268" s="70">
        <v>2.3016816714795496</v>
      </c>
      <c r="H268" s="70">
        <v>88.815387941028405</v>
      </c>
      <c r="I268" s="70">
        <v>0.15702479338843833</v>
      </c>
      <c r="J268" s="70">
        <v>2.1924276920482377</v>
      </c>
    </row>
    <row r="269" spans="1:10" ht="12.95" customHeight="1">
      <c r="A269" s="69" t="s">
        <v>14</v>
      </c>
      <c r="B269" s="70">
        <v>88.995038148328092</v>
      </c>
      <c r="C269" s="70">
        <v>9.105206522639353E-2</v>
      </c>
      <c r="D269" s="70">
        <v>2.3444773592890433</v>
      </c>
      <c r="E269" s="70">
        <v>88.899663001502901</v>
      </c>
      <c r="F269" s="70">
        <v>-0.17434620174346938</v>
      </c>
      <c r="G269" s="70">
        <v>2.1233225751656315</v>
      </c>
      <c r="H269" s="70">
        <v>89.152503861920167</v>
      </c>
      <c r="I269" s="70">
        <v>0.37956927139202179</v>
      </c>
      <c r="J269" s="70">
        <v>2.5803187452567711</v>
      </c>
    </row>
    <row r="270" spans="1:10" ht="12.6" customHeight="1">
      <c r="A270" s="69"/>
      <c r="B270" s="70"/>
      <c r="C270" s="70"/>
      <c r="D270" s="70"/>
      <c r="E270" s="70"/>
      <c r="F270" s="70"/>
      <c r="G270" s="70"/>
      <c r="H270" s="70"/>
      <c r="I270" s="70"/>
      <c r="J270" s="70"/>
    </row>
    <row r="271" spans="1:10" ht="12.95" customHeight="1">
      <c r="A271" s="69">
        <v>2016</v>
      </c>
      <c r="B271" s="70"/>
      <c r="C271" s="70"/>
      <c r="D271" s="70"/>
      <c r="E271" s="70"/>
      <c r="F271" s="70"/>
      <c r="G271" s="70" t="s">
        <v>131</v>
      </c>
      <c r="H271" s="70"/>
      <c r="I271" s="70"/>
      <c r="J271" s="70"/>
    </row>
    <row r="272" spans="1:10" ht="12.95" customHeight="1">
      <c r="A272" s="69" t="s">
        <v>3</v>
      </c>
      <c r="B272" s="70">
        <v>88.987678320495775</v>
      </c>
      <c r="C272" s="70">
        <v>-8.2699305325895089E-3</v>
      </c>
      <c r="D272" s="70">
        <v>-8.2699305325895089E-3</v>
      </c>
      <c r="E272" s="70">
        <v>88.611315791168678</v>
      </c>
      <c r="F272" s="70">
        <v>-0.32435129740520097</v>
      </c>
      <c r="G272" s="70">
        <v>-0.32435129740520097</v>
      </c>
      <c r="H272" s="70">
        <v>89.438319533980575</v>
      </c>
      <c r="I272" s="70">
        <v>0.32059186189887789</v>
      </c>
      <c r="J272" s="70">
        <v>0.32059186189887789</v>
      </c>
    </row>
    <row r="273" spans="1:10" ht="12.95" customHeight="1">
      <c r="A273" s="69" t="s">
        <v>4</v>
      </c>
      <c r="B273" s="70">
        <v>88.487210027898499</v>
      </c>
      <c r="C273" s="70">
        <v>-0.56240178645272643</v>
      </c>
      <c r="D273" s="70">
        <v>-0.57062520674826533</v>
      </c>
      <c r="E273" s="70">
        <v>88.278607471552291</v>
      </c>
      <c r="F273" s="70">
        <v>-0.3754693366708195</v>
      </c>
      <c r="G273" s="70">
        <v>-0.6986027944111628</v>
      </c>
      <c r="H273" s="70">
        <v>88.764087692197052</v>
      </c>
      <c r="I273" s="70">
        <v>-0.7538511963290695</v>
      </c>
      <c r="J273" s="70">
        <v>-0.43567612001643719</v>
      </c>
    </row>
    <row r="274" spans="1:10" ht="12.95" customHeight="1">
      <c r="A274" s="69" t="s">
        <v>5</v>
      </c>
      <c r="B274" s="70">
        <v>88.479850200066181</v>
      </c>
      <c r="C274" s="70">
        <v>-8.3173916659795566E-3</v>
      </c>
      <c r="D274" s="70">
        <v>-0.57889513728085484</v>
      </c>
      <c r="E274" s="70">
        <v>88.493019499749522</v>
      </c>
      <c r="F274" s="70">
        <v>0.24288107202679043</v>
      </c>
      <c r="G274" s="70">
        <v>-0.45741849634064469</v>
      </c>
      <c r="H274" s="70">
        <v>88.522243661992093</v>
      </c>
      <c r="I274" s="70">
        <v>-0.27245706737120123</v>
      </c>
      <c r="J274" s="70">
        <v>-0.70694615700780394</v>
      </c>
    </row>
    <row r="275" spans="1:10" ht="12.95" customHeight="1">
      <c r="A275" s="69" t="s">
        <v>6</v>
      </c>
      <c r="B275" s="70">
        <v>88.398892093910732</v>
      </c>
      <c r="C275" s="70">
        <v>-9.149891864914661E-2</v>
      </c>
      <c r="D275" s="70">
        <v>-0.66986437313928393</v>
      </c>
      <c r="E275" s="70">
        <v>88.382116726544055</v>
      </c>
      <c r="F275" s="70">
        <v>-0.12532375302866106</v>
      </c>
      <c r="G275" s="70">
        <v>-0.58216899534264677</v>
      </c>
      <c r="H275" s="70">
        <v>88.470943413160725</v>
      </c>
      <c r="I275" s="70">
        <v>-5.795181720342768E-2</v>
      </c>
      <c r="J275" s="70">
        <v>-0.76448828606658914</v>
      </c>
    </row>
    <row r="276" spans="1:10" ht="12.95" customHeight="1">
      <c r="A276" s="69" t="s">
        <v>7</v>
      </c>
      <c r="B276" s="70">
        <v>88.619686928880128</v>
      </c>
      <c r="C276" s="70">
        <v>0.24977104321040056</v>
      </c>
      <c r="D276" s="70">
        <v>-0.4217664571617652</v>
      </c>
      <c r="E276" s="70">
        <v>88.759186155442634</v>
      </c>
      <c r="F276" s="70">
        <v>0.42663543583736363</v>
      </c>
      <c r="G276" s="70">
        <v>-0.15801729873586856</v>
      </c>
      <c r="H276" s="70">
        <v>88.522243661992093</v>
      </c>
      <c r="I276" s="70">
        <v>5.7985420808503996E-2</v>
      </c>
      <c r="J276" s="70">
        <v>-0.70694615700780394</v>
      </c>
    </row>
    <row r="277" spans="1:10" ht="12.95" customHeight="1">
      <c r="A277" s="69" t="s">
        <v>8</v>
      </c>
      <c r="B277" s="70">
        <v>89.14959453280666</v>
      </c>
      <c r="C277" s="70">
        <v>0.59795698031726019</v>
      </c>
      <c r="D277" s="70">
        <v>0.17366854118425756</v>
      </c>
      <c r="E277" s="70">
        <v>89.180616693623421</v>
      </c>
      <c r="F277" s="70">
        <v>0.47480216576427647</v>
      </c>
      <c r="G277" s="70">
        <v>0.31603459747171492</v>
      </c>
      <c r="H277" s="70">
        <v>89.15983246889607</v>
      </c>
      <c r="I277" s="70">
        <v>0.72025829952808706</v>
      </c>
      <c r="J277" s="70">
        <v>8.2203041512407538E-3</v>
      </c>
    </row>
    <row r="278" spans="1:10" ht="12.95" customHeight="1">
      <c r="A278" s="69" t="s">
        <v>9</v>
      </c>
      <c r="B278" s="70">
        <v>89.318870572949862</v>
      </c>
      <c r="C278" s="70">
        <v>0.18987864278048328</v>
      </c>
      <c r="D278" s="70">
        <v>0.36387694343367194</v>
      </c>
      <c r="E278" s="70">
        <v>89.180616693623421</v>
      </c>
      <c r="F278" s="70">
        <v>0</v>
      </c>
      <c r="G278" s="70">
        <v>0.31603459747171492</v>
      </c>
      <c r="H278" s="70">
        <v>89.518934210715571</v>
      </c>
      <c r="I278" s="70">
        <v>0.40276179516687272</v>
      </c>
      <c r="J278" s="70">
        <v>0.41101520756268162</v>
      </c>
    </row>
    <row r="279" spans="1:10" ht="12.95" customHeight="1">
      <c r="A279" s="69" t="s">
        <v>10</v>
      </c>
      <c r="B279" s="70">
        <v>89.267351778123668</v>
      </c>
      <c r="C279" s="70">
        <v>-5.7679630850371311E-2</v>
      </c>
      <c r="D279" s="70">
        <v>0.30598742970557868</v>
      </c>
      <c r="E279" s="70">
        <v>88.921843556143997</v>
      </c>
      <c r="F279" s="70">
        <v>-0.29016746808158134</v>
      </c>
      <c r="G279" s="70">
        <v>2.4950099800391534E-2</v>
      </c>
      <c r="H279" s="70">
        <v>89.687492171161438</v>
      </c>
      <c r="I279" s="70">
        <v>0.18829308227588104</v>
      </c>
      <c r="J279" s="70">
        <v>0.60008220304150761</v>
      </c>
    </row>
    <row r="280" spans="1:10" ht="12.95" customHeight="1">
      <c r="A280" s="69" t="s">
        <v>11</v>
      </c>
      <c r="B280" s="70">
        <v>89.304150917285227</v>
      </c>
      <c r="C280" s="70">
        <v>4.1223513892307828E-2</v>
      </c>
      <c r="D280" s="70">
        <v>0.34733708236849292</v>
      </c>
      <c r="E280" s="70">
        <v>89.047533365776857</v>
      </c>
      <c r="F280" s="70">
        <v>0.14134863224410932</v>
      </c>
      <c r="G280" s="70">
        <v>0.1663339986693213</v>
      </c>
      <c r="H280" s="70">
        <v>89.628863315354181</v>
      </c>
      <c r="I280" s="70">
        <v>-6.5370158522626287E-2</v>
      </c>
      <c r="J280" s="70">
        <v>0.53431976983147056</v>
      </c>
    </row>
    <row r="281" spans="1:10" ht="12.95" customHeight="1">
      <c r="A281" s="69" t="s">
        <v>12</v>
      </c>
      <c r="B281" s="70">
        <v>89.576464547080803</v>
      </c>
      <c r="C281" s="70">
        <v>0.30492830064281495</v>
      </c>
      <c r="D281" s="70">
        <v>0.65332451207409381</v>
      </c>
      <c r="E281" s="70">
        <v>89.306306503256295</v>
      </c>
      <c r="F281" s="70">
        <v>0.29060112919296888</v>
      </c>
      <c r="G281" s="70">
        <v>0.45741849634066689</v>
      </c>
      <c r="H281" s="70">
        <v>89.91467898741459</v>
      </c>
      <c r="I281" s="70">
        <v>0.31888798037611465</v>
      </c>
      <c r="J281" s="70">
        <v>0.85491163173037066</v>
      </c>
    </row>
    <row r="282" spans="1:10" ht="12.95" customHeight="1">
      <c r="A282" s="69" t="s">
        <v>13</v>
      </c>
      <c r="B282" s="70">
        <v>89.694221792397826</v>
      </c>
      <c r="C282" s="70">
        <v>0.13146002793527067</v>
      </c>
      <c r="D282" s="70">
        <v>0.78564340059543714</v>
      </c>
      <c r="E282" s="70">
        <v>89.313700021469984</v>
      </c>
      <c r="F282" s="70">
        <v>8.278831029051581E-3</v>
      </c>
      <c r="G282" s="70">
        <v>0.46573519627413074</v>
      </c>
      <c r="H282" s="70">
        <v>90.149194410643645</v>
      </c>
      <c r="I282" s="70">
        <v>0.26081995272637659</v>
      </c>
      <c r="J282" s="70">
        <v>1.1179613645704967</v>
      </c>
    </row>
    <row r="283" spans="1:10" ht="12.95" customHeight="1">
      <c r="A283" s="69" t="s">
        <v>14</v>
      </c>
      <c r="B283" s="70">
        <v>90.503802853952237</v>
      </c>
      <c r="C283" s="70">
        <v>0.90260113235414163</v>
      </c>
      <c r="D283" s="70">
        <v>1.695335759179617</v>
      </c>
      <c r="E283" s="70">
        <v>90.112199988549349</v>
      </c>
      <c r="F283" s="70">
        <v>0.89403973509933898</v>
      </c>
      <c r="G283" s="70">
        <v>1.3639387890884924</v>
      </c>
      <c r="H283" s="70">
        <v>90.977326998921242</v>
      </c>
      <c r="I283" s="70">
        <v>0.91862450207300661</v>
      </c>
      <c r="J283" s="70">
        <v>2.0468557336621451</v>
      </c>
    </row>
    <row r="284" spans="1:10" ht="12" customHeight="1">
      <c r="A284" s="69"/>
      <c r="B284" s="70"/>
      <c r="C284" s="70"/>
      <c r="D284" s="70"/>
      <c r="E284" s="70"/>
      <c r="F284" s="70"/>
      <c r="G284" s="70"/>
      <c r="H284" s="70"/>
      <c r="I284" s="70"/>
      <c r="J284" s="70"/>
    </row>
    <row r="285" spans="1:10" ht="12.95" customHeight="1">
      <c r="A285" s="69">
        <v>2017</v>
      </c>
      <c r="B285" s="70"/>
      <c r="C285" s="70"/>
      <c r="D285" s="70"/>
      <c r="E285" s="70"/>
      <c r="F285" s="70"/>
      <c r="G285" s="70" t="s">
        <v>131</v>
      </c>
      <c r="H285" s="70"/>
      <c r="I285" s="70"/>
      <c r="J285" s="70"/>
    </row>
    <row r="286" spans="1:10" ht="12.95" customHeight="1">
      <c r="A286" s="69" t="s">
        <v>3</v>
      </c>
      <c r="B286" s="70">
        <v>91.063149769208025</v>
      </c>
      <c r="C286" s="70">
        <v>0.61803691957389439</v>
      </c>
      <c r="D286" s="70">
        <v>0.61803691957389439</v>
      </c>
      <c r="E286" s="70">
        <v>90.829371255278033</v>
      </c>
      <c r="F286" s="70">
        <v>0.79586478503446134</v>
      </c>
      <c r="G286" s="70">
        <v>0.79586478503446134</v>
      </c>
      <c r="H286" s="70">
        <v>91.365743168644372</v>
      </c>
      <c r="I286" s="70">
        <v>0.42693732882230773</v>
      </c>
      <c r="J286" s="70">
        <v>0.42693732882230773</v>
      </c>
    </row>
    <row r="287" spans="1:10" ht="12.95" customHeight="1">
      <c r="A287" s="69" t="s">
        <v>4</v>
      </c>
      <c r="B287" s="70">
        <v>91.445860816488292</v>
      </c>
      <c r="C287" s="70">
        <v>0.42026994261699091</v>
      </c>
      <c r="D287" s="70">
        <v>1.0409042855981099</v>
      </c>
      <c r="E287" s="70">
        <v>91.502181412724553</v>
      </c>
      <c r="F287" s="70">
        <v>0.74074074074075291</v>
      </c>
      <c r="G287" s="70">
        <v>1.5425008204791757</v>
      </c>
      <c r="H287" s="70">
        <v>91.439029238403435</v>
      </c>
      <c r="I287" s="70">
        <v>8.0211759043868902E-2</v>
      </c>
      <c r="J287" s="70">
        <v>0.50749154180762535</v>
      </c>
    </row>
    <row r="288" spans="1:10" ht="12.95" customHeight="1">
      <c r="A288" s="69" t="s">
        <v>5</v>
      </c>
      <c r="B288" s="70">
        <v>91.261865120680469</v>
      </c>
      <c r="C288" s="70">
        <v>-0.20120724346076591</v>
      </c>
      <c r="D288" s="70">
        <v>0.83760266731722766</v>
      </c>
      <c r="E288" s="70">
        <v>91.502181412724553</v>
      </c>
      <c r="F288" s="70">
        <v>0</v>
      </c>
      <c r="G288" s="70">
        <v>1.5425008204791757</v>
      </c>
      <c r="H288" s="70">
        <v>91.057941675656238</v>
      </c>
      <c r="I288" s="70">
        <v>-0.41676685100583422</v>
      </c>
      <c r="J288" s="70">
        <v>8.8609634283876026E-2</v>
      </c>
    </row>
    <row r="289" spans="1:10" ht="12.95" customHeight="1">
      <c r="A289" s="69" t="s">
        <v>6</v>
      </c>
      <c r="B289" s="70">
        <v>91.504739439146803</v>
      </c>
      <c r="C289" s="70">
        <v>0.26612903225806672</v>
      </c>
      <c r="D289" s="70">
        <v>1.1059608034480028</v>
      </c>
      <c r="E289" s="70">
        <v>91.871857323409444</v>
      </c>
      <c r="F289" s="70">
        <v>0.40400775694893198</v>
      </c>
      <c r="G289" s="70">
        <v>1.9527404003938376</v>
      </c>
      <c r="H289" s="70">
        <v>91.175199387270752</v>
      </c>
      <c r="I289" s="70">
        <v>0.12877263581487775</v>
      </c>
      <c r="J289" s="70">
        <v>0.21749637506041086</v>
      </c>
    </row>
    <row r="290" spans="1:10" ht="12.95" customHeight="1">
      <c r="A290" s="69" t="s">
        <v>7</v>
      </c>
      <c r="B290" s="70">
        <v>91.372262538165174</v>
      </c>
      <c r="C290" s="70">
        <v>-0.14477599935655006</v>
      </c>
      <c r="D290" s="70">
        <v>0.95958363828576587</v>
      </c>
      <c r="E290" s="70">
        <v>91.908824914477933</v>
      </c>
      <c r="F290" s="70">
        <v>4.0238210204401881E-2</v>
      </c>
      <c r="G290" s="70">
        <v>1.9937643583852971</v>
      </c>
      <c r="H290" s="70">
        <v>90.860069287306715</v>
      </c>
      <c r="I290" s="70">
        <v>-0.34563138011413086</v>
      </c>
      <c r="J290" s="70">
        <v>-0.12888674077654594</v>
      </c>
    </row>
    <row r="291" spans="1:10" ht="12.95" customHeight="1">
      <c r="A291" s="69" t="s">
        <v>8</v>
      </c>
      <c r="B291" s="70">
        <v>91.423781332991354</v>
      </c>
      <c r="C291" s="70">
        <v>5.6383407168736355E-2</v>
      </c>
      <c r="D291" s="70">
        <v>1.0165080914044111</v>
      </c>
      <c r="E291" s="70">
        <v>91.820102695913548</v>
      </c>
      <c r="F291" s="70">
        <v>-9.6532861394915681E-2</v>
      </c>
      <c r="G291" s="70">
        <v>1.8953068592057809</v>
      </c>
      <c r="H291" s="70">
        <v>91.057941675656238</v>
      </c>
      <c r="I291" s="70">
        <v>0.21777706081627102</v>
      </c>
      <c r="J291" s="70">
        <v>8.8609634283876026E-2</v>
      </c>
    </row>
    <row r="292" spans="1:10" ht="12.95" customHeight="1">
      <c r="A292" s="69" t="s">
        <v>9</v>
      </c>
      <c r="B292" s="70">
        <v>91.585697545302239</v>
      </c>
      <c r="C292" s="70">
        <v>0.17710513604893841</v>
      </c>
      <c r="D292" s="70">
        <v>1.1954135154915724</v>
      </c>
      <c r="E292" s="70">
        <v>91.812709177699858</v>
      </c>
      <c r="F292" s="70">
        <v>-8.0521781141706938E-3</v>
      </c>
      <c r="G292" s="70">
        <v>1.8871020676074934</v>
      </c>
      <c r="H292" s="70">
        <v>91.402386203523903</v>
      </c>
      <c r="I292" s="70">
        <v>0.37826961770623946</v>
      </c>
      <c r="J292" s="70">
        <v>0.46721443531496654</v>
      </c>
    </row>
    <row r="293" spans="1:10" ht="12.95" customHeight="1">
      <c r="A293" s="69" t="s">
        <v>10</v>
      </c>
      <c r="B293" s="70">
        <v>92.108245321396467</v>
      </c>
      <c r="C293" s="70">
        <v>0.57055609128897622</v>
      </c>
      <c r="D293" s="70">
        <v>1.7727901114092948</v>
      </c>
      <c r="E293" s="70">
        <v>92.10844990624777</v>
      </c>
      <c r="F293" s="70">
        <v>0.32211306168465903</v>
      </c>
      <c r="G293" s="70">
        <v>2.2152937315392141</v>
      </c>
      <c r="H293" s="70">
        <v>92.164561329018341</v>
      </c>
      <c r="I293" s="70">
        <v>0.83386786401540292</v>
      </c>
      <c r="J293" s="70">
        <v>1.3049782503625096</v>
      </c>
    </row>
    <row r="294" spans="1:10" ht="12.95" customHeight="1">
      <c r="A294" s="69" t="s">
        <v>11</v>
      </c>
      <c r="B294" s="70">
        <v>92.697031547981496</v>
      </c>
      <c r="C294" s="70">
        <v>0.63923292049539171</v>
      </c>
      <c r="D294" s="70">
        <v>2.4233552899081134</v>
      </c>
      <c r="E294" s="70">
        <v>92.611209144779224</v>
      </c>
      <c r="F294" s="70">
        <v>0.54583400224754719</v>
      </c>
      <c r="G294" s="70">
        <v>2.7732195602231835</v>
      </c>
      <c r="H294" s="70">
        <v>92.838793170801864</v>
      </c>
      <c r="I294" s="70">
        <v>0.7315521628498578</v>
      </c>
      <c r="J294" s="70">
        <v>2.0460770098276182</v>
      </c>
    </row>
    <row r="295" spans="1:10" ht="12.95" customHeight="1">
      <c r="A295" s="69" t="s">
        <v>12</v>
      </c>
      <c r="B295" s="70">
        <v>92.697031547981496</v>
      </c>
      <c r="C295" s="70">
        <v>0</v>
      </c>
      <c r="D295" s="70">
        <v>2.4233552899081134</v>
      </c>
      <c r="E295" s="70">
        <v>92.847801727617551</v>
      </c>
      <c r="F295" s="70">
        <v>0.25546862525944736</v>
      </c>
      <c r="G295" s="70">
        <v>3.03577289136856</v>
      </c>
      <c r="H295" s="70">
        <v>92.589620533621002</v>
      </c>
      <c r="I295" s="70">
        <v>-0.26839280075781069</v>
      </c>
      <c r="J295" s="70">
        <v>1.7721926856774761</v>
      </c>
    </row>
    <row r="296" spans="1:10" ht="12.95" customHeight="1">
      <c r="A296" s="69" t="s">
        <v>13</v>
      </c>
      <c r="B296" s="70">
        <v>93.403575019883533</v>
      </c>
      <c r="C296" s="70">
        <v>0.76220722508930638</v>
      </c>
      <c r="D296" s="70">
        <v>3.2040335041066959</v>
      </c>
      <c r="E296" s="70">
        <v>94.171241487869466</v>
      </c>
      <c r="F296" s="70">
        <v>1.4253862079949053</v>
      </c>
      <c r="G296" s="70">
        <v>4.5044305874630819</v>
      </c>
      <c r="H296" s="70">
        <v>92.640920782452341</v>
      </c>
      <c r="I296" s="70">
        <v>5.5406047174266781E-2</v>
      </c>
      <c r="J296" s="70">
        <v>1.8285806347671851</v>
      </c>
    </row>
    <row r="297" spans="1:10" ht="12.95" customHeight="1">
      <c r="A297" s="69" t="s">
        <v>14</v>
      </c>
      <c r="B297" s="70">
        <v>94.308833843258014</v>
      </c>
      <c r="C297" s="70">
        <v>0.96919076510912916</v>
      </c>
      <c r="D297" s="70">
        <v>4.2042774660486115</v>
      </c>
      <c r="E297" s="70">
        <v>95.06585719172692</v>
      </c>
      <c r="F297" s="70">
        <v>0.94998822328651311</v>
      </c>
      <c r="G297" s="70">
        <v>5.4972103708565978</v>
      </c>
      <c r="H297" s="70">
        <v>93.564325261416755</v>
      </c>
      <c r="I297" s="70">
        <v>0.9967565857131655</v>
      </c>
      <c r="J297" s="70">
        <v>2.8435637183824802</v>
      </c>
    </row>
    <row r="298" spans="1:10" ht="12.6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</row>
    <row r="299" spans="1:10" ht="12.95" customHeight="1">
      <c r="A299" s="69">
        <v>2018</v>
      </c>
      <c r="B299" s="70"/>
      <c r="C299" s="70"/>
      <c r="D299" s="70"/>
      <c r="E299" s="70"/>
      <c r="F299" s="70"/>
      <c r="G299" s="70" t="s">
        <v>131</v>
      </c>
      <c r="H299" s="70"/>
      <c r="I299" s="70"/>
      <c r="J299" s="70"/>
    </row>
    <row r="300" spans="1:10" ht="12.95" customHeight="1">
      <c r="A300" s="69" t="s">
        <v>3</v>
      </c>
      <c r="B300" s="70">
        <v>94.581147473053605</v>
      </c>
      <c r="C300" s="70">
        <v>0.28874668331513309</v>
      </c>
      <c r="D300" s="70">
        <v>0.28874668331513309</v>
      </c>
      <c r="E300" s="70">
        <v>95.221121074214551</v>
      </c>
      <c r="F300" s="70">
        <v>0.1633224451702997</v>
      </c>
      <c r="G300" s="70">
        <v>0.1633224451702997</v>
      </c>
      <c r="H300" s="70">
        <v>93.960070038115788</v>
      </c>
      <c r="I300" s="70">
        <v>0.42296545782094519</v>
      </c>
      <c r="J300" s="70">
        <v>0.42296545782094519</v>
      </c>
    </row>
    <row r="301" spans="1:10" ht="12.95" customHeight="1">
      <c r="A301" s="69" t="s">
        <v>4</v>
      </c>
      <c r="B301" s="70">
        <v>94.478109883401231</v>
      </c>
      <c r="C301" s="70">
        <v>-0.10894093844836528</v>
      </c>
      <c r="D301" s="70">
        <v>0.17949118152023047</v>
      </c>
      <c r="E301" s="70">
        <v>94.991922009589914</v>
      </c>
      <c r="F301" s="70">
        <v>-0.24070191785077188</v>
      </c>
      <c r="G301" s="70">
        <v>-7.7772592938274432E-2</v>
      </c>
      <c r="H301" s="70">
        <v>93.996713072995306</v>
      </c>
      <c r="I301" s="70">
        <v>3.8998518056287956E-2</v>
      </c>
      <c r="J301" s="70">
        <v>0.46212892613768375</v>
      </c>
    </row>
    <row r="302" spans="1:10" ht="12.95" customHeight="1">
      <c r="A302" s="69" t="s">
        <v>5</v>
      </c>
      <c r="B302" s="70">
        <v>94.831381619352243</v>
      </c>
      <c r="C302" s="70">
        <v>0.3739191399859676</v>
      </c>
      <c r="D302" s="70">
        <v>0.55408147338849023</v>
      </c>
      <c r="E302" s="70">
        <v>95.465107175266596</v>
      </c>
      <c r="F302" s="70">
        <v>0.49813200498134425</v>
      </c>
      <c r="G302" s="70">
        <v>0.41997200186654204</v>
      </c>
      <c r="H302" s="70">
        <v>94.216571282272554</v>
      </c>
      <c r="I302" s="70">
        <v>0.23389989084672269</v>
      </c>
      <c r="J302" s="70">
        <v>0.69710973603820392</v>
      </c>
    </row>
    <row r="303" spans="1:10" ht="12.95" customHeight="1">
      <c r="A303" s="69" t="s">
        <v>6</v>
      </c>
      <c r="B303" s="70">
        <v>95.206732838800221</v>
      </c>
      <c r="C303" s="70">
        <v>0.39580908032597062</v>
      </c>
      <c r="D303" s="70">
        <v>0.95208365849854815</v>
      </c>
      <c r="E303" s="70">
        <v>95.967866413798049</v>
      </c>
      <c r="F303" s="70">
        <v>0.52664188351920771</v>
      </c>
      <c r="G303" s="70">
        <v>0.94882563384661722</v>
      </c>
      <c r="H303" s="70">
        <v>94.458415312477513</v>
      </c>
      <c r="I303" s="70">
        <v>0.25668948350963117</v>
      </c>
      <c r="J303" s="70">
        <v>0.95558862692879387</v>
      </c>
    </row>
    <row r="304" spans="1:10" ht="12.95" customHeight="1">
      <c r="A304" s="69" t="s">
        <v>7</v>
      </c>
      <c r="B304" s="70">
        <v>95.456966985098845</v>
      </c>
      <c r="C304" s="70">
        <v>0.26283240568953925</v>
      </c>
      <c r="D304" s="70">
        <v>1.2174184485718831</v>
      </c>
      <c r="E304" s="70">
        <v>96.470625652329488</v>
      </c>
      <c r="F304" s="70">
        <v>0.52388289676423838</v>
      </c>
      <c r="G304" s="70">
        <v>1.4776792658266924</v>
      </c>
      <c r="H304" s="70">
        <v>94.443758098525706</v>
      </c>
      <c r="I304" s="70">
        <v>-1.5517107611129344E-2</v>
      </c>
      <c r="J304" s="70">
        <v>0.93992323960210289</v>
      </c>
    </row>
    <row r="305" spans="1:10" ht="12.95" customHeight="1">
      <c r="A305" s="69" t="s">
        <v>8</v>
      </c>
      <c r="B305" s="70">
        <v>95.655682336571303</v>
      </c>
      <c r="C305" s="70">
        <v>0.20817270624517992</v>
      </c>
      <c r="D305" s="70">
        <v>1.4281254877478</v>
      </c>
      <c r="E305" s="70">
        <v>96.588921943748659</v>
      </c>
      <c r="F305" s="70">
        <v>0.12262415695891704</v>
      </c>
      <c r="G305" s="70">
        <v>1.6021154145279048</v>
      </c>
      <c r="H305" s="70">
        <v>94.722245163610211</v>
      </c>
      <c r="I305" s="70">
        <v>0.29487080003103294</v>
      </c>
      <c r="J305" s="70">
        <v>1.2375655988094314</v>
      </c>
    </row>
    <row r="306" spans="1:10" ht="12.95" customHeight="1">
      <c r="A306" s="69" t="s">
        <v>9</v>
      </c>
      <c r="B306" s="70">
        <v>95.640962680906668</v>
      </c>
      <c r="C306" s="70">
        <v>-1.5388166499974432E-2</v>
      </c>
      <c r="D306" s="70">
        <v>1.4125175589199346</v>
      </c>
      <c r="E306" s="70">
        <v>96.448445097688392</v>
      </c>
      <c r="F306" s="70">
        <v>-0.14543784445806285</v>
      </c>
      <c r="G306" s="70">
        <v>1.4543474879452178</v>
      </c>
      <c r="H306" s="70">
        <v>94.846831482200628</v>
      </c>
      <c r="I306" s="70">
        <v>0.13152804642164728</v>
      </c>
      <c r="J306" s="70">
        <v>1.3707213910863825</v>
      </c>
    </row>
    <row r="307" spans="1:10" ht="12.95" customHeight="1">
      <c r="A307" s="69" t="s">
        <v>10</v>
      </c>
      <c r="B307" s="70">
        <v>95.670401992235938</v>
      </c>
      <c r="C307" s="70">
        <v>3.0781069642182857E-2</v>
      </c>
      <c r="D307" s="70">
        <v>1.4437334165756432</v>
      </c>
      <c r="E307" s="70">
        <v>96.211852514850065</v>
      </c>
      <c r="F307" s="70">
        <v>-0.2453047144499787</v>
      </c>
      <c r="G307" s="70">
        <v>1.2054751905428374</v>
      </c>
      <c r="H307" s="70">
        <v>95.161961582164679</v>
      </c>
      <c r="I307" s="70">
        <v>0.33225158399012855</v>
      </c>
      <c r="J307" s="70">
        <v>1.7075272186104717</v>
      </c>
    </row>
    <row r="308" spans="1:10" ht="12.95" customHeight="1">
      <c r="A308" s="69" t="s">
        <v>11</v>
      </c>
      <c r="B308" s="70">
        <v>95.744000270559056</v>
      </c>
      <c r="C308" s="70">
        <v>7.6928994538039142E-2</v>
      </c>
      <c r="D308" s="70">
        <v>1.5217730607148594</v>
      </c>
      <c r="E308" s="70">
        <v>96.448445097688392</v>
      </c>
      <c r="F308" s="70">
        <v>0.24590793821561707</v>
      </c>
      <c r="G308" s="70">
        <v>1.4543474879452178</v>
      </c>
      <c r="H308" s="70">
        <v>95.052032477526055</v>
      </c>
      <c r="I308" s="70">
        <v>-0.11551790527531969</v>
      </c>
      <c r="J308" s="70">
        <v>1.5900368136602117</v>
      </c>
    </row>
    <row r="309" spans="1:10" ht="12.95" customHeight="1">
      <c r="A309" s="69" t="s">
        <v>12</v>
      </c>
      <c r="B309" s="70">
        <v>95.957435277696121</v>
      </c>
      <c r="C309" s="70">
        <v>0.22292259205165532</v>
      </c>
      <c r="D309" s="70">
        <v>1.7480880287185974</v>
      </c>
      <c r="E309" s="70">
        <v>96.537167316252777</v>
      </c>
      <c r="F309" s="70">
        <v>9.1989267918757278E-2</v>
      </c>
      <c r="G309" s="70">
        <v>1.5476745994711383</v>
      </c>
      <c r="H309" s="70">
        <v>95.403805612369652</v>
      </c>
      <c r="I309" s="70">
        <v>0.37008481110256675</v>
      </c>
      <c r="J309" s="70">
        <v>1.9660061095010617</v>
      </c>
    </row>
    <row r="310" spans="1:10" ht="12.95" customHeight="1">
      <c r="A310" s="69" t="s">
        <v>13</v>
      </c>
      <c r="B310" s="70">
        <v>95.61888319740973</v>
      </c>
      <c r="C310" s="70">
        <v>-0.35281484890320458</v>
      </c>
      <c r="D310" s="70">
        <v>1.3891056656781808</v>
      </c>
      <c r="E310" s="70">
        <v>95.731273830959708</v>
      </c>
      <c r="F310" s="70">
        <v>-0.83480125603124788</v>
      </c>
      <c r="G310" s="70">
        <v>0.69995333644421454</v>
      </c>
      <c r="H310" s="70">
        <v>95.557706358863697</v>
      </c>
      <c r="I310" s="70">
        <v>0.16131510216621514</v>
      </c>
      <c r="J310" s="70">
        <v>2.1304926764313947</v>
      </c>
    </row>
    <row r="311" spans="1:10" ht="12.95" customHeight="1">
      <c r="A311" s="69" t="s">
        <v>14</v>
      </c>
      <c r="B311" s="70">
        <v>95.412808018104968</v>
      </c>
      <c r="C311" s="70">
        <v>-0.21551724137931494</v>
      </c>
      <c r="D311" s="70">
        <v>1.1705946620883534</v>
      </c>
      <c r="E311" s="70">
        <v>94.903199791025557</v>
      </c>
      <c r="F311" s="70">
        <v>-0.86499845535988884</v>
      </c>
      <c r="G311" s="70">
        <v>-0.17109970446416156</v>
      </c>
      <c r="H311" s="70">
        <v>96.012079991370001</v>
      </c>
      <c r="I311" s="70">
        <v>0.4754965871615946</v>
      </c>
      <c r="J311" s="70">
        <v>2.6161196835591705</v>
      </c>
    </row>
    <row r="312" spans="1:10" ht="12.6" customHeight="1">
      <c r="A312" s="69"/>
      <c r="B312" s="70"/>
      <c r="C312" s="70"/>
      <c r="D312" s="70"/>
      <c r="E312" s="70"/>
      <c r="F312" s="70"/>
      <c r="G312" s="70"/>
      <c r="H312" s="70"/>
      <c r="I312" s="70"/>
      <c r="J312" s="70"/>
    </row>
    <row r="313" spans="1:10" ht="12.95" customHeight="1">
      <c r="A313" s="69">
        <v>2019</v>
      </c>
      <c r="B313" s="71"/>
      <c r="C313" s="71"/>
      <c r="D313" s="71"/>
      <c r="E313" s="71"/>
      <c r="F313" s="71"/>
      <c r="G313" s="71" t="s">
        <v>131</v>
      </c>
      <c r="H313" s="71"/>
      <c r="I313" s="71"/>
      <c r="J313" s="71"/>
    </row>
    <row r="314" spans="1:10" ht="12.95" customHeight="1">
      <c r="A314" s="69" t="s">
        <v>3</v>
      </c>
      <c r="B314" s="70">
        <v>95.250891805794083</v>
      </c>
      <c r="C314" s="70">
        <v>-0.16970070965751649</v>
      </c>
      <c r="D314" s="70">
        <v>-0.16970070965751649</v>
      </c>
      <c r="E314" s="70">
        <v>94.437408143562592</v>
      </c>
      <c r="F314" s="70">
        <v>-0.49080710501714364</v>
      </c>
      <c r="G314" s="70">
        <v>-0.49080710501714364</v>
      </c>
      <c r="H314" s="70">
        <v>96.173309344839964</v>
      </c>
      <c r="I314" s="70">
        <v>0.16792611251048584</v>
      </c>
      <c r="J314" s="70">
        <v>0.16792611251048584</v>
      </c>
    </row>
    <row r="315" spans="1:10" ht="12.95" customHeight="1">
      <c r="A315" s="69" t="s">
        <v>4</v>
      </c>
      <c r="B315" s="70">
        <v>95.604163541745109</v>
      </c>
      <c r="C315" s="70">
        <v>0.37088548910524377</v>
      </c>
      <c r="D315" s="70">
        <v>0.20055538414069929</v>
      </c>
      <c r="E315" s="70">
        <v>95.043676637085824</v>
      </c>
      <c r="F315" s="70">
        <v>0.64197917482189393</v>
      </c>
      <c r="G315" s="70">
        <v>0.14802119040200346</v>
      </c>
      <c r="H315" s="70">
        <v>96.261252628550864</v>
      </c>
      <c r="I315" s="70">
        <v>9.1442505524663709E-2</v>
      </c>
      <c r="J315" s="70">
        <v>0.25952217387985588</v>
      </c>
    </row>
    <row r="316" spans="1:10" ht="12.95" customHeight="1">
      <c r="A316" s="69" t="s">
        <v>5</v>
      </c>
      <c r="B316" s="70">
        <v>96.229748907491711</v>
      </c>
      <c r="C316" s="70">
        <v>0.65434949961509226</v>
      </c>
      <c r="D316" s="70">
        <v>0.8562172169083615</v>
      </c>
      <c r="E316" s="70">
        <v>95.93089882272956</v>
      </c>
      <c r="F316" s="70">
        <v>0.93348891481912499</v>
      </c>
      <c r="G316" s="70">
        <v>1.0828918666251131</v>
      </c>
      <c r="H316" s="70">
        <v>96.605697156418543</v>
      </c>
      <c r="I316" s="70">
        <v>0.35782261134373883</v>
      </c>
      <c r="J316" s="70">
        <v>0.61827341424318671</v>
      </c>
    </row>
    <row r="317" spans="1:10" ht="12.95" customHeight="1">
      <c r="A317" s="69" t="s">
        <v>6</v>
      </c>
      <c r="B317" s="70">
        <v>96.737577027921304</v>
      </c>
      <c r="C317" s="70">
        <v>0.52772466539197094</v>
      </c>
      <c r="D317" s="70">
        <v>1.3884603517432925</v>
      </c>
      <c r="E317" s="70">
        <v>96.67025064409934</v>
      </c>
      <c r="F317" s="70">
        <v>0.77071290944121795</v>
      </c>
      <c r="G317" s="70">
        <v>1.8619507634777266</v>
      </c>
      <c r="H317" s="70">
        <v>96.869527007551241</v>
      </c>
      <c r="I317" s="70">
        <v>0.27309968138371499</v>
      </c>
      <c r="J317" s="70">
        <v>0.89306159835127463</v>
      </c>
    </row>
    <row r="318" spans="1:10" ht="12.95" customHeight="1">
      <c r="A318" s="69" t="s">
        <v>7</v>
      </c>
      <c r="B318" s="70">
        <v>96.708137716592049</v>
      </c>
      <c r="C318" s="70">
        <v>-3.0432136335978299E-2</v>
      </c>
      <c r="D318" s="70">
        <v>1.3576056772601097</v>
      </c>
      <c r="E318" s="70">
        <v>96.529773798039088</v>
      </c>
      <c r="F318" s="70">
        <v>-0.14531548757169555</v>
      </c>
      <c r="G318" s="70">
        <v>1.7139295730757231</v>
      </c>
      <c r="H318" s="70">
        <v>96.950141684286208</v>
      </c>
      <c r="I318" s="70">
        <v>8.3219851717331039E-2</v>
      </c>
      <c r="J318" s="70">
        <v>0.97702465460651755</v>
      </c>
    </row>
    <row r="319" spans="1:10" ht="12.95" customHeight="1">
      <c r="A319" s="69" t="s">
        <v>8</v>
      </c>
      <c r="B319" s="70">
        <v>96.531501848616543</v>
      </c>
      <c r="C319" s="70">
        <v>-0.18264840182647957</v>
      </c>
      <c r="D319" s="70">
        <v>1.1724776303610129</v>
      </c>
      <c r="E319" s="70">
        <v>96.263607142345947</v>
      </c>
      <c r="F319" s="70">
        <v>-0.27573529411766273</v>
      </c>
      <c r="G319" s="70">
        <v>1.4334683702087681</v>
      </c>
      <c r="H319" s="70">
        <v>96.869527007551241</v>
      </c>
      <c r="I319" s="70">
        <v>-8.3150653866481683E-2</v>
      </c>
      <c r="J319" s="70">
        <v>0.89306159835127463</v>
      </c>
    </row>
    <row r="320" spans="1:10" ht="12.95" customHeight="1">
      <c r="A320" s="69" t="s">
        <v>9</v>
      </c>
      <c r="B320" s="70">
        <v>96.980451346387639</v>
      </c>
      <c r="C320" s="70">
        <v>0.46508081732237194</v>
      </c>
      <c r="D320" s="70">
        <v>1.6430114162295784</v>
      </c>
      <c r="E320" s="70">
        <v>96.877269154082882</v>
      </c>
      <c r="F320" s="70">
        <v>0.6374807987711284</v>
      </c>
      <c r="G320" s="70">
        <v>2.0800872545964522</v>
      </c>
      <c r="H320" s="70">
        <v>97.148014072635732</v>
      </c>
      <c r="I320" s="70">
        <v>0.28748676047811728</v>
      </c>
      <c r="J320" s="70">
        <v>1.1831157926875724</v>
      </c>
    </row>
    <row r="321" spans="1:10" ht="12.95" customHeight="1">
      <c r="A321" s="69" t="s">
        <v>10</v>
      </c>
      <c r="B321" s="70">
        <v>97.311643598841712</v>
      </c>
      <c r="C321" s="70">
        <v>0.34150413599451923</v>
      </c>
      <c r="D321" s="70">
        <v>1.9901265041653904</v>
      </c>
      <c r="E321" s="70">
        <v>97.136042291562305</v>
      </c>
      <c r="F321" s="70">
        <v>0.26711440128215358</v>
      </c>
      <c r="G321" s="70">
        <v>2.352757868494848</v>
      </c>
      <c r="H321" s="70">
        <v>97.56574467026249</v>
      </c>
      <c r="I321" s="70">
        <v>0.42999396499698861</v>
      </c>
      <c r="J321" s="70">
        <v>1.6181970841920412</v>
      </c>
    </row>
    <row r="322" spans="1:10" ht="12.95" customHeight="1">
      <c r="A322" s="69" t="s">
        <v>11</v>
      </c>
      <c r="B322" s="70">
        <v>97.679634990457359</v>
      </c>
      <c r="C322" s="70">
        <v>0.37815761609438781</v>
      </c>
      <c r="D322" s="70">
        <v>2.3758099352051865</v>
      </c>
      <c r="E322" s="70">
        <v>97.490931165819816</v>
      </c>
      <c r="F322" s="70">
        <v>0.36535241284825215</v>
      </c>
      <c r="G322" s="70">
        <v>2.7267061389841141</v>
      </c>
      <c r="H322" s="70">
        <v>97.939503626033783</v>
      </c>
      <c r="I322" s="70">
        <v>0.38308420341017779</v>
      </c>
      <c r="J322" s="70">
        <v>2.0074803450118139</v>
      </c>
    </row>
    <row r="323" spans="1:10" ht="12.95" customHeight="1">
      <c r="A323" s="69" t="s">
        <v>12</v>
      </c>
      <c r="B323" s="70">
        <v>98.334659667533217</v>
      </c>
      <c r="C323" s="70">
        <v>0.6705846895720402</v>
      </c>
      <c r="D323" s="70">
        <v>3.0623264424560537</v>
      </c>
      <c r="E323" s="70">
        <v>98.540810752164887</v>
      </c>
      <c r="F323" s="70">
        <v>1.0768997421507498</v>
      </c>
      <c r="G323" s="70">
        <v>3.8329697725147938</v>
      </c>
      <c r="H323" s="70">
        <v>98.174019049262853</v>
      </c>
      <c r="I323" s="70">
        <v>0.23944926668664213</v>
      </c>
      <c r="J323" s="70">
        <v>2.25173650866346</v>
      </c>
    </row>
    <row r="324" spans="1:10" ht="12.95" customHeight="1">
      <c r="A324" s="69" t="s">
        <v>13</v>
      </c>
      <c r="B324" s="70">
        <v>98.702651059148863</v>
      </c>
      <c r="C324" s="70">
        <v>0.37422348626598989</v>
      </c>
      <c r="D324" s="70">
        <v>3.4480098734958498</v>
      </c>
      <c r="E324" s="70">
        <v>99.058357027123733</v>
      </c>
      <c r="F324" s="70">
        <v>0.52521008403361158</v>
      </c>
      <c r="G324" s="70">
        <v>4.3783110003116077</v>
      </c>
      <c r="H324" s="70">
        <v>98.37922004458828</v>
      </c>
      <c r="I324" s="70">
        <v>0.20901761719915868</v>
      </c>
      <c r="J324" s="70">
        <v>2.4654606518586419</v>
      </c>
    </row>
    <row r="325" spans="1:10" ht="12.95" customHeight="1">
      <c r="A325" s="69" t="s">
        <v>14</v>
      </c>
      <c r="B325" s="70">
        <v>98.901366410621307</v>
      </c>
      <c r="C325" s="70">
        <v>0.20132726866004536</v>
      </c>
      <c r="D325" s="70">
        <v>3.6562789262573281</v>
      </c>
      <c r="E325" s="70">
        <v>99.087931099978547</v>
      </c>
      <c r="F325" s="70">
        <v>2.9855202269013503E-2</v>
      </c>
      <c r="G325" s="70">
        <v>4.4094733561857336</v>
      </c>
      <c r="H325" s="70">
        <v>98.767636214311395</v>
      </c>
      <c r="I325" s="70">
        <v>0.3948152562574414</v>
      </c>
      <c r="J325" s="70">
        <v>2.8700099229066498</v>
      </c>
    </row>
    <row r="326" spans="1:10">
      <c r="A326" s="32"/>
    </row>
    <row r="327" spans="1:10" ht="12.95" customHeight="1">
      <c r="A327" s="69">
        <v>2020</v>
      </c>
      <c r="B327" s="71"/>
      <c r="C327" s="71"/>
      <c r="D327" s="71"/>
      <c r="E327" s="71"/>
      <c r="F327" s="71"/>
      <c r="G327" s="71" t="s">
        <v>131</v>
      </c>
      <c r="H327" s="71"/>
      <c r="I327" s="71"/>
      <c r="J327" s="71"/>
    </row>
    <row r="328" spans="1:10" ht="12.95" customHeight="1">
      <c r="A328" s="69" t="s">
        <v>3</v>
      </c>
      <c r="B328" s="70">
        <v>99.225198835243077</v>
      </c>
      <c r="C328" s="70">
        <v>0.32742967703527359</v>
      </c>
      <c r="D328" s="70">
        <v>0.32742967703527359</v>
      </c>
      <c r="E328" s="70">
        <v>99.265375537107303</v>
      </c>
      <c r="F328" s="70">
        <v>0.17907774958962897</v>
      </c>
      <c r="G328" s="70">
        <v>0.17907774958962897</v>
      </c>
      <c r="H328" s="70">
        <v>99.229338453793602</v>
      </c>
      <c r="I328" s="70">
        <v>0.46746308525635882</v>
      </c>
      <c r="J328" s="70">
        <v>0.46746308525635882</v>
      </c>
    </row>
    <row r="329" spans="1:10" ht="12.95" customHeight="1">
      <c r="A329" s="69" t="s">
        <v>4</v>
      </c>
      <c r="B329" s="70">
        <v>99.100081762093765</v>
      </c>
      <c r="C329" s="70">
        <v>-0.12609405132768536</v>
      </c>
      <c r="D329" s="70">
        <v>0.20092275636256485</v>
      </c>
      <c r="E329" s="70">
        <v>99.006602399627852</v>
      </c>
      <c r="F329" s="70">
        <v>-0.26068821689262389</v>
      </c>
      <c r="G329" s="70">
        <v>-8.2077301895255861E-2</v>
      </c>
      <c r="H329" s="70">
        <v>99.258652881697216</v>
      </c>
      <c r="I329" s="70">
        <v>2.9542097488910457E-2</v>
      </c>
      <c r="J329" s="70">
        <v>0.49714328114565109</v>
      </c>
    </row>
    <row r="330" spans="1:10" ht="12.95" customHeight="1">
      <c r="A330" s="69" t="s">
        <v>5</v>
      </c>
      <c r="B330" s="70">
        <v>98.58489381383184</v>
      </c>
      <c r="C330" s="70">
        <v>-0.51986632008913514</v>
      </c>
      <c r="D330" s="70">
        <v>-0.31998809346629464</v>
      </c>
      <c r="E330" s="70">
        <v>98.023264477206055</v>
      </c>
      <c r="F330" s="70">
        <v>-0.99320439100887281</v>
      </c>
      <c r="G330" s="70">
        <v>-1.074466497537685</v>
      </c>
      <c r="H330" s="70">
        <v>99.229338453793602</v>
      </c>
      <c r="I330" s="70">
        <v>-2.9533372711143535E-2</v>
      </c>
      <c r="J330" s="70">
        <v>0.46746308525635882</v>
      </c>
    </row>
    <row r="331" spans="1:10" ht="12.95" customHeight="1">
      <c r="A331" s="69" t="s">
        <v>6</v>
      </c>
      <c r="B331" s="70">
        <v>97.775312752277415</v>
      </c>
      <c r="C331" s="70">
        <v>-0.82120194102277555</v>
      </c>
      <c r="D331" s="70">
        <v>-1.1385622860544897</v>
      </c>
      <c r="E331" s="70">
        <v>96.7663663808774</v>
      </c>
      <c r="F331" s="70">
        <v>-1.282244682455902</v>
      </c>
      <c r="G331" s="70">
        <v>-2.3429338904641384</v>
      </c>
      <c r="H331" s="70">
        <v>98.89955113987773</v>
      </c>
      <c r="I331" s="70">
        <v>-0.33234859675038697</v>
      </c>
      <c r="J331" s="70">
        <v>0.13356088150180412</v>
      </c>
    </row>
    <row r="332" spans="1:10" ht="12.95" customHeight="1">
      <c r="A332" s="69" t="s">
        <v>7</v>
      </c>
      <c r="B332" s="70">
        <v>97.664915334792724</v>
      </c>
      <c r="C332" s="70">
        <v>-0.11290929619871548</v>
      </c>
      <c r="D332" s="70">
        <v>-1.2501860395892295</v>
      </c>
      <c r="E332" s="70">
        <v>97.076894145852734</v>
      </c>
      <c r="F332" s="70">
        <v>0.32090464547680497</v>
      </c>
      <c r="G332" s="70">
        <v>-2.0295478286822877</v>
      </c>
      <c r="H332" s="70">
        <v>98.357234223660555</v>
      </c>
      <c r="I332" s="70">
        <v>-0.54835124120042877</v>
      </c>
      <c r="J332" s="70">
        <v>-0.4155227424500918</v>
      </c>
    </row>
    <row r="333" spans="1:10" ht="12.95" customHeight="1">
      <c r="A333" s="69" t="s">
        <v>8</v>
      </c>
      <c r="B333" s="70">
        <v>99.328236424895465</v>
      </c>
      <c r="C333" s="70">
        <v>1.7030896759608227</v>
      </c>
      <c r="D333" s="70">
        <v>0.43161184700104549</v>
      </c>
      <c r="E333" s="70">
        <v>99.287556091748371</v>
      </c>
      <c r="F333" s="70">
        <v>2.277227722772257</v>
      </c>
      <c r="G333" s="70">
        <v>0.20146246828829373</v>
      </c>
      <c r="H333" s="70">
        <v>99.434539449119015</v>
      </c>
      <c r="I333" s="70">
        <v>1.0952984129349419</v>
      </c>
      <c r="J333" s="70">
        <v>0.67522445648140472</v>
      </c>
    </row>
    <row r="334" spans="1:10" ht="12.95" customHeight="1">
      <c r="A334" s="69" t="s">
        <v>9</v>
      </c>
      <c r="B334" s="70">
        <v>101.19763269430294</v>
      </c>
      <c r="C334" s="70">
        <v>1.8820391227030164</v>
      </c>
      <c r="D334" s="70">
        <v>2.3217740735228309</v>
      </c>
      <c r="E334" s="70">
        <v>101.10636157231805</v>
      </c>
      <c r="F334" s="70">
        <v>1.8318564301139428</v>
      </c>
      <c r="G334" s="70">
        <v>2.0370094015818463</v>
      </c>
      <c r="H334" s="70">
        <v>101.35463447680691</v>
      </c>
      <c r="I334" s="70">
        <v>1.9310141509434109</v>
      </c>
      <c r="J334" s="70">
        <v>2.619277287230104</v>
      </c>
    </row>
    <row r="335" spans="1:10" ht="12.95" customHeight="1">
      <c r="A335" s="69" t="s">
        <v>10</v>
      </c>
      <c r="B335" s="70">
        <v>101.98513427236043</v>
      </c>
      <c r="C335" s="70">
        <v>0.7781818181818112</v>
      </c>
      <c r="D335" s="70">
        <v>3.118023515404067</v>
      </c>
      <c r="E335" s="70">
        <v>102.35586615043297</v>
      </c>
      <c r="F335" s="70">
        <v>1.2358318098720122</v>
      </c>
      <c r="G335" s="70">
        <v>3.2980152216086855</v>
      </c>
      <c r="H335" s="70">
        <v>101.65510736281912</v>
      </c>
      <c r="I335" s="70">
        <v>0.29645697758495793</v>
      </c>
      <c r="J335" s="70">
        <v>2.9234992950953442</v>
      </c>
    </row>
    <row r="336" spans="1:10" ht="12.95" customHeight="1">
      <c r="A336" s="69" t="s">
        <v>11</v>
      </c>
      <c r="B336" s="70">
        <v>102.59599998244241</v>
      </c>
      <c r="C336" s="70">
        <v>0.59897524716749917</v>
      </c>
      <c r="D336" s="70">
        <v>3.7356749516297194</v>
      </c>
      <c r="E336" s="70">
        <v>103.30963</v>
      </c>
      <c r="F336" s="70">
        <v>0.93181161514013233</v>
      </c>
      <c r="G336" s="70">
        <v>4.2605581256528691</v>
      </c>
      <c r="H336" s="70">
        <v>101.90428</v>
      </c>
      <c r="I336" s="70">
        <v>0.24511570903325008</v>
      </c>
      <c r="J336" s="70">
        <v>3.1757809601543396</v>
      </c>
    </row>
    <row r="337" spans="1:10" ht="12.95" customHeight="1">
      <c r="A337" s="69" t="s">
        <v>12</v>
      </c>
      <c r="B337" s="70">
        <v>103.276</v>
      </c>
      <c r="C337" s="70">
        <v>0.66279388833283548</v>
      </c>
      <c r="D337" s="70">
        <v>4.423228665229928</v>
      </c>
      <c r="E337" s="70">
        <v>103.93355</v>
      </c>
      <c r="F337" s="70">
        <v>0.60393208261417808</v>
      </c>
      <c r="G337" s="70">
        <v>4.890221085686286</v>
      </c>
      <c r="H337" s="70">
        <v>102.63865</v>
      </c>
      <c r="I337" s="70">
        <v>0.72064686586275073</v>
      </c>
      <c r="J337" s="70">
        <v>3.9193139919731168</v>
      </c>
    </row>
    <row r="338" spans="1:10" ht="12.95" customHeight="1">
      <c r="A338" s="69" t="s">
        <v>13</v>
      </c>
      <c r="B338" s="70">
        <v>103.893</v>
      </c>
      <c r="C338" s="70">
        <v>0.59742825051318782</v>
      </c>
      <c r="D338" s="70">
        <v>5.0470825333740033</v>
      </c>
      <c r="E338" s="70">
        <v>104.264</v>
      </c>
      <c r="F338" s="70">
        <v>0.3179435321895463</v>
      </c>
      <c r="G338" s="70">
        <v>5.2237127595275545</v>
      </c>
      <c r="H338" s="70">
        <v>103.53400000000001</v>
      </c>
      <c r="I338" s="70">
        <v>0.87233220624005625</v>
      </c>
      <c r="J338" s="70">
        <v>4.8258356364288213</v>
      </c>
    </row>
    <row r="339" spans="1:10" ht="12.95" customHeight="1">
      <c r="A339" s="69" t="s">
        <v>14</v>
      </c>
      <c r="B339" s="70">
        <v>104.39400000000001</v>
      </c>
      <c r="C339" s="70">
        <v>0.4822269065288376</v>
      </c>
      <c r="D339" s="70">
        <v>5.553647829873487</v>
      </c>
      <c r="E339" s="70">
        <v>105.24299999999999</v>
      </c>
      <c r="F339" s="70">
        <v>0.93896263331543217</v>
      </c>
      <c r="G339" s="70">
        <v>6.211724103726679</v>
      </c>
      <c r="H339" s="70">
        <v>103.572</v>
      </c>
      <c r="I339" s="70">
        <v>3.6702918847919541E-2</v>
      </c>
      <c r="J339" s="70">
        <v>4.8643097778140909</v>
      </c>
    </row>
    <row r="340" spans="1:10" ht="12.95" customHeight="1">
      <c r="A340" s="69"/>
      <c r="B340" s="70"/>
      <c r="C340" s="70"/>
      <c r="D340" s="70"/>
      <c r="E340" s="70"/>
      <c r="F340" s="70"/>
      <c r="G340" s="70"/>
      <c r="H340" s="70"/>
      <c r="I340" s="70"/>
      <c r="J340" s="70"/>
    </row>
    <row r="341" spans="1:10" ht="12.95" customHeight="1">
      <c r="A341" s="69">
        <v>2021</v>
      </c>
      <c r="B341" s="70"/>
      <c r="C341" s="70"/>
      <c r="D341" s="70"/>
      <c r="E341" s="70"/>
      <c r="F341" s="70"/>
      <c r="G341" s="70"/>
      <c r="H341" s="70"/>
      <c r="I341" s="70"/>
      <c r="J341" s="70"/>
    </row>
    <row r="342" spans="1:10" ht="12.95" customHeight="1">
      <c r="A342" s="69" t="s">
        <v>3</v>
      </c>
      <c r="B342" s="70">
        <v>105.404</v>
      </c>
      <c r="C342" s="70">
        <v>0.96748855298196546</v>
      </c>
      <c r="D342" s="70">
        <v>0.96748855298196546</v>
      </c>
      <c r="E342" s="70">
        <v>106.63800000000001</v>
      </c>
      <c r="F342" s="70">
        <v>1.3255038339842207</v>
      </c>
      <c r="G342" s="70">
        <v>1.3255038339842207</v>
      </c>
      <c r="H342" s="70">
        <v>104.208</v>
      </c>
      <c r="I342" s="70">
        <v>0.61406557756922275</v>
      </c>
      <c r="J342" s="70">
        <v>0.61406557756922275</v>
      </c>
    </row>
    <row r="343" spans="1:10" ht="12.95" customHeight="1">
      <c r="A343" s="69" t="s">
        <v>4</v>
      </c>
      <c r="B343" s="70">
        <v>106.124</v>
      </c>
      <c r="C343" s="70">
        <v>0.68308603089066722</v>
      </c>
      <c r="D343" s="70">
        <v>1.6571833630285138</v>
      </c>
      <c r="E343" s="70">
        <v>107.675</v>
      </c>
      <c r="F343" s="70">
        <v>0.97244884562726064</v>
      </c>
      <c r="G343" s="70">
        <v>2.3108425263437926</v>
      </c>
      <c r="H343" s="70">
        <v>104.621</v>
      </c>
      <c r="I343" s="70">
        <v>0.39632273913710048</v>
      </c>
      <c r="J343" s="70">
        <v>1.0128219982234565</v>
      </c>
    </row>
    <row r="344" spans="1:10" ht="12.95" customHeight="1">
      <c r="A344" s="69" t="s">
        <v>5</v>
      </c>
      <c r="B344" s="70">
        <v>106.764</v>
      </c>
      <c r="C344" s="70">
        <v>0.60306810900456753</v>
      </c>
      <c r="D344" s="70">
        <v>2.2702454164032382</v>
      </c>
      <c r="E344" s="70">
        <v>108.68300000000001</v>
      </c>
      <c r="F344" s="70">
        <v>0.93615045275134978</v>
      </c>
      <c r="G344" s="70">
        <v>3.2686259418678754</v>
      </c>
      <c r="H344" s="70">
        <v>104.90300000000001</v>
      </c>
      <c r="I344" s="70">
        <v>0.26954435533976806</v>
      </c>
      <c r="J344" s="70">
        <v>1.2850963580890662</v>
      </c>
    </row>
    <row r="345" spans="1:10" ht="12.95" customHeight="1">
      <c r="A345" s="69" t="s">
        <v>6</v>
      </c>
      <c r="B345" s="70">
        <v>107.206</v>
      </c>
      <c r="C345" s="70">
        <v>0.41399722752988311</v>
      </c>
      <c r="D345" s="70">
        <v>2.6936413970151563</v>
      </c>
      <c r="E345" s="70">
        <v>109.256</v>
      </c>
      <c r="F345" s="70">
        <v>0.52722136856728774</v>
      </c>
      <c r="G345" s="70">
        <v>3.8130802048592427</v>
      </c>
      <c r="H345" s="70">
        <v>105.21899999999999</v>
      </c>
      <c r="I345" s="70">
        <v>0.30123066070559812</v>
      </c>
      <c r="J345" s="70">
        <v>1.5901981230448392</v>
      </c>
    </row>
    <row r="346" spans="1:10" ht="12.95" customHeight="1">
      <c r="A346" s="69" t="s">
        <v>7</v>
      </c>
      <c r="B346" s="70">
        <v>107.901</v>
      </c>
      <c r="C346" s="70">
        <v>0.64828461093595635</v>
      </c>
      <c r="D346" s="70">
        <v>3.3593884706017541</v>
      </c>
      <c r="E346" s="70">
        <v>110.249</v>
      </c>
      <c r="F346" s="70">
        <v>0.90887456981767478</v>
      </c>
      <c r="G346" s="70">
        <v>4.7566108909856242</v>
      </c>
      <c r="H346" s="70">
        <v>105.625</v>
      </c>
      <c r="I346" s="70">
        <v>0.3858618690540716</v>
      </c>
      <c r="J346" s="70">
        <v>1.9821959602981387</v>
      </c>
    </row>
    <row r="347" spans="1:10" ht="12.95" customHeight="1">
      <c r="A347" s="69" t="s">
        <v>8</v>
      </c>
      <c r="B347" s="70">
        <v>108.58499999999999</v>
      </c>
      <c r="C347" s="70">
        <v>0.63391442155309452</v>
      </c>
      <c r="D347" s="70">
        <v>4.0145985401459638</v>
      </c>
      <c r="E347" s="70">
        <v>110.992</v>
      </c>
      <c r="F347" s="70">
        <v>0.67392901522917992</v>
      </c>
      <c r="G347" s="70">
        <v>5.4625960871506951</v>
      </c>
      <c r="H347" s="70">
        <v>106.253</v>
      </c>
      <c r="I347" s="70">
        <v>0.59455621301776063</v>
      </c>
      <c r="J347" s="70">
        <v>2.5885374425520302</v>
      </c>
    </row>
    <row r="348" spans="1:10" ht="12.95" customHeight="1">
      <c r="A348" s="69" t="s">
        <v>9</v>
      </c>
      <c r="B348" s="70">
        <v>109.16800000000001</v>
      </c>
      <c r="C348" s="70">
        <v>0.53690657088918403</v>
      </c>
      <c r="D348" s="70">
        <v>4.5730597543920171</v>
      </c>
      <c r="E348" s="70">
        <v>111.495</v>
      </c>
      <c r="F348" s="70">
        <v>0.45318581519389056</v>
      </c>
      <c r="G348" s="70">
        <v>5.9405376129529008</v>
      </c>
      <c r="H348" s="70">
        <v>106.913</v>
      </c>
      <c r="I348" s="70">
        <v>0.62115893198309013</v>
      </c>
      <c r="J348" s="70">
        <v>3.2257753060672689</v>
      </c>
    </row>
    <row r="349" spans="1:10" ht="12.95" customHeight="1">
      <c r="A349" s="69" t="s">
        <v>10</v>
      </c>
      <c r="B349" s="70">
        <v>110.039</v>
      </c>
      <c r="C349" s="70">
        <v>0.79785285065219202</v>
      </c>
      <c r="D349" s="70">
        <v>5.4073988926566674</v>
      </c>
      <c r="E349" s="70">
        <v>112.22799999999999</v>
      </c>
      <c r="F349" s="70">
        <v>0.65742858424142625</v>
      </c>
      <c r="G349" s="70">
        <v>6.6370209895194821</v>
      </c>
      <c r="H349" s="70">
        <v>107.91800000000001</v>
      </c>
      <c r="I349" s="70">
        <v>0.94001664905110083</v>
      </c>
      <c r="J349" s="70">
        <v>4.1961147800563925</v>
      </c>
    </row>
    <row r="350" spans="1:10" ht="12.95" customHeight="1">
      <c r="A350" s="69" t="s">
        <v>11</v>
      </c>
      <c r="B350" s="70">
        <v>110.535</v>
      </c>
      <c r="C350" s="70">
        <v>0.45074927980079948</v>
      </c>
      <c r="D350" s="70">
        <v>5.8825219840220599</v>
      </c>
      <c r="E350" s="70">
        <v>112.407</v>
      </c>
      <c r="F350" s="70">
        <v>0.15949673878177251</v>
      </c>
      <c r="G350" s="70">
        <v>6.8071035603318064</v>
      </c>
      <c r="H350" s="70">
        <v>108.721</v>
      </c>
      <c r="I350" s="70">
        <v>0.74408347078336323</v>
      </c>
      <c r="J350" s="70">
        <v>4.9714208473332633</v>
      </c>
    </row>
    <row r="351" spans="1:10" ht="12.95" customHeight="1">
      <c r="A351" s="69" t="s">
        <v>12</v>
      </c>
      <c r="B351" s="70">
        <v>111.244</v>
      </c>
      <c r="C351" s="70">
        <v>0.64142579273533951</v>
      </c>
      <c r="D351" s="70">
        <v>6.5616797900262425</v>
      </c>
      <c r="E351" s="70">
        <v>113.527</v>
      </c>
      <c r="F351" s="70">
        <v>0.9963792290515805</v>
      </c>
      <c r="G351" s="70">
        <v>7.8713073553585478</v>
      </c>
      <c r="H351" s="70">
        <v>109.03</v>
      </c>
      <c r="I351" s="70">
        <v>0.28421372136018253</v>
      </c>
      <c r="J351" s="70">
        <v>5.2697640288881242</v>
      </c>
    </row>
    <row r="352" spans="1:10" ht="12.95" customHeight="1">
      <c r="A352" s="69" t="s">
        <v>13</v>
      </c>
      <c r="B352" s="70">
        <v>112.446</v>
      </c>
      <c r="C352" s="70">
        <v>1.0805077127755247</v>
      </c>
      <c r="D352" s="70">
        <v>7.7130869590206208</v>
      </c>
      <c r="E352" s="70">
        <v>115.26300000000001</v>
      </c>
      <c r="F352" s="70">
        <v>1.529151655553318</v>
      </c>
      <c r="G352" s="70">
        <v>9.5208232376500224</v>
      </c>
      <c r="H352" s="70">
        <v>109.715</v>
      </c>
      <c r="I352" s="70">
        <v>0.62826744932586998</v>
      </c>
      <c r="J352" s="70">
        <v>5.9311396902637759</v>
      </c>
    </row>
    <row r="353" spans="1:31" ht="12.95" customHeight="1">
      <c r="A353" s="69" t="s">
        <v>14</v>
      </c>
      <c r="B353" s="70">
        <v>113.26300000000001</v>
      </c>
      <c r="C353" s="70">
        <v>0.72657097629085232</v>
      </c>
      <c r="D353" s="70">
        <v>8.4956989865317958</v>
      </c>
      <c r="E353" s="70">
        <v>116.27800000000001</v>
      </c>
      <c r="F353" s="70">
        <v>0.88059481360021064</v>
      </c>
      <c r="G353" s="70">
        <v>10.485257926893009</v>
      </c>
      <c r="H353" s="70">
        <v>110.34099999999999</v>
      </c>
      <c r="I353" s="70">
        <v>0.57056920202340766</v>
      </c>
      <c r="J353" s="70">
        <v>6.535550148688829</v>
      </c>
    </row>
    <row r="354" spans="1:31" ht="12.95" customHeight="1">
      <c r="A354" s="69"/>
      <c r="B354" s="70"/>
      <c r="C354" s="70"/>
      <c r="D354" s="70"/>
      <c r="E354" s="70"/>
      <c r="F354" s="70"/>
      <c r="G354" s="70"/>
      <c r="H354" s="70"/>
      <c r="I354" s="70"/>
      <c r="J354" s="70"/>
    </row>
    <row r="355" spans="1:31" ht="12.95" customHeight="1">
      <c r="A355" s="69">
        <v>2022</v>
      </c>
      <c r="B355" s="70"/>
      <c r="C355" s="70"/>
      <c r="D355" s="70"/>
      <c r="E355" s="70"/>
      <c r="F355" s="70"/>
      <c r="G355" s="70"/>
      <c r="H355" s="70"/>
      <c r="I355" s="70"/>
      <c r="J355" s="70"/>
    </row>
    <row r="356" spans="1:31" ht="12.95" customHeight="1">
      <c r="A356" s="69" t="s">
        <v>3</v>
      </c>
      <c r="B356" s="70">
        <v>114.602</v>
      </c>
      <c r="C356" s="70">
        <v>1.1822042502847241</v>
      </c>
      <c r="D356" s="70">
        <v>1.1822042502847241</v>
      </c>
      <c r="E356" s="70">
        <v>117.402</v>
      </c>
      <c r="F356" s="70">
        <v>0.96664889316981917</v>
      </c>
      <c r="G356" s="70">
        <v>0.96664889316981917</v>
      </c>
      <c r="H356" s="70">
        <v>111.889</v>
      </c>
      <c r="I356" s="70">
        <v>1.4029236639145903</v>
      </c>
      <c r="J356" s="70">
        <v>1.4029236639145903</v>
      </c>
      <c r="AE356" s="64" t="s">
        <v>131</v>
      </c>
    </row>
    <row r="357" spans="1:31" ht="12.95" customHeight="1">
      <c r="A357" s="69" t="s">
        <v>4</v>
      </c>
      <c r="B357" s="70">
        <v>115.658</v>
      </c>
      <c r="C357" s="70">
        <v>0.92144988743652068</v>
      </c>
      <c r="D357" s="70">
        <v>2.1145475574547712</v>
      </c>
      <c r="E357" s="70">
        <v>119.012</v>
      </c>
      <c r="F357" s="70">
        <v>1.3713565356637814</v>
      </c>
      <c r="G357" s="70">
        <v>2.3512616316070156</v>
      </c>
      <c r="H357" s="70">
        <v>112.407</v>
      </c>
      <c r="I357" s="70">
        <v>0.46295882526432575</v>
      </c>
      <c r="J357" s="70">
        <v>1.8723774480927435</v>
      </c>
    </row>
    <row r="358" spans="1:31" ht="12.95" customHeight="1">
      <c r="A358" s="69" t="s">
        <v>5</v>
      </c>
      <c r="B358" s="70">
        <v>116.431</v>
      </c>
      <c r="C358" s="70">
        <v>0.66834978989780414</v>
      </c>
      <c r="D358" s="70">
        <v>2.7970299215100969</v>
      </c>
      <c r="E358" s="70">
        <v>119.874</v>
      </c>
      <c r="F358" s="70">
        <v>0.72429670957550041</v>
      </c>
      <c r="G358" s="70">
        <v>3.0925884518137492</v>
      </c>
      <c r="H358" s="70">
        <v>113.09399999999999</v>
      </c>
      <c r="I358" s="70">
        <v>0.6111719021057338</v>
      </c>
      <c r="J358" s="70">
        <v>2.4949927950625783</v>
      </c>
    </row>
    <row r="359" spans="1:31" ht="12.95" customHeight="1">
      <c r="A359" s="69" t="s">
        <v>6</v>
      </c>
      <c r="B359" s="70">
        <v>117.544</v>
      </c>
      <c r="C359" s="70">
        <v>0.95593098058077697</v>
      </c>
      <c r="D359" s="70">
        <v>3.7796985776467062</v>
      </c>
      <c r="E359" s="70">
        <v>120.86</v>
      </c>
      <c r="F359" s="70">
        <v>0.82253032350634303</v>
      </c>
      <c r="G359" s="70">
        <v>3.9405562531175331</v>
      </c>
      <c r="H359" s="70">
        <v>114.32899999999999</v>
      </c>
      <c r="I359" s="70">
        <v>1.0920119546571794</v>
      </c>
      <c r="J359" s="70">
        <v>3.6142503693096906</v>
      </c>
    </row>
    <row r="360" spans="1:31" ht="12.95" customHeight="1">
      <c r="A360" s="69" t="s">
        <v>7</v>
      </c>
      <c r="B360" s="70">
        <v>118.122</v>
      </c>
      <c r="C360" s="70">
        <v>0.49173075614237227</v>
      </c>
      <c r="D360" s="70">
        <v>4.2900152741848663</v>
      </c>
      <c r="E360" s="70">
        <v>121.52200000000001</v>
      </c>
      <c r="F360" s="70">
        <v>0.54774118815159589</v>
      </c>
      <c r="G360" s="70">
        <v>4.5098814909097173</v>
      </c>
      <c r="H360" s="70">
        <v>114.828</v>
      </c>
      <c r="I360" s="70">
        <v>0.43645969089207703</v>
      </c>
      <c r="J360" s="70">
        <v>4.0664848061917169</v>
      </c>
    </row>
    <row r="361" spans="1:31" ht="12.95" customHeight="1">
      <c r="A361" s="69" t="s">
        <v>8</v>
      </c>
      <c r="B361" s="70">
        <v>118.877</v>
      </c>
      <c r="C361" s="70">
        <v>0.63916967203399011</v>
      </c>
      <c r="D361" s="70">
        <v>4.9566054227770717</v>
      </c>
      <c r="E361" s="70">
        <v>122.258</v>
      </c>
      <c r="F361" s="70">
        <v>0.60565165155279654</v>
      </c>
      <c r="G361" s="70">
        <v>5.1428473141952757</v>
      </c>
      <c r="H361" s="70">
        <v>115.6</v>
      </c>
      <c r="I361" s="70">
        <v>0.6723098895739632</v>
      </c>
      <c r="J361" s="70">
        <v>4.7661340752757297</v>
      </c>
    </row>
    <row r="362" spans="1:31" ht="12.95" customHeight="1">
      <c r="A362" s="69" t="s">
        <v>9</v>
      </c>
      <c r="B362" s="70">
        <v>119.468</v>
      </c>
      <c r="C362" s="70">
        <v>0.49715251899022928</v>
      </c>
      <c r="D362" s="70">
        <v>5.4783998304830384</v>
      </c>
      <c r="E362" s="70">
        <v>122.977</v>
      </c>
      <c r="F362" s="70">
        <v>0.58810057419556028</v>
      </c>
      <c r="G362" s="70">
        <v>5.7611930029756175</v>
      </c>
      <c r="H362" s="70">
        <v>116.06699999999999</v>
      </c>
      <c r="I362" s="70">
        <v>0.40397923875432618</v>
      </c>
      <c r="J362" s="70">
        <v>5.1893675061853717</v>
      </c>
    </row>
    <row r="363" spans="1:31" ht="12.95" customHeight="1">
      <c r="A363" s="69" t="s">
        <v>10</v>
      </c>
      <c r="B363" s="70">
        <v>119.718</v>
      </c>
      <c r="C363" s="70">
        <v>0.20926105735425971</v>
      </c>
      <c r="D363" s="70">
        <v>5.6991250452486764</v>
      </c>
      <c r="E363" s="70">
        <v>123.27500000000001</v>
      </c>
      <c r="F363" s="70">
        <v>0.24232173495857268</v>
      </c>
      <c r="G363" s="70">
        <v>6.0174753607733278</v>
      </c>
      <c r="H363" s="70">
        <v>116.27</v>
      </c>
      <c r="I363" s="70">
        <v>0.17489898076110677</v>
      </c>
      <c r="J363" s="70">
        <v>5.3733426378227422</v>
      </c>
    </row>
    <row r="364" spans="1:31" ht="12.95" customHeight="1">
      <c r="A364" s="69" t="s">
        <v>11</v>
      </c>
      <c r="B364" s="70">
        <v>120.07</v>
      </c>
      <c r="C364" s="70">
        <v>0.29402429041580636</v>
      </c>
      <c r="D364" s="70">
        <v>6.0099061476386773</v>
      </c>
      <c r="E364" s="70">
        <v>123.494</v>
      </c>
      <c r="F364" s="70">
        <v>0.17765159196916347</v>
      </c>
      <c r="G364" s="70">
        <v>6.205817093517263</v>
      </c>
      <c r="H364" s="70">
        <v>116.751</v>
      </c>
      <c r="I364" s="70">
        <v>0.41369226799690129</v>
      </c>
      <c r="J364" s="70">
        <v>5.8092640088453162</v>
      </c>
    </row>
    <row r="365" spans="1:31" ht="12.95" customHeight="1">
      <c r="A365" s="69" t="s">
        <v>12</v>
      </c>
      <c r="B365" s="70">
        <v>120.405</v>
      </c>
      <c r="C365" s="70">
        <v>0.2790039143832912</v>
      </c>
      <c r="D365" s="70">
        <v>6.3056779354246251</v>
      </c>
      <c r="E365" s="70">
        <v>123.87</v>
      </c>
      <c r="F365" s="70">
        <v>0.3044682332745019</v>
      </c>
      <c r="G365" s="70">
        <v>6.5291800684566192</v>
      </c>
      <c r="H365" s="70">
        <v>117.045</v>
      </c>
      <c r="I365" s="70">
        <v>0.25181797158053687</v>
      </c>
      <c r="J365" s="70">
        <v>6.0757107512166897</v>
      </c>
    </row>
    <row r="366" spans="1:31" ht="12.95" customHeight="1">
      <c r="A366" s="69" t="s">
        <v>13</v>
      </c>
      <c r="B366" s="70">
        <v>120.96599999999999</v>
      </c>
      <c r="C366" s="70">
        <v>0.46592749470535377</v>
      </c>
      <c r="D366" s="70">
        <v>6.8009853173587098</v>
      </c>
      <c r="E366" s="70">
        <v>124.583</v>
      </c>
      <c r="F366" s="70">
        <v>0.57560345523532952</v>
      </c>
      <c r="G366" s="70">
        <v>7.1423657097645199</v>
      </c>
      <c r="H366" s="70">
        <v>117.461</v>
      </c>
      <c r="I366" s="70">
        <v>0.35541885599554845</v>
      </c>
      <c r="J366" s="70">
        <v>6.4527238288578204</v>
      </c>
    </row>
    <row r="367" spans="1:31" ht="12.95" customHeight="1">
      <c r="A367" s="69" t="s">
        <v>14</v>
      </c>
      <c r="B367" s="70">
        <v>122.128</v>
      </c>
      <c r="C367" s="70">
        <v>0.96060049931385727</v>
      </c>
      <c r="D367" s="70">
        <v>7.8269161155893663</v>
      </c>
      <c r="E367" s="70">
        <v>125.94199999999999</v>
      </c>
      <c r="F367" s="70">
        <v>1.0908390390342193</v>
      </c>
      <c r="G367" s="70">
        <v>8.3111164622714497</v>
      </c>
      <c r="H367" s="70">
        <v>118.432</v>
      </c>
      <c r="I367" s="70">
        <v>0.826657358612648</v>
      </c>
      <c r="J367" s="70">
        <v>7.3327231038326612</v>
      </c>
    </row>
    <row r="368" spans="1:31" ht="12.95" customHeight="1">
      <c r="A368" s="69"/>
      <c r="B368" s="70"/>
      <c r="C368" s="70"/>
      <c r="D368" s="70"/>
      <c r="E368" s="70"/>
      <c r="F368" s="70"/>
      <c r="G368" s="70"/>
      <c r="H368" s="70"/>
      <c r="I368" s="70"/>
      <c r="J368" s="70"/>
    </row>
    <row r="369" spans="1:10" ht="12.95" customHeight="1">
      <c r="A369" s="69">
        <v>2023</v>
      </c>
      <c r="B369" s="70"/>
      <c r="C369" s="70"/>
      <c r="D369" s="70"/>
      <c r="E369" s="70"/>
      <c r="F369" s="70"/>
      <c r="G369" s="70"/>
      <c r="H369" s="70"/>
      <c r="I369" s="70"/>
      <c r="J369" s="70"/>
    </row>
    <row r="370" spans="1:10" ht="12.95" customHeight="1">
      <c r="A370" s="69" t="s">
        <v>3</v>
      </c>
      <c r="B370" s="70">
        <v>122.90300000000001</v>
      </c>
      <c r="C370" s="70">
        <v>0.6345801126686812</v>
      </c>
      <c r="D370" s="70">
        <v>0.6345801126686812</v>
      </c>
      <c r="E370" s="70">
        <v>126.688</v>
      </c>
      <c r="F370" s="70">
        <v>0.59233615473790469</v>
      </c>
      <c r="G370" s="70">
        <v>0.59233615473790469</v>
      </c>
      <c r="H370" s="70">
        <v>119.23399999999999</v>
      </c>
      <c r="I370" s="70">
        <v>0.67718184274518922</v>
      </c>
      <c r="J370" s="70">
        <v>0.67718184274518922</v>
      </c>
    </row>
    <row r="371" spans="1:10" ht="12.95" customHeight="1">
      <c r="A371" s="69" t="s">
        <v>4</v>
      </c>
      <c r="B371" s="70">
        <v>123.035</v>
      </c>
      <c r="C371" s="70">
        <v>0.10740177212922308</v>
      </c>
      <c r="D371" s="70">
        <v>0.74266343508448962</v>
      </c>
      <c r="E371" s="70">
        <v>126.68899999999999</v>
      </c>
      <c r="F371" s="70">
        <v>7.8934074261294285E-4</v>
      </c>
      <c r="G371" s="70">
        <v>0.59313017103110877</v>
      </c>
      <c r="H371" s="70">
        <v>119.492</v>
      </c>
      <c r="I371" s="70">
        <v>0.21638123354077443</v>
      </c>
      <c r="J371" s="70">
        <v>0.89502837071062658</v>
      </c>
    </row>
    <row r="372" spans="1:10" ht="12.95" customHeight="1">
      <c r="A372" s="69" t="s">
        <v>5</v>
      </c>
      <c r="B372" s="70">
        <v>123.29900000000001</v>
      </c>
      <c r="C372" s="70">
        <v>0.2145730889584252</v>
      </c>
      <c r="D372" s="70">
        <v>0.95883007991615088</v>
      </c>
      <c r="E372" s="70">
        <v>127.11799999999999</v>
      </c>
      <c r="F372" s="70">
        <v>0.33862450567925251</v>
      </c>
      <c r="G372" s="70">
        <v>0.93376316082005584</v>
      </c>
      <c r="H372" s="70">
        <v>119.59699999999999</v>
      </c>
      <c r="I372" s="70">
        <v>8.7871991430388263E-2</v>
      </c>
      <c r="J372" s="70">
        <v>0.98368684139420459</v>
      </c>
    </row>
    <row r="373" spans="1:10" ht="12.95" customHeight="1">
      <c r="A373" s="69" t="s">
        <v>6</v>
      </c>
      <c r="B373" s="70">
        <v>123.6</v>
      </c>
      <c r="C373" s="70">
        <v>0.24412201234396136</v>
      </c>
      <c r="D373" s="70">
        <v>1.2052928075461766</v>
      </c>
      <c r="E373" s="70">
        <v>127.378</v>
      </c>
      <c r="F373" s="70">
        <v>0.20453436964080751</v>
      </c>
      <c r="G373" s="70">
        <v>1.1402073970558035</v>
      </c>
      <c r="H373" s="70">
        <v>119.93899999999999</v>
      </c>
      <c r="I373" s="70">
        <v>0.28596035017600663</v>
      </c>
      <c r="J373" s="70">
        <v>1.2724601459064955</v>
      </c>
    </row>
    <row r="374" spans="1:10" ht="12.95" customHeight="1">
      <c r="A374" s="69" t="s">
        <v>7</v>
      </c>
      <c r="B374" s="70">
        <v>123.35599999999999</v>
      </c>
      <c r="C374" s="70">
        <v>-0.1974110032362475</v>
      </c>
      <c r="D374" s="70">
        <v>1.0055024236866217</v>
      </c>
      <c r="E374" s="70">
        <v>126.84399999999999</v>
      </c>
      <c r="F374" s="70">
        <v>-0.41922466988020268</v>
      </c>
      <c r="G374" s="70">
        <v>0.71620269647933998</v>
      </c>
      <c r="H374" s="70">
        <v>119.974</v>
      </c>
      <c r="I374" s="70">
        <v>2.9181500596142662E-2</v>
      </c>
      <c r="J374" s="70">
        <v>1.302012969467703</v>
      </c>
    </row>
    <row r="375" spans="1:10" ht="12.95" customHeight="1">
      <c r="A375" s="69" t="s">
        <v>8</v>
      </c>
      <c r="B375" s="70">
        <v>123.627</v>
      </c>
      <c r="C375" s="70">
        <v>0.2196893543889189</v>
      </c>
      <c r="D375" s="70">
        <v>1.2274007598584991</v>
      </c>
      <c r="E375" s="70">
        <v>126.825</v>
      </c>
      <c r="F375" s="70">
        <v>-1.4979029358885843E-2</v>
      </c>
      <c r="G375" s="70">
        <v>0.70111638690826261</v>
      </c>
      <c r="H375" s="70">
        <v>120.52800000000001</v>
      </c>
      <c r="I375" s="70">
        <v>0.4617667161218364</v>
      </c>
      <c r="J375" s="70">
        <v>1.7697919481221236</v>
      </c>
    </row>
    <row r="376" spans="1:10" ht="12.95" customHeight="1">
      <c r="A376" s="69" t="s">
        <v>9</v>
      </c>
      <c r="B376" s="70">
        <v>124.1884</v>
      </c>
      <c r="C376" s="70">
        <v>0.45410792140876399</v>
      </c>
      <c r="D376" s="70">
        <v>1.6870824053452083</v>
      </c>
      <c r="E376" s="70">
        <v>127.3472</v>
      </c>
      <c r="F376" s="70">
        <v>0.41174847230436296</v>
      </c>
      <c r="G376" s="70">
        <v>1.1157516952247981</v>
      </c>
      <c r="H376" s="70">
        <v>121.1267</v>
      </c>
      <c r="I376" s="70">
        <v>0.49673105004646168</v>
      </c>
      <c r="J376" s="70">
        <v>2.2753141042961333</v>
      </c>
    </row>
    <row r="377" spans="1:10" ht="12.95" customHeight="1">
      <c r="A377" s="69" t="s">
        <v>10</v>
      </c>
      <c r="B377" s="70">
        <v>124.8282</v>
      </c>
      <c r="C377" s="70">
        <v>0.51518499312335209</v>
      </c>
      <c r="D377" s="70">
        <v>2.2109589938425156</v>
      </c>
      <c r="E377" s="70">
        <v>127.9067</v>
      </c>
      <c r="F377" s="70">
        <v>0.43935006030757506</v>
      </c>
      <c r="G377" s="70">
        <v>1.56000381127821</v>
      </c>
      <c r="H377" s="70">
        <v>121.8442</v>
      </c>
      <c r="I377" s="70">
        <v>0.59235494734026783</v>
      </c>
      <c r="J377" s="70">
        <v>2.8811469873007312</v>
      </c>
    </row>
    <row r="378" spans="1:10" ht="12.95" customHeight="1">
      <c r="A378" s="69" t="s">
        <v>11</v>
      </c>
      <c r="B378" s="70">
        <v>125.36539999999999</v>
      </c>
      <c r="C378" s="70">
        <v>0.43035147506733651</v>
      </c>
      <c r="D378" s="70">
        <v>2.6508253635529888</v>
      </c>
      <c r="E378" s="70">
        <v>128.3347</v>
      </c>
      <c r="F378" s="70">
        <v>0.33461890581181208</v>
      </c>
      <c r="G378" s="70">
        <v>1.899842784773953</v>
      </c>
      <c r="H378" s="70">
        <v>122.4873</v>
      </c>
      <c r="I378" s="70">
        <v>0.52780518071438021</v>
      </c>
      <c r="J378" s="70">
        <v>3.4241590110780873</v>
      </c>
    </row>
    <row r="379" spans="1:10" ht="12.95" customHeight="1">
      <c r="A379" s="69" t="s">
        <v>12</v>
      </c>
      <c r="B379" s="70">
        <v>125.63760000000001</v>
      </c>
      <c r="C379" s="70">
        <v>0.21712529932502722</v>
      </c>
      <c r="D379" s="70">
        <v>2.8737062753832143</v>
      </c>
      <c r="E379" s="70">
        <v>128.54509999999999</v>
      </c>
      <c r="F379" s="70">
        <v>0.1639463060263413</v>
      </c>
      <c r="G379" s="70">
        <v>2.0669038128662276</v>
      </c>
      <c r="H379" s="70">
        <v>122.8194</v>
      </c>
      <c r="I379" s="70">
        <v>0.27113014981960948</v>
      </c>
      <c r="J379" s="70">
        <v>3.7045730883545014</v>
      </c>
    </row>
    <row r="380" spans="1:10" ht="12.95" customHeight="1">
      <c r="A380" s="69" t="s">
        <v>13</v>
      </c>
      <c r="B380" s="70">
        <v>125.8094</v>
      </c>
      <c r="C380" s="70">
        <v>0.13674250383641784</v>
      </c>
      <c r="D380" s="70">
        <v>3.0143783571334959</v>
      </c>
      <c r="E380" s="70">
        <v>128.42429999999999</v>
      </c>
      <c r="F380" s="70">
        <v>-9.3974799506169049E-2</v>
      </c>
      <c r="G380" s="70">
        <v>1.9709866446459445</v>
      </c>
      <c r="H380" s="70">
        <v>123.2747</v>
      </c>
      <c r="I380" s="70">
        <v>0.37070690786633609</v>
      </c>
      <c r="J380" s="70">
        <v>4.0890131045663303</v>
      </c>
    </row>
    <row r="381" spans="1:10" ht="12.95" customHeight="1">
      <c r="A381" s="69" t="s">
        <v>14</v>
      </c>
      <c r="B381" s="70">
        <v>126.4866</v>
      </c>
      <c r="C381" s="70">
        <v>0.53827456453969802</v>
      </c>
      <c r="D381" s="70">
        <v>3.5688785536486245</v>
      </c>
      <c r="E381" s="70">
        <v>129.03319999999999</v>
      </c>
      <c r="F381" s="70">
        <v>0.47413145331529627</v>
      </c>
      <c r="G381" s="70">
        <v>2.4544631655841531</v>
      </c>
      <c r="H381" s="70">
        <v>124.01819999999999</v>
      </c>
      <c r="I381" s="70">
        <v>0.60312456651689939</v>
      </c>
      <c r="J381" s="70">
        <v>4.7167995136449425</v>
      </c>
    </row>
    <row r="382" spans="1:10" ht="12.95" customHeight="1">
      <c r="A382" s="69"/>
      <c r="B382" s="70"/>
      <c r="C382" s="70"/>
      <c r="D382" s="70"/>
      <c r="E382" s="70"/>
      <c r="F382" s="70"/>
      <c r="G382" s="70"/>
      <c r="H382" s="70"/>
      <c r="I382" s="70"/>
      <c r="J382" s="70"/>
    </row>
    <row r="383" spans="1:10" ht="12.95" customHeight="1">
      <c r="A383" s="69">
        <v>2024</v>
      </c>
      <c r="B383" s="70"/>
      <c r="C383" s="70"/>
      <c r="D383" s="70"/>
      <c r="E383" s="70"/>
      <c r="F383" s="70"/>
      <c r="G383" s="70"/>
      <c r="H383" s="70"/>
      <c r="I383" s="70"/>
      <c r="J383" s="70"/>
    </row>
    <row r="384" spans="1:10" ht="12.95" customHeight="1">
      <c r="A384" s="69" t="s">
        <v>3</v>
      </c>
      <c r="B384" s="70">
        <v>126.9796</v>
      </c>
      <c r="C384" s="70">
        <v>0.38976460747621733</v>
      </c>
      <c r="D384" s="70">
        <v>0.38976460747621733</v>
      </c>
      <c r="E384" s="70">
        <v>129.37809999999999</v>
      </c>
      <c r="F384" s="70">
        <v>0.26729554874249661</v>
      </c>
      <c r="G384" s="70">
        <v>0.26729554874249661</v>
      </c>
      <c r="H384" s="70">
        <v>124.65470000000001</v>
      </c>
      <c r="I384" s="70">
        <v>0.51323112252879</v>
      </c>
      <c r="J384" s="70">
        <v>0.51323112252879</v>
      </c>
    </row>
    <row r="385" spans="1:10" ht="12.95" customHeight="1">
      <c r="A385" s="69" t="s">
        <v>4</v>
      </c>
      <c r="B385" s="70">
        <v>127.0946</v>
      </c>
      <c r="C385" s="70">
        <v>9.0565728668212664E-2</v>
      </c>
      <c r="D385" s="70">
        <v>0.48068332930129021</v>
      </c>
      <c r="E385" s="70">
        <v>129.35579999999999</v>
      </c>
      <c r="F385" s="70">
        <v>-1.7236301970735557E-2</v>
      </c>
      <c r="G385" s="70">
        <v>0.25001317490382924</v>
      </c>
      <c r="H385" s="70">
        <v>124.9027</v>
      </c>
      <c r="I385" s="70">
        <v>0.19894957831512183</v>
      </c>
      <c r="J385" s="70">
        <v>0.7132017719979844</v>
      </c>
    </row>
    <row r="386" spans="1:10" ht="12.95" customHeight="1">
      <c r="A386" s="69" t="s">
        <v>5</v>
      </c>
      <c r="B386" s="70">
        <v>127.47280000000001</v>
      </c>
      <c r="C386" s="70">
        <v>0.29757361839135577</v>
      </c>
      <c r="D386" s="70">
        <v>0.77968733446864835</v>
      </c>
      <c r="E386" s="70">
        <v>129.5215</v>
      </c>
      <c r="F386" s="70">
        <v>0.12809630492023327</v>
      </c>
      <c r="G386" s="70">
        <v>0.37842973746291531</v>
      </c>
      <c r="H386" s="70">
        <v>125.48699999999999</v>
      </c>
      <c r="I386" s="70">
        <v>0.46780413874158988</v>
      </c>
      <c r="J386" s="70">
        <v>1.1843422981465679</v>
      </c>
    </row>
    <row r="387" spans="1:10" ht="12.95" customHeight="1">
      <c r="A387" s="69" t="s">
        <v>6</v>
      </c>
      <c r="B387" s="70">
        <v>127.34780000000001</v>
      </c>
      <c r="C387" s="70">
        <v>-9.8060135181776698E-2</v>
      </c>
      <c r="D387" s="70">
        <v>0.68086263683269088</v>
      </c>
      <c r="E387" s="70">
        <v>129.01769999999999</v>
      </c>
      <c r="F387" s="70">
        <v>-0.38897017097548892</v>
      </c>
      <c r="G387" s="70">
        <v>-1.2012412309392317E-2</v>
      </c>
      <c r="H387" s="70">
        <v>125.72929999999999</v>
      </c>
      <c r="I387" s="70">
        <v>0.19308773020312309</v>
      </c>
      <c r="J387" s="70">
        <v>1.3797168480110145</v>
      </c>
    </row>
    <row r="388" spans="1:10" ht="12.95" customHeight="1">
      <c r="A388" s="69" t="s">
        <v>7</v>
      </c>
      <c r="B388" s="70">
        <v>127.2987</v>
      </c>
      <c r="C388" s="70">
        <v>-3.8555828997444141E-2</v>
      </c>
      <c r="D388" s="70">
        <v>0.64204429560126286</v>
      </c>
      <c r="E388" s="70">
        <v>128.83760000000001</v>
      </c>
      <c r="F388" s="70">
        <v>-0.13959324960837183</v>
      </c>
      <c r="G388" s="70">
        <v>-0.15158889340106674</v>
      </c>
      <c r="H388" s="70">
        <v>125.807</v>
      </c>
      <c r="I388" s="70">
        <v>6.1799437362664023E-2</v>
      </c>
      <c r="J388" s="70">
        <v>1.4423689426229513</v>
      </c>
    </row>
    <row r="389" spans="1:10" ht="12.95" customHeight="1">
      <c r="A389" s="69" t="s">
        <v>8</v>
      </c>
      <c r="B389" s="70">
        <v>127.9079</v>
      </c>
      <c r="C389" s="70">
        <v>0.47855948253987535</v>
      </c>
      <c r="D389" s="70">
        <v>1.1236763419998574</v>
      </c>
      <c r="E389" s="70">
        <v>129.30410000000001</v>
      </c>
      <c r="F389" s="70">
        <v>0.36208373952946182</v>
      </c>
      <c r="G389" s="70">
        <v>0.2099459673944537</v>
      </c>
      <c r="H389" s="70">
        <v>126.5545</v>
      </c>
      <c r="I389" s="70">
        <v>0.59416407672068239</v>
      </c>
      <c r="J389" s="70">
        <v>2.0451030574544893</v>
      </c>
    </row>
    <row r="390" spans="1:10" ht="12.95" customHeight="1">
      <c r="A390" s="69" t="s">
        <v>9</v>
      </c>
      <c r="B390" s="70">
        <v>128.5831</v>
      </c>
      <c r="C390" s="70">
        <v>0.52787982603108574</v>
      </c>
      <c r="D390" s="70">
        <v>1.657487828750237</v>
      </c>
      <c r="E390" s="70">
        <v>129.77869999999999</v>
      </c>
      <c r="F390" s="70">
        <v>0.36704172566839333</v>
      </c>
      <c r="G390" s="70">
        <v>0.57775828236452664</v>
      </c>
      <c r="H390" s="70">
        <v>127.4243</v>
      </c>
      <c r="I390" s="70">
        <v>0.68729282641075695</v>
      </c>
      <c r="J390" s="70">
        <v>2.7464517304718328</v>
      </c>
    </row>
    <row r="391" spans="1:10" ht="12.95" customHeight="1">
      <c r="A391" s="69" t="s">
        <v>10</v>
      </c>
      <c r="B391" s="70">
        <v>129.10210000000001</v>
      </c>
      <c r="C391" s="70">
        <v>0.40363002602985532</v>
      </c>
      <c r="D391" s="70">
        <v>2.0678079733347232</v>
      </c>
      <c r="E391" s="70">
        <v>130.0095</v>
      </c>
      <c r="F391" s="70">
        <v>0.17784120198462983</v>
      </c>
      <c r="G391" s="70">
        <v>0.75662697662308709</v>
      </c>
      <c r="H391" s="70">
        <v>128.2226</v>
      </c>
      <c r="I391" s="70">
        <v>0.62648960990956404</v>
      </c>
      <c r="J391" s="70">
        <v>3.3901475751139776</v>
      </c>
    </row>
    <row r="392" spans="1:10" ht="12.95" customHeight="1">
      <c r="A392" s="69" t="s">
        <v>11</v>
      </c>
      <c r="B392" s="70">
        <v>129.4854</v>
      </c>
      <c r="C392" s="70">
        <v>0.29689679718609696</v>
      </c>
      <c r="D392" s="70">
        <v>2.3708440261656305</v>
      </c>
      <c r="E392" s="70">
        <v>130.1721</v>
      </c>
      <c r="F392" s="70">
        <v>0.12506778350813708</v>
      </c>
      <c r="G392" s="70">
        <v>0.88264105672029025</v>
      </c>
      <c r="H392" s="70">
        <v>128.81979999999999</v>
      </c>
      <c r="I392" s="70">
        <v>0.46575252724556648</v>
      </c>
      <c r="J392" s="70">
        <v>3.8716898003680056</v>
      </c>
    </row>
    <row r="393" spans="1:10" ht="12.95" customHeight="1">
      <c r="A393" s="69" t="s">
        <v>12</v>
      </c>
      <c r="B393" s="70">
        <v>129.60560000000001</v>
      </c>
      <c r="C393" s="70">
        <v>9.2828998481686575E-2</v>
      </c>
      <c r="D393" s="70">
        <v>2.4658738554123705</v>
      </c>
      <c r="E393" s="70">
        <v>130.49459999999999</v>
      </c>
      <c r="F393" s="70">
        <v>0.24774894159347305</v>
      </c>
      <c r="G393" s="70">
        <v>1.1325767321898494</v>
      </c>
      <c r="H393" s="70">
        <v>128.7439</v>
      </c>
      <c r="I393" s="70">
        <v>-5.8919513925648204E-2</v>
      </c>
      <c r="J393" s="70">
        <v>3.8104891056312651</v>
      </c>
    </row>
    <row r="394" spans="1:10" ht="12.95" customHeight="1">
      <c r="A394" s="69" t="s">
        <v>13</v>
      </c>
      <c r="B394" s="70">
        <v>129.8098</v>
      </c>
      <c r="C394" s="70">
        <v>0.15755492046638508</v>
      </c>
      <c r="D394" s="70">
        <v>2.6273138814704389</v>
      </c>
      <c r="E394" s="70">
        <v>130.8287</v>
      </c>
      <c r="F394" s="70">
        <v>0.25602591984650314</v>
      </c>
      <c r="G394" s="70">
        <v>1.3915023420329131</v>
      </c>
      <c r="H394" s="70">
        <v>128.82220000000001</v>
      </c>
      <c r="I394" s="70">
        <v>6.081841547445066E-2</v>
      </c>
      <c r="J394" s="70">
        <v>3.873625000201586</v>
      </c>
    </row>
    <row r="395" spans="1:10" ht="12.95" customHeight="1">
      <c r="A395" s="69" t="s">
        <v>14</v>
      </c>
      <c r="B395" s="70">
        <v>130.72200000000001</v>
      </c>
      <c r="C395" s="70">
        <v>0.70272044175401227</v>
      </c>
      <c r="D395" s="70">
        <v>3.348496994938599</v>
      </c>
      <c r="E395" s="70">
        <v>131.74700000000001</v>
      </c>
      <c r="F395" s="70">
        <v>0.7019102077755246</v>
      </c>
      <c r="G395" s="70">
        <v>2.1031796467885888</v>
      </c>
      <c r="H395" s="70">
        <v>129.72839999999999</v>
      </c>
      <c r="I395" s="70">
        <v>0.70345018172333074</v>
      </c>
      <c r="J395" s="70">
        <v>4.6043242040281207</v>
      </c>
    </row>
    <row r="396" spans="1:10" ht="12.95" customHeight="1">
      <c r="A396" s="69"/>
      <c r="B396" s="70"/>
      <c r="C396" s="70"/>
      <c r="D396" s="70"/>
      <c r="E396" s="70"/>
      <c r="F396" s="70"/>
      <c r="G396" s="70"/>
      <c r="H396" s="70"/>
      <c r="I396" s="70"/>
      <c r="J396" s="70"/>
    </row>
    <row r="397" spans="1:10" ht="12.75" customHeight="1">
      <c r="A397" s="69">
        <v>2025</v>
      </c>
      <c r="B397" s="70"/>
      <c r="C397" s="70"/>
      <c r="D397" s="70"/>
      <c r="E397" s="70"/>
      <c r="F397" s="70"/>
      <c r="G397" s="70"/>
      <c r="H397" s="70"/>
      <c r="I397" s="70"/>
      <c r="J397" s="70"/>
    </row>
    <row r="398" spans="1:10" ht="12.75" customHeight="1">
      <c r="A398" s="69" t="s">
        <v>3</v>
      </c>
      <c r="B398" s="70">
        <v>131.2004</v>
      </c>
      <c r="C398" s="70">
        <v>0.36596747295787324</v>
      </c>
      <c r="D398" s="70">
        <v>0.36596747295787324</v>
      </c>
      <c r="E398" s="70">
        <v>132.1857</v>
      </c>
      <c r="F398" s="70">
        <v>0.33298670937478292</v>
      </c>
      <c r="G398" s="70">
        <v>0.33298670937478292</v>
      </c>
      <c r="H398" s="70">
        <v>130.24520000000001</v>
      </c>
      <c r="I398" s="70">
        <v>0.39837074996686983</v>
      </c>
      <c r="J398" s="70">
        <v>0.39837074996686983</v>
      </c>
    </row>
    <row r="399" spans="1:10" ht="12.75" customHeight="1">
      <c r="A399" s="69" t="s">
        <v>4</v>
      </c>
      <c r="B399" s="70">
        <v>131.62440000000001</v>
      </c>
      <c r="C399" s="70">
        <v>0.32316974643371577</v>
      </c>
      <c r="D399" s="70">
        <v>0.69031991554597827</v>
      </c>
      <c r="E399" s="70">
        <v>132.79949999999999</v>
      </c>
      <c r="F399" s="70">
        <v>0.46434674855146962</v>
      </c>
      <c r="G399" s="70">
        <v>0.79887967088432266</v>
      </c>
      <c r="H399" s="70">
        <v>130.4855</v>
      </c>
      <c r="I399" s="70">
        <v>0.18449816192842583</v>
      </c>
      <c r="J399" s="70">
        <v>0.58360389860663275</v>
      </c>
    </row>
    <row r="400" spans="1:10" ht="12.75" customHeight="1">
      <c r="A400" s="69" t="s">
        <v>5</v>
      </c>
      <c r="B400" s="70">
        <v>132.03729999999999</v>
      </c>
      <c r="C400" s="70">
        <v>0.31369563697913883</v>
      </c>
      <c r="D400" s="70">
        <v>1.0061810559813811</v>
      </c>
      <c r="E400" s="70">
        <v>133.19409999999999</v>
      </c>
      <c r="F400" s="70">
        <v>0.29713967296562949</v>
      </c>
      <c r="G400" s="70">
        <v>1.0983931322914309</v>
      </c>
      <c r="H400" s="70">
        <v>130.916</v>
      </c>
      <c r="I400" s="70">
        <v>0.32992171543964055</v>
      </c>
      <c r="J400" s="70">
        <v>0.91545105003993932</v>
      </c>
    </row>
    <row r="401" spans="1:21" ht="12.75" customHeight="1">
      <c r="A401" s="69" t="s">
        <v>6</v>
      </c>
      <c r="B401" s="70">
        <v>132.07040000000001</v>
      </c>
      <c r="C401" s="70">
        <v>2.506867377629618E-2</v>
      </c>
      <c r="D401" s="70">
        <v>1.0315019660041891</v>
      </c>
      <c r="E401" s="70">
        <v>133.09450000000001</v>
      </c>
      <c r="F401" s="70">
        <v>-7.4778087017357553E-2</v>
      </c>
      <c r="G401" s="70">
        <v>1.0227936879018129</v>
      </c>
      <c r="H401" s="70">
        <v>131.0778</v>
      </c>
      <c r="I401" s="70">
        <v>0.12359069937974976</v>
      </c>
      <c r="J401" s="70">
        <v>1.0401731617749155</v>
      </c>
    </row>
    <row r="402" spans="1:21" ht="12.75" customHeight="1">
      <c r="A402" s="69" t="s">
        <v>7</v>
      </c>
      <c r="B402" s="70">
        <v>132.1823</v>
      </c>
      <c r="C402" s="70">
        <v>8.4727539251794326E-2</v>
      </c>
      <c r="D402" s="70">
        <v>1.1171034714891004</v>
      </c>
      <c r="E402" s="70">
        <v>132.8819</v>
      </c>
      <c r="F402" s="70">
        <v>-0.15973612733810594</v>
      </c>
      <c r="G402" s="70">
        <v>0.86142378953599774</v>
      </c>
      <c r="H402" s="70">
        <v>131.50409999999999</v>
      </c>
      <c r="I402" s="70">
        <v>0.32522669742702792</v>
      </c>
      <c r="J402" s="70">
        <v>1.3687827800235031</v>
      </c>
    </row>
    <row r="403" spans="1:21" ht="12.75" customHeight="1">
      <c r="A403" s="69" t="s">
        <v>8</v>
      </c>
      <c r="B403" s="70">
        <v>132.45519999999999</v>
      </c>
      <c r="C403" s="70">
        <v>0.20645729420656345</v>
      </c>
      <c r="D403" s="70">
        <v>1.3258671072963857</v>
      </c>
      <c r="E403" s="70">
        <v>132.96299999999999</v>
      </c>
      <c r="F403" s="70">
        <v>6.1031637867903221E-2</v>
      </c>
      <c r="G403" s="70">
        <v>0.92298116845164202</v>
      </c>
      <c r="H403" s="70">
        <v>131.96289999999999</v>
      </c>
      <c r="I403" s="70">
        <v>0.34888646057422701</v>
      </c>
      <c r="J403" s="70">
        <v>1.7224447383918928</v>
      </c>
    </row>
    <row r="404" spans="1:21" ht="12.75" customHeight="1">
      <c r="A404" s="69" t="s">
        <v>9</v>
      </c>
      <c r="B404" s="70">
        <v>132.95480000000001</v>
      </c>
      <c r="C404" s="70">
        <v>0.37718413471121703</v>
      </c>
      <c r="D404" s="70">
        <v>1.7080522023836808</v>
      </c>
      <c r="E404" s="70">
        <v>133.47839999999999</v>
      </c>
      <c r="F404" s="70">
        <v>0.38762663297309263</v>
      </c>
      <c r="G404" s="70">
        <v>1.3141855222509546</v>
      </c>
      <c r="H404" s="70">
        <v>132.44720000000001</v>
      </c>
      <c r="I404" s="70">
        <v>0.36699708781788853</v>
      </c>
      <c r="J404" s="70">
        <v>2.0957631482389383</v>
      </c>
    </row>
    <row r="405" spans="1:21" ht="12.75" customHeight="1">
      <c r="A405" s="69" t="s">
        <v>10</v>
      </c>
      <c r="B405" s="70">
        <v>133.8965</v>
      </c>
      <c r="C405" s="70">
        <v>0.70828582345277002</v>
      </c>
      <c r="D405" s="70">
        <v>2.428435917443128</v>
      </c>
      <c r="E405" s="70">
        <v>134.31729999999999</v>
      </c>
      <c r="F405" s="70">
        <v>0.62849120157268956</v>
      </c>
      <c r="G405" s="70">
        <v>1.950936264203329</v>
      </c>
      <c r="H405" s="70">
        <v>133.48859999999999</v>
      </c>
      <c r="I405" s="70">
        <v>0.78627558755488547</v>
      </c>
      <c r="J405" s="70">
        <v>2.8985172098013878</v>
      </c>
    </row>
    <row r="406" spans="1:21" ht="12.75" customHeight="1">
      <c r="A406" s="69" t="s">
        <v>11</v>
      </c>
      <c r="B406" s="70">
        <v>134.34829999999999</v>
      </c>
      <c r="C406" s="70">
        <v>0.33742480199256963</v>
      </c>
      <c r="D406" s="70">
        <v>2.7740548645216467</v>
      </c>
      <c r="E406" s="70">
        <v>134.74160000000001</v>
      </c>
      <c r="F406" s="70">
        <v>0.31589378285599157</v>
      </c>
      <c r="G406" s="70">
        <v>2.2729929334254217</v>
      </c>
      <c r="H406" s="70">
        <v>133.96700000000001</v>
      </c>
      <c r="I406" s="70">
        <v>0.35838266338850122</v>
      </c>
      <c r="J406" s="70">
        <v>3.2672876563651698</v>
      </c>
    </row>
    <row r="407" spans="1:21" ht="12.75" customHeight="1">
      <c r="A407" s="69" t="s">
        <v>12</v>
      </c>
      <c r="B407" s="70">
        <v>135.0898</v>
      </c>
      <c r="C407" s="70">
        <v>0.5519236194280186</v>
      </c>
      <c r="D407" s="70">
        <v>3.3412891479628337</v>
      </c>
      <c r="E407" s="70">
        <v>135.83750000000001</v>
      </c>
      <c r="F407" s="70">
        <v>0.81333456037333551</v>
      </c>
      <c r="G407" s="70">
        <v>3.1048145308811614</v>
      </c>
      <c r="H407" s="70">
        <v>134.36500000000001</v>
      </c>
      <c r="I407" s="70">
        <v>0.29708808885771099</v>
      </c>
      <c r="J407" s="70">
        <v>3.5740824676786298</v>
      </c>
    </row>
    <row r="408" spans="1:21" ht="12.75" customHeight="1">
      <c r="A408" s="69" t="s">
        <v>13</v>
      </c>
      <c r="B408" s="70">
        <v>136.05510000000001</v>
      </c>
      <c r="C408" s="70">
        <v>0.71456172116621808</v>
      </c>
      <c r="D408" s="70">
        <v>4.0797264423738877</v>
      </c>
      <c r="E408" s="70">
        <v>137.5067</v>
      </c>
      <c r="F408" s="70">
        <v>1.2288212018036093</v>
      </c>
      <c r="G408" s="70">
        <v>4.3717883519169165</v>
      </c>
      <c r="H408" s="70">
        <v>134.6481</v>
      </c>
      <c r="I408" s="70">
        <v>0.21069474937669419</v>
      </c>
      <c r="J408" s="70">
        <v>3.7923076211531237</v>
      </c>
    </row>
    <row r="409" spans="1:21" ht="12.75" customHeight="1">
      <c r="A409" s="69" t="s">
        <v>14</v>
      </c>
      <c r="B409" s="70">
        <v>137.19550000000001</v>
      </c>
      <c r="C409" s="70">
        <v>0.83818982162373601</v>
      </c>
      <c r="D409" s="70">
        <v>4.9521121157876991</v>
      </c>
      <c r="E409" s="70">
        <v>138.67760000000001</v>
      </c>
      <c r="F409" s="70">
        <v>0.85152214401189585</v>
      </c>
      <c r="G409" s="70">
        <v>5.2605372418347285</v>
      </c>
      <c r="H409" s="70">
        <v>135.75909999999999</v>
      </c>
      <c r="I409" s="70">
        <v>0.82511375949603227</v>
      </c>
      <c r="J409" s="70">
        <v>4.6487122326337227</v>
      </c>
    </row>
    <row r="410" spans="1:21" ht="5.25" customHeight="1">
      <c r="A410" s="69"/>
      <c r="B410" s="70"/>
      <c r="C410" s="70"/>
      <c r="D410" s="70"/>
      <c r="E410" s="70"/>
      <c r="F410" s="70"/>
      <c r="G410" s="70"/>
      <c r="H410" s="70"/>
      <c r="I410" s="70"/>
      <c r="J410" s="70"/>
    </row>
    <row r="411" spans="1:21" ht="24.75" customHeight="1">
      <c r="A411" s="318" t="s">
        <v>353</v>
      </c>
      <c r="B411" s="318"/>
      <c r="C411" s="318"/>
      <c r="D411" s="318"/>
      <c r="E411" s="318"/>
      <c r="F411" s="318"/>
      <c r="G411" s="318"/>
      <c r="H411" s="318"/>
      <c r="I411" s="318"/>
      <c r="J411" s="318"/>
    </row>
    <row r="412" spans="1:21" ht="19.5" customHeight="1">
      <c r="A412" s="220" t="s">
        <v>308</v>
      </c>
      <c r="B412" s="221"/>
      <c r="C412" s="254"/>
      <c r="D412" s="221"/>
      <c r="E412" s="221"/>
      <c r="F412" s="221"/>
      <c r="G412" s="221"/>
      <c r="H412" s="221"/>
      <c r="I412" s="221"/>
      <c r="J412" s="221"/>
      <c r="M412" s="78"/>
      <c r="N412" s="78"/>
      <c r="O412" s="78"/>
      <c r="P412" s="78"/>
      <c r="Q412" s="78"/>
      <c r="R412" s="78"/>
      <c r="S412" s="78"/>
      <c r="T412" s="78"/>
      <c r="U412" s="78"/>
    </row>
    <row r="413" spans="1:21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M413" s="78"/>
      <c r="N413" s="78"/>
      <c r="O413" s="78"/>
      <c r="P413" s="78"/>
      <c r="Q413" s="78"/>
      <c r="R413" s="78"/>
      <c r="S413" s="78"/>
      <c r="T413" s="78"/>
      <c r="U413" s="78"/>
    </row>
    <row r="414" spans="1:21">
      <c r="M414" s="78"/>
      <c r="N414" s="78"/>
      <c r="O414" s="78"/>
      <c r="P414" s="78"/>
      <c r="Q414" s="78"/>
      <c r="R414" s="78"/>
      <c r="S414" s="78"/>
      <c r="T414" s="78"/>
      <c r="U414" s="78"/>
    </row>
    <row r="415" spans="1:21">
      <c r="M415" s="78"/>
      <c r="N415" s="78"/>
      <c r="O415" s="78"/>
      <c r="P415" s="78"/>
      <c r="Q415" s="78"/>
      <c r="R415" s="78"/>
      <c r="S415" s="78"/>
      <c r="T415" s="78"/>
      <c r="U415" s="78"/>
    </row>
    <row r="416" spans="1:21">
      <c r="M416" s="78"/>
      <c r="N416" s="78"/>
      <c r="O416" s="78"/>
      <c r="P416" s="78"/>
      <c r="Q416" s="78"/>
      <c r="R416" s="78"/>
      <c r="S416" s="78"/>
      <c r="T416" s="78"/>
      <c r="U416" s="78"/>
    </row>
    <row r="417" spans="13:21">
      <c r="M417" s="78"/>
      <c r="N417" s="78"/>
      <c r="O417" s="78"/>
      <c r="P417" s="78"/>
      <c r="Q417" s="78"/>
      <c r="R417" s="78"/>
      <c r="S417" s="78"/>
      <c r="T417" s="78"/>
      <c r="U417" s="78"/>
    </row>
    <row r="418" spans="13:21">
      <c r="M418" s="78"/>
      <c r="N418" s="78"/>
      <c r="O418" s="78"/>
      <c r="P418" s="78"/>
      <c r="Q418" s="78"/>
      <c r="R418" s="78"/>
      <c r="S418" s="78"/>
      <c r="T418" s="78"/>
      <c r="U418" s="78"/>
    </row>
    <row r="419" spans="13:21">
      <c r="M419" s="78"/>
      <c r="N419" s="78"/>
      <c r="O419" s="78"/>
      <c r="P419" s="78"/>
      <c r="Q419" s="78"/>
      <c r="R419" s="78"/>
      <c r="S419" s="78"/>
      <c r="T419" s="78"/>
      <c r="U419" s="78"/>
    </row>
    <row r="420" spans="13:21">
      <c r="M420" s="78"/>
      <c r="N420" s="78"/>
      <c r="O420" s="78"/>
      <c r="P420" s="78"/>
      <c r="Q420" s="78"/>
      <c r="R420" s="78"/>
      <c r="S420" s="78"/>
      <c r="T420" s="78"/>
      <c r="U420" s="78"/>
    </row>
    <row r="421" spans="13:21">
      <c r="M421" s="78"/>
      <c r="N421" s="78"/>
      <c r="O421" s="78"/>
      <c r="P421" s="78"/>
      <c r="Q421" s="78"/>
      <c r="R421" s="78"/>
      <c r="S421" s="78"/>
      <c r="T421" s="78"/>
      <c r="U421" s="78"/>
    </row>
    <row r="422" spans="13:21">
      <c r="M422" s="78"/>
      <c r="N422" s="78"/>
      <c r="O422" s="78"/>
      <c r="P422" s="78"/>
      <c r="Q422" s="78"/>
      <c r="R422" s="78"/>
      <c r="S422" s="78"/>
      <c r="T422" s="78"/>
      <c r="U422" s="78"/>
    </row>
    <row r="423" spans="13:21">
      <c r="M423" s="78"/>
      <c r="N423" s="78"/>
      <c r="O423" s="78"/>
      <c r="P423" s="78"/>
      <c r="Q423" s="78"/>
      <c r="R423" s="78"/>
      <c r="S423" s="78"/>
      <c r="T423" s="78"/>
      <c r="U423" s="78"/>
    </row>
    <row r="424" spans="13:21">
      <c r="M424" s="78"/>
      <c r="N424" s="78"/>
      <c r="O424" s="78"/>
      <c r="P424" s="78"/>
      <c r="Q424" s="78"/>
      <c r="R424" s="78"/>
      <c r="S424" s="78"/>
      <c r="T424" s="78"/>
      <c r="U424" s="78"/>
    </row>
    <row r="425" spans="13:21">
      <c r="M425" s="78"/>
      <c r="N425" s="78"/>
      <c r="O425" s="78"/>
      <c r="P425" s="78"/>
      <c r="Q425" s="78"/>
      <c r="R425" s="78"/>
      <c r="S425" s="78"/>
      <c r="T425" s="78"/>
      <c r="U425" s="78"/>
    </row>
    <row r="426" spans="13:21">
      <c r="M426" s="78"/>
      <c r="N426" s="78"/>
      <c r="O426" s="78"/>
      <c r="P426" s="78"/>
      <c r="Q426" s="78"/>
      <c r="R426" s="78"/>
      <c r="S426" s="78"/>
      <c r="T426" s="78"/>
      <c r="U426" s="78"/>
    </row>
    <row r="427" spans="13:21">
      <c r="M427" s="78"/>
      <c r="N427" s="78"/>
      <c r="O427" s="78"/>
      <c r="P427" s="78"/>
      <c r="Q427" s="78"/>
      <c r="R427" s="78"/>
      <c r="S427" s="78"/>
      <c r="T427" s="78"/>
      <c r="U427" s="78"/>
    </row>
    <row r="428" spans="13:21">
      <c r="M428" s="78"/>
      <c r="N428" s="78"/>
      <c r="O428" s="78"/>
      <c r="P428" s="78"/>
      <c r="Q428" s="78"/>
      <c r="R428" s="78"/>
      <c r="S428" s="78"/>
      <c r="T428" s="78"/>
      <c r="U428" s="78"/>
    </row>
    <row r="429" spans="13:21">
      <c r="M429" s="78"/>
      <c r="N429" s="78"/>
      <c r="O429" s="78"/>
      <c r="P429" s="78"/>
      <c r="Q429" s="78"/>
      <c r="R429" s="78"/>
      <c r="S429" s="78"/>
      <c r="T429" s="78"/>
      <c r="U429" s="78"/>
    </row>
    <row r="430" spans="13:21">
      <c r="M430" s="78"/>
      <c r="N430" s="78"/>
      <c r="O430" s="78"/>
      <c r="P430" s="78"/>
      <c r="Q430" s="78"/>
      <c r="R430" s="78"/>
      <c r="S430" s="78"/>
      <c r="T430" s="78"/>
      <c r="U430" s="78"/>
    </row>
    <row r="431" spans="13:21">
      <c r="M431" s="78"/>
      <c r="N431" s="78"/>
      <c r="O431" s="78"/>
      <c r="P431" s="78"/>
      <c r="Q431" s="78"/>
      <c r="R431" s="78"/>
      <c r="S431" s="78"/>
      <c r="T431" s="78"/>
      <c r="U431" s="78"/>
    </row>
    <row r="432" spans="13:21">
      <c r="M432" s="78"/>
      <c r="N432" s="78"/>
      <c r="O432" s="78"/>
      <c r="P432" s="78"/>
      <c r="Q432" s="78"/>
      <c r="R432" s="78"/>
      <c r="S432" s="78"/>
      <c r="T432" s="78"/>
      <c r="U432" s="78"/>
    </row>
    <row r="433" spans="13:21">
      <c r="M433" s="78"/>
      <c r="N433" s="78"/>
      <c r="O433" s="78"/>
      <c r="P433" s="78"/>
      <c r="Q433" s="78"/>
      <c r="R433" s="78"/>
      <c r="S433" s="78"/>
      <c r="T433" s="78"/>
      <c r="U433" s="78"/>
    </row>
    <row r="434" spans="13:21">
      <c r="M434" s="78"/>
      <c r="N434" s="78"/>
      <c r="O434" s="78"/>
      <c r="P434" s="78"/>
      <c r="Q434" s="78"/>
      <c r="R434" s="78"/>
      <c r="S434" s="78"/>
      <c r="T434" s="78"/>
      <c r="U434" s="78"/>
    </row>
    <row r="435" spans="13:21">
      <c r="M435" s="78"/>
      <c r="N435" s="78"/>
      <c r="O435" s="78"/>
      <c r="P435" s="78"/>
      <c r="Q435" s="78"/>
      <c r="R435" s="78"/>
      <c r="S435" s="78"/>
      <c r="T435" s="78"/>
      <c r="U435" s="78"/>
    </row>
    <row r="436" spans="13:21">
      <c r="M436" s="78"/>
      <c r="N436" s="78"/>
      <c r="O436" s="78"/>
      <c r="P436" s="78"/>
      <c r="Q436" s="78"/>
      <c r="R436" s="78"/>
      <c r="S436" s="78"/>
      <c r="T436" s="78"/>
      <c r="U436" s="78"/>
    </row>
    <row r="437" spans="13:21">
      <c r="M437" s="78"/>
      <c r="N437" s="78"/>
      <c r="O437" s="78"/>
      <c r="P437" s="78"/>
      <c r="Q437" s="78"/>
      <c r="R437" s="78"/>
      <c r="S437" s="78"/>
      <c r="T437" s="78"/>
      <c r="U437" s="78"/>
    </row>
    <row r="438" spans="13:21">
      <c r="M438" s="78"/>
      <c r="N438" s="78"/>
      <c r="O438" s="78"/>
      <c r="P438" s="78"/>
      <c r="Q438" s="78"/>
      <c r="R438" s="78"/>
      <c r="S438" s="78"/>
      <c r="T438" s="78"/>
      <c r="U438" s="78"/>
    </row>
    <row r="439" spans="13:21">
      <c r="M439" s="78"/>
      <c r="N439" s="78"/>
      <c r="O439" s="78"/>
      <c r="P439" s="78"/>
      <c r="Q439" s="78"/>
      <c r="R439" s="78"/>
      <c r="S439" s="78"/>
      <c r="T439" s="78"/>
      <c r="U439" s="78"/>
    </row>
    <row r="440" spans="13:21">
      <c r="M440" s="78"/>
      <c r="N440" s="78"/>
      <c r="O440" s="78"/>
      <c r="P440" s="78"/>
      <c r="Q440" s="78"/>
      <c r="R440" s="78"/>
      <c r="S440" s="78"/>
      <c r="T440" s="78"/>
      <c r="U440" s="78"/>
    </row>
    <row r="441" spans="13:21">
      <c r="M441" s="78"/>
      <c r="N441" s="78"/>
      <c r="O441" s="78"/>
      <c r="P441" s="78"/>
      <c r="Q441" s="78"/>
      <c r="R441" s="78"/>
      <c r="S441" s="78"/>
      <c r="T441" s="78"/>
      <c r="U441" s="78"/>
    </row>
    <row r="442" spans="13:21">
      <c r="M442" s="78"/>
      <c r="N442" s="78"/>
      <c r="O442" s="78"/>
      <c r="P442" s="78"/>
      <c r="Q442" s="78"/>
      <c r="R442" s="78"/>
      <c r="S442" s="78"/>
      <c r="T442" s="78"/>
      <c r="U442" s="78"/>
    </row>
    <row r="443" spans="13:21">
      <c r="M443" s="78"/>
      <c r="N443" s="78"/>
      <c r="O443" s="78"/>
      <c r="P443" s="78"/>
      <c r="Q443" s="78"/>
      <c r="R443" s="78"/>
      <c r="S443" s="78"/>
      <c r="T443" s="78"/>
      <c r="U443" s="78"/>
    </row>
    <row r="444" spans="13:21">
      <c r="M444" s="78"/>
      <c r="N444" s="78"/>
      <c r="O444" s="78"/>
      <c r="P444" s="78"/>
      <c r="Q444" s="78"/>
      <c r="R444" s="78"/>
      <c r="S444" s="78"/>
      <c r="T444" s="78"/>
      <c r="U444" s="78"/>
    </row>
    <row r="445" spans="13:21">
      <c r="M445" s="78"/>
      <c r="N445" s="78"/>
      <c r="O445" s="78"/>
      <c r="P445" s="78"/>
      <c r="Q445" s="78"/>
      <c r="R445" s="78"/>
      <c r="S445" s="78"/>
      <c r="T445" s="78"/>
      <c r="U445" s="78"/>
    </row>
    <row r="446" spans="13:21">
      <c r="M446" s="78"/>
      <c r="N446" s="78"/>
      <c r="O446" s="78"/>
      <c r="P446" s="78"/>
      <c r="Q446" s="78"/>
      <c r="R446" s="78"/>
      <c r="S446" s="78"/>
      <c r="T446" s="78"/>
      <c r="U446" s="78"/>
    </row>
    <row r="447" spans="13:21">
      <c r="M447" s="78"/>
      <c r="N447" s="78"/>
      <c r="O447" s="78"/>
      <c r="P447" s="78"/>
      <c r="Q447" s="78"/>
      <c r="R447" s="78"/>
      <c r="S447" s="78"/>
      <c r="T447" s="78"/>
      <c r="U447" s="78"/>
    </row>
    <row r="448" spans="13:21">
      <c r="M448" s="78"/>
      <c r="N448" s="78"/>
      <c r="O448" s="78"/>
      <c r="P448" s="78"/>
      <c r="Q448" s="78"/>
      <c r="R448" s="78"/>
      <c r="S448" s="78"/>
      <c r="T448" s="78"/>
      <c r="U448" s="78"/>
    </row>
    <row r="449" spans="13:21">
      <c r="M449" s="78"/>
      <c r="N449" s="78"/>
      <c r="O449" s="78"/>
      <c r="P449" s="78"/>
      <c r="Q449" s="78"/>
      <c r="R449" s="78"/>
      <c r="S449" s="78"/>
      <c r="T449" s="78"/>
      <c r="U449" s="78"/>
    </row>
    <row r="450" spans="13:21">
      <c r="M450" s="78"/>
      <c r="N450" s="78"/>
      <c r="O450" s="78"/>
      <c r="P450" s="78"/>
      <c r="Q450" s="78"/>
      <c r="R450" s="78"/>
      <c r="S450" s="78"/>
      <c r="T450" s="78"/>
      <c r="U450" s="78"/>
    </row>
    <row r="451" spans="13:21">
      <c r="M451" s="78"/>
      <c r="N451" s="78"/>
      <c r="O451" s="78"/>
      <c r="P451" s="78"/>
      <c r="Q451" s="78"/>
      <c r="R451" s="78"/>
      <c r="S451" s="78"/>
      <c r="T451" s="78"/>
      <c r="U451" s="78"/>
    </row>
    <row r="452" spans="13:21">
      <c r="M452" s="78"/>
      <c r="N452" s="78"/>
      <c r="O452" s="78"/>
      <c r="P452" s="78"/>
      <c r="Q452" s="78"/>
      <c r="R452" s="78"/>
      <c r="S452" s="78"/>
      <c r="T452" s="78"/>
      <c r="U452" s="78"/>
    </row>
    <row r="453" spans="13:21">
      <c r="M453" s="78"/>
      <c r="N453" s="78"/>
      <c r="O453" s="78"/>
      <c r="P453" s="78"/>
      <c r="Q453" s="78"/>
      <c r="R453" s="78"/>
      <c r="S453" s="78"/>
      <c r="T453" s="78"/>
      <c r="U453" s="78"/>
    </row>
    <row r="454" spans="13:21">
      <c r="M454" s="78"/>
      <c r="N454" s="78"/>
      <c r="O454" s="78"/>
      <c r="P454" s="78"/>
      <c r="Q454" s="78"/>
      <c r="R454" s="78"/>
      <c r="S454" s="78"/>
      <c r="T454" s="78"/>
      <c r="U454" s="78"/>
    </row>
    <row r="455" spans="13:21">
      <c r="M455" s="78"/>
      <c r="N455" s="78"/>
      <c r="O455" s="78"/>
      <c r="P455" s="78"/>
      <c r="Q455" s="78"/>
      <c r="R455" s="78"/>
      <c r="S455" s="78"/>
      <c r="T455" s="78"/>
      <c r="U455" s="78"/>
    </row>
    <row r="456" spans="13:21">
      <c r="M456" s="78"/>
      <c r="N456" s="78"/>
      <c r="O456" s="78"/>
      <c r="P456" s="78"/>
      <c r="Q456" s="78"/>
      <c r="R456" s="78"/>
      <c r="S456" s="78"/>
      <c r="T456" s="78"/>
      <c r="U456" s="78"/>
    </row>
    <row r="457" spans="13:21">
      <c r="M457" s="78"/>
      <c r="N457" s="78"/>
      <c r="O457" s="78"/>
      <c r="P457" s="78"/>
      <c r="Q457" s="78"/>
      <c r="R457" s="78"/>
      <c r="S457" s="78"/>
      <c r="T457" s="78"/>
      <c r="U457" s="78"/>
    </row>
    <row r="458" spans="13:21">
      <c r="M458" s="78"/>
      <c r="N458" s="78"/>
      <c r="O458" s="78"/>
      <c r="P458" s="78"/>
      <c r="Q458" s="78"/>
      <c r="R458" s="78"/>
      <c r="S458" s="78"/>
      <c r="T458" s="78"/>
      <c r="U458" s="78"/>
    </row>
    <row r="459" spans="13:21">
      <c r="M459" s="78"/>
      <c r="N459" s="78"/>
      <c r="O459" s="78"/>
      <c r="P459" s="78"/>
      <c r="Q459" s="78"/>
      <c r="R459" s="78"/>
      <c r="S459" s="78"/>
      <c r="T459" s="78"/>
      <c r="U459" s="78"/>
    </row>
    <row r="460" spans="13:21">
      <c r="M460" s="78"/>
      <c r="N460" s="78"/>
      <c r="O460" s="78"/>
      <c r="P460" s="78"/>
      <c r="Q460" s="78"/>
      <c r="R460" s="78"/>
      <c r="S460" s="78"/>
      <c r="T460" s="78"/>
      <c r="U460" s="78"/>
    </row>
    <row r="461" spans="13:21">
      <c r="M461" s="78"/>
      <c r="N461" s="78"/>
      <c r="O461" s="78"/>
      <c r="P461" s="78"/>
      <c r="Q461" s="78"/>
      <c r="R461" s="78"/>
      <c r="S461" s="78"/>
      <c r="T461" s="78"/>
      <c r="U461" s="78"/>
    </row>
    <row r="462" spans="13:21">
      <c r="M462" s="78"/>
      <c r="N462" s="78"/>
      <c r="O462" s="78"/>
      <c r="P462" s="78"/>
      <c r="Q462" s="78"/>
      <c r="R462" s="78"/>
      <c r="S462" s="78"/>
      <c r="T462" s="78"/>
      <c r="U462" s="78"/>
    </row>
    <row r="463" spans="13:21">
      <c r="M463" s="78"/>
      <c r="N463" s="78"/>
      <c r="O463" s="78"/>
      <c r="P463" s="78"/>
      <c r="Q463" s="78"/>
      <c r="R463" s="78"/>
      <c r="S463" s="78"/>
      <c r="T463" s="78"/>
      <c r="U463" s="78"/>
    </row>
    <row r="464" spans="13:21">
      <c r="M464" s="78"/>
      <c r="N464" s="78"/>
      <c r="O464" s="78"/>
      <c r="P464" s="78"/>
      <c r="Q464" s="78"/>
      <c r="R464" s="78"/>
      <c r="S464" s="78"/>
      <c r="T464" s="78"/>
      <c r="U464" s="78"/>
    </row>
    <row r="465" spans="13:21">
      <c r="M465" s="78"/>
      <c r="N465" s="78"/>
      <c r="O465" s="78"/>
      <c r="P465" s="78"/>
      <c r="Q465" s="78"/>
      <c r="R465" s="78"/>
      <c r="S465" s="78"/>
      <c r="T465" s="78"/>
      <c r="U465" s="78"/>
    </row>
    <row r="466" spans="13:21">
      <c r="M466" s="78"/>
      <c r="N466" s="78"/>
      <c r="O466" s="78"/>
      <c r="P466" s="78"/>
      <c r="Q466" s="78"/>
      <c r="R466" s="78"/>
      <c r="S466" s="78"/>
      <c r="T466" s="78"/>
      <c r="U466" s="78"/>
    </row>
    <row r="467" spans="13:21">
      <c r="M467" s="78"/>
      <c r="N467" s="78"/>
      <c r="O467" s="78"/>
      <c r="P467" s="78"/>
      <c r="Q467" s="78"/>
      <c r="R467" s="78"/>
      <c r="S467" s="78"/>
      <c r="T467" s="78"/>
      <c r="U467" s="78"/>
    </row>
    <row r="468" spans="13:21">
      <c r="M468" s="78"/>
      <c r="N468" s="78"/>
      <c r="O468" s="78"/>
      <c r="P468" s="78"/>
      <c r="Q468" s="78"/>
      <c r="R468" s="78"/>
      <c r="S468" s="78"/>
      <c r="T468" s="78"/>
      <c r="U468" s="78"/>
    </row>
    <row r="469" spans="13:21">
      <c r="M469" s="78"/>
      <c r="N469" s="78"/>
      <c r="O469" s="78"/>
      <c r="P469" s="78"/>
      <c r="Q469" s="78"/>
      <c r="R469" s="78"/>
      <c r="S469" s="78"/>
      <c r="T469" s="78"/>
      <c r="U469" s="78"/>
    </row>
    <row r="470" spans="13:21">
      <c r="M470" s="78"/>
      <c r="N470" s="78"/>
      <c r="O470" s="78"/>
      <c r="P470" s="78"/>
      <c r="Q470" s="78"/>
      <c r="R470" s="78"/>
      <c r="S470" s="78"/>
      <c r="T470" s="78"/>
      <c r="U470" s="78"/>
    </row>
    <row r="471" spans="13:21">
      <c r="M471" s="78"/>
      <c r="N471" s="78"/>
      <c r="O471" s="78"/>
      <c r="P471" s="78"/>
      <c r="Q471" s="78"/>
      <c r="R471" s="78"/>
      <c r="S471" s="78"/>
      <c r="T471" s="78"/>
      <c r="U471" s="78"/>
    </row>
    <row r="472" spans="13:21">
      <c r="M472" s="78"/>
      <c r="N472" s="78"/>
      <c r="O472" s="78"/>
      <c r="P472" s="78"/>
      <c r="Q472" s="78"/>
      <c r="R472" s="78"/>
      <c r="S472" s="78"/>
      <c r="T472" s="78"/>
      <c r="U472" s="78"/>
    </row>
    <row r="473" spans="13:21">
      <c r="M473" s="78"/>
      <c r="N473" s="78"/>
      <c r="O473" s="78"/>
      <c r="P473" s="78"/>
      <c r="Q473" s="78"/>
      <c r="R473" s="78"/>
      <c r="S473" s="78"/>
      <c r="T473" s="78"/>
      <c r="U473" s="78"/>
    </row>
    <row r="474" spans="13:21">
      <c r="M474" s="78"/>
      <c r="N474" s="78"/>
      <c r="O474" s="78"/>
      <c r="P474" s="78"/>
      <c r="Q474" s="78"/>
      <c r="R474" s="78"/>
      <c r="S474" s="78"/>
      <c r="T474" s="78"/>
      <c r="U474" s="78"/>
    </row>
    <row r="475" spans="13:21">
      <c r="M475" s="78"/>
      <c r="N475" s="78"/>
      <c r="O475" s="78"/>
      <c r="P475" s="78"/>
      <c r="Q475" s="78"/>
      <c r="R475" s="78"/>
      <c r="S475" s="78"/>
      <c r="T475" s="78"/>
      <c r="U475" s="78"/>
    </row>
    <row r="476" spans="13:21">
      <c r="M476" s="78"/>
      <c r="N476" s="78"/>
      <c r="O476" s="78"/>
      <c r="P476" s="78"/>
      <c r="Q476" s="78"/>
      <c r="R476" s="78"/>
      <c r="S476" s="78"/>
      <c r="T476" s="78"/>
      <c r="U476" s="78"/>
    </row>
    <row r="477" spans="13:21">
      <c r="M477" s="78"/>
      <c r="N477" s="78"/>
      <c r="O477" s="78"/>
      <c r="P477" s="78"/>
      <c r="Q477" s="78"/>
      <c r="R477" s="78"/>
      <c r="S477" s="78"/>
      <c r="T477" s="78"/>
      <c r="U477" s="78"/>
    </row>
    <row r="478" spans="13:21">
      <c r="M478" s="78"/>
      <c r="N478" s="78"/>
      <c r="O478" s="78"/>
      <c r="P478" s="78"/>
      <c r="Q478" s="78"/>
      <c r="R478" s="78"/>
      <c r="S478" s="78"/>
      <c r="T478" s="78"/>
      <c r="U478" s="78"/>
    </row>
    <row r="479" spans="13:21">
      <c r="M479" s="78"/>
      <c r="N479" s="78"/>
      <c r="O479" s="78"/>
      <c r="P479" s="78"/>
      <c r="Q479" s="78"/>
      <c r="R479" s="78"/>
      <c r="S479" s="78"/>
      <c r="T479" s="78"/>
      <c r="U479" s="78"/>
    </row>
    <row r="480" spans="13:21">
      <c r="M480" s="78"/>
      <c r="N480" s="78"/>
      <c r="O480" s="78"/>
      <c r="P480" s="78"/>
      <c r="Q480" s="78"/>
      <c r="R480" s="78"/>
      <c r="S480" s="78"/>
      <c r="T480" s="78"/>
      <c r="U480" s="78"/>
    </row>
    <row r="481" spans="13:21">
      <c r="M481" s="78"/>
      <c r="N481" s="78"/>
      <c r="O481" s="78"/>
      <c r="P481" s="78"/>
      <c r="Q481" s="78"/>
      <c r="R481" s="78"/>
      <c r="S481" s="78"/>
      <c r="T481" s="78"/>
      <c r="U481" s="78"/>
    </row>
    <row r="482" spans="13:21">
      <c r="M482" s="78"/>
      <c r="N482" s="78"/>
      <c r="O482" s="78"/>
      <c r="P482" s="78"/>
      <c r="Q482" s="78"/>
      <c r="R482" s="78"/>
      <c r="S482" s="78"/>
      <c r="T482" s="78"/>
      <c r="U482" s="78"/>
    </row>
    <row r="483" spans="13:21">
      <c r="M483" s="78"/>
      <c r="N483" s="78"/>
      <c r="O483" s="78"/>
      <c r="P483" s="78"/>
      <c r="Q483" s="78"/>
      <c r="R483" s="78"/>
      <c r="S483" s="78"/>
      <c r="T483" s="78"/>
      <c r="U483" s="78"/>
    </row>
    <row r="484" spans="13:21">
      <c r="M484" s="78"/>
      <c r="N484" s="78"/>
      <c r="O484" s="78"/>
      <c r="P484" s="78"/>
      <c r="Q484" s="78"/>
      <c r="R484" s="78"/>
      <c r="S484" s="78"/>
      <c r="T484" s="78"/>
      <c r="U484" s="78"/>
    </row>
    <row r="485" spans="13:21">
      <c r="M485" s="78"/>
      <c r="N485" s="78"/>
      <c r="O485" s="78"/>
      <c r="P485" s="78"/>
      <c r="Q485" s="78"/>
      <c r="R485" s="78"/>
      <c r="S485" s="78"/>
      <c r="T485" s="78"/>
      <c r="U485" s="78"/>
    </row>
    <row r="486" spans="13:21">
      <c r="M486" s="78"/>
      <c r="N486" s="78"/>
      <c r="O486" s="78"/>
      <c r="P486" s="78"/>
      <c r="Q486" s="78"/>
      <c r="R486" s="78"/>
      <c r="S486" s="78"/>
      <c r="T486" s="78"/>
      <c r="U486" s="78"/>
    </row>
    <row r="487" spans="13:21">
      <c r="M487" s="78"/>
      <c r="N487" s="78"/>
      <c r="O487" s="78"/>
      <c r="P487" s="78"/>
      <c r="Q487" s="78"/>
      <c r="R487" s="78"/>
      <c r="S487" s="78"/>
      <c r="T487" s="78"/>
      <c r="U487" s="78"/>
    </row>
    <row r="488" spans="13:21">
      <c r="M488" s="78"/>
      <c r="N488" s="78"/>
      <c r="O488" s="78"/>
      <c r="P488" s="78"/>
      <c r="Q488" s="78"/>
      <c r="R488" s="78"/>
      <c r="S488" s="78"/>
      <c r="T488" s="78"/>
      <c r="U488" s="78"/>
    </row>
    <row r="489" spans="13:21">
      <c r="M489" s="78"/>
      <c r="N489" s="78"/>
      <c r="O489" s="78"/>
      <c r="P489" s="78"/>
      <c r="Q489" s="78"/>
      <c r="R489" s="78"/>
      <c r="S489" s="78"/>
      <c r="T489" s="78"/>
      <c r="U489" s="78"/>
    </row>
    <row r="490" spans="13:21">
      <c r="M490" s="78"/>
      <c r="N490" s="78"/>
      <c r="O490" s="78"/>
      <c r="P490" s="78"/>
      <c r="Q490" s="78"/>
      <c r="R490" s="78"/>
      <c r="S490" s="78"/>
      <c r="T490" s="78"/>
      <c r="U490" s="78"/>
    </row>
    <row r="491" spans="13:21">
      <c r="M491" s="78"/>
      <c r="N491" s="78"/>
      <c r="O491" s="78"/>
      <c r="P491" s="78"/>
      <c r="Q491" s="78"/>
      <c r="R491" s="78"/>
      <c r="S491" s="78"/>
      <c r="T491" s="78"/>
      <c r="U491" s="78"/>
    </row>
    <row r="492" spans="13:21">
      <c r="M492" s="78"/>
      <c r="N492" s="78"/>
      <c r="O492" s="78"/>
      <c r="P492" s="78"/>
      <c r="Q492" s="78"/>
      <c r="R492" s="78"/>
      <c r="S492" s="78"/>
      <c r="T492" s="78"/>
      <c r="U492" s="78"/>
    </row>
    <row r="493" spans="13:21">
      <c r="M493" s="78"/>
      <c r="N493" s="78"/>
      <c r="O493" s="78"/>
      <c r="P493" s="78"/>
      <c r="Q493" s="78"/>
      <c r="R493" s="78"/>
      <c r="S493" s="78"/>
      <c r="T493" s="78"/>
      <c r="U493" s="78"/>
    </row>
    <row r="494" spans="13:21">
      <c r="M494" s="78"/>
      <c r="N494" s="78"/>
      <c r="O494" s="78"/>
      <c r="P494" s="78"/>
      <c r="Q494" s="78"/>
      <c r="R494" s="78"/>
      <c r="S494" s="78"/>
      <c r="T494" s="78"/>
      <c r="U494" s="78"/>
    </row>
    <row r="495" spans="13:21">
      <c r="M495" s="78"/>
      <c r="N495" s="78"/>
      <c r="O495" s="78"/>
      <c r="P495" s="78"/>
      <c r="Q495" s="78"/>
      <c r="R495" s="78"/>
      <c r="S495" s="78"/>
      <c r="T495" s="78"/>
      <c r="U495" s="78"/>
    </row>
    <row r="496" spans="13:21">
      <c r="M496" s="78"/>
      <c r="N496" s="78"/>
      <c r="O496" s="78"/>
      <c r="P496" s="78"/>
      <c r="Q496" s="78"/>
      <c r="R496" s="78"/>
      <c r="S496" s="78"/>
      <c r="T496" s="78"/>
      <c r="U496" s="78"/>
    </row>
    <row r="497" spans="13:21">
      <c r="M497" s="78"/>
      <c r="N497" s="78"/>
      <c r="O497" s="78"/>
      <c r="P497" s="78"/>
      <c r="Q497" s="78"/>
      <c r="R497" s="78"/>
      <c r="S497" s="78"/>
      <c r="T497" s="78"/>
      <c r="U497" s="78"/>
    </row>
    <row r="498" spans="13:21">
      <c r="M498" s="78"/>
      <c r="N498" s="78"/>
      <c r="O498" s="78"/>
      <c r="P498" s="78"/>
      <c r="Q498" s="78"/>
      <c r="R498" s="78"/>
      <c r="S498" s="78"/>
      <c r="T498" s="78"/>
      <c r="U498" s="78"/>
    </row>
    <row r="499" spans="13:21">
      <c r="M499" s="78"/>
      <c r="N499" s="78"/>
      <c r="O499" s="78"/>
      <c r="P499" s="78"/>
      <c r="Q499" s="78"/>
      <c r="R499" s="78"/>
      <c r="S499" s="78"/>
      <c r="T499" s="78"/>
      <c r="U499" s="78"/>
    </row>
    <row r="500" spans="13:21">
      <c r="M500" s="78"/>
      <c r="N500" s="78"/>
      <c r="O500" s="78"/>
      <c r="P500" s="78"/>
      <c r="Q500" s="78"/>
      <c r="R500" s="78"/>
      <c r="S500" s="78"/>
      <c r="T500" s="78"/>
      <c r="U500" s="78"/>
    </row>
    <row r="501" spans="13:21">
      <c r="M501" s="78"/>
      <c r="N501" s="78"/>
      <c r="O501" s="78"/>
      <c r="P501" s="78"/>
      <c r="Q501" s="78"/>
      <c r="R501" s="78"/>
      <c r="S501" s="78"/>
      <c r="T501" s="78"/>
      <c r="U501" s="78"/>
    </row>
    <row r="502" spans="13:21">
      <c r="M502" s="78"/>
      <c r="N502" s="78"/>
      <c r="O502" s="78"/>
      <c r="P502" s="78"/>
      <c r="Q502" s="78"/>
      <c r="R502" s="78"/>
      <c r="S502" s="78"/>
      <c r="T502" s="78"/>
      <c r="U502" s="78"/>
    </row>
    <row r="503" spans="13:21">
      <c r="M503" s="78"/>
      <c r="N503" s="78"/>
      <c r="O503" s="78"/>
      <c r="P503" s="78"/>
      <c r="Q503" s="78"/>
      <c r="R503" s="78"/>
      <c r="S503" s="78"/>
      <c r="T503" s="78"/>
      <c r="U503" s="78"/>
    </row>
    <row r="504" spans="13:21">
      <c r="M504" s="78"/>
      <c r="N504" s="78"/>
      <c r="O504" s="78"/>
      <c r="P504" s="78"/>
      <c r="Q504" s="78"/>
      <c r="R504" s="78"/>
      <c r="S504" s="78"/>
      <c r="T504" s="78"/>
      <c r="U504" s="78"/>
    </row>
    <row r="505" spans="13:21">
      <c r="M505" s="78"/>
      <c r="N505" s="78"/>
      <c r="O505" s="78"/>
      <c r="P505" s="78"/>
      <c r="Q505" s="78"/>
      <c r="R505" s="78"/>
      <c r="S505" s="78"/>
      <c r="T505" s="78"/>
      <c r="U505" s="78"/>
    </row>
    <row r="506" spans="13:21">
      <c r="M506" s="78"/>
      <c r="N506" s="78"/>
      <c r="O506" s="78"/>
      <c r="P506" s="78"/>
      <c r="Q506" s="78"/>
      <c r="R506" s="78"/>
      <c r="S506" s="78"/>
      <c r="T506" s="78"/>
      <c r="U506" s="78"/>
    </row>
    <row r="507" spans="13:21">
      <c r="M507" s="78"/>
      <c r="N507" s="78"/>
      <c r="O507" s="78"/>
      <c r="P507" s="78"/>
      <c r="Q507" s="78"/>
      <c r="R507" s="78"/>
      <c r="S507" s="78"/>
      <c r="T507" s="78"/>
      <c r="U507" s="78"/>
    </row>
    <row r="508" spans="13:21">
      <c r="M508" s="78"/>
      <c r="N508" s="78"/>
      <c r="O508" s="78"/>
      <c r="P508" s="78"/>
      <c r="Q508" s="78"/>
      <c r="R508" s="78"/>
      <c r="S508" s="78"/>
      <c r="T508" s="78"/>
      <c r="U508" s="78"/>
    </row>
    <row r="509" spans="13:21">
      <c r="M509" s="78"/>
      <c r="N509" s="78"/>
      <c r="O509" s="78"/>
      <c r="P509" s="78"/>
      <c r="Q509" s="78"/>
      <c r="R509" s="78"/>
      <c r="S509" s="78"/>
      <c r="T509" s="78"/>
      <c r="U509" s="78"/>
    </row>
    <row r="510" spans="13:21">
      <c r="M510" s="78"/>
      <c r="N510" s="78"/>
      <c r="O510" s="78"/>
      <c r="P510" s="78"/>
      <c r="Q510" s="78"/>
      <c r="R510" s="78"/>
      <c r="S510" s="78"/>
      <c r="T510" s="78"/>
      <c r="U510" s="78"/>
    </row>
    <row r="511" spans="13:21">
      <c r="M511" s="78"/>
      <c r="N511" s="78"/>
      <c r="O511" s="78"/>
      <c r="P511" s="78"/>
      <c r="Q511" s="78"/>
      <c r="R511" s="78"/>
      <c r="S511" s="78"/>
      <c r="T511" s="78"/>
      <c r="U511" s="78"/>
    </row>
    <row r="512" spans="13:21">
      <c r="M512" s="78"/>
      <c r="N512" s="78"/>
      <c r="O512" s="78"/>
      <c r="P512" s="78"/>
      <c r="Q512" s="78"/>
      <c r="R512" s="78"/>
      <c r="S512" s="78"/>
      <c r="T512" s="78"/>
      <c r="U512" s="78"/>
    </row>
    <row r="513" spans="13:21">
      <c r="M513" s="78"/>
      <c r="N513" s="78"/>
      <c r="O513" s="78"/>
      <c r="P513" s="78"/>
      <c r="Q513" s="78"/>
      <c r="R513" s="78"/>
      <c r="S513" s="78"/>
      <c r="T513" s="78"/>
      <c r="U513" s="78"/>
    </row>
    <row r="514" spans="13:21">
      <c r="M514" s="78"/>
      <c r="N514" s="78"/>
      <c r="O514" s="78"/>
      <c r="P514" s="78"/>
      <c r="Q514" s="78"/>
      <c r="R514" s="78"/>
      <c r="S514" s="78"/>
      <c r="T514" s="78"/>
      <c r="U514" s="78"/>
    </row>
    <row r="515" spans="13:21">
      <c r="M515" s="78"/>
      <c r="N515" s="78"/>
      <c r="O515" s="78"/>
      <c r="P515" s="78"/>
      <c r="Q515" s="78"/>
      <c r="R515" s="78"/>
      <c r="S515" s="78"/>
      <c r="T515" s="78"/>
      <c r="U515" s="78"/>
    </row>
    <row r="516" spans="13:21">
      <c r="M516" s="78"/>
      <c r="N516" s="78"/>
      <c r="O516" s="78"/>
      <c r="P516" s="78"/>
      <c r="Q516" s="78"/>
      <c r="R516" s="78"/>
      <c r="S516" s="78"/>
      <c r="T516" s="78"/>
      <c r="U516" s="78"/>
    </row>
    <row r="517" spans="13:21">
      <c r="M517" s="78"/>
      <c r="N517" s="78"/>
      <c r="O517" s="78"/>
      <c r="P517" s="78"/>
      <c r="Q517" s="78"/>
      <c r="R517" s="78"/>
      <c r="S517" s="78"/>
      <c r="T517" s="78"/>
      <c r="U517" s="78"/>
    </row>
    <row r="518" spans="13:21">
      <c r="M518" s="78"/>
      <c r="N518" s="78"/>
      <c r="O518" s="78"/>
      <c r="P518" s="78"/>
      <c r="Q518" s="78"/>
      <c r="R518" s="78"/>
      <c r="S518" s="78"/>
      <c r="T518" s="78"/>
      <c r="U518" s="78"/>
    </row>
  </sheetData>
  <mergeCells count="8">
    <mergeCell ref="A411:J411"/>
    <mergeCell ref="A1:J1"/>
    <mergeCell ref="C4:D4"/>
    <mergeCell ref="A4:A5"/>
    <mergeCell ref="A2:J2"/>
    <mergeCell ref="A3:J3"/>
    <mergeCell ref="F4:G4"/>
    <mergeCell ref="I4:J4"/>
  </mergeCells>
  <printOptions horizontalCentered="1"/>
  <pageMargins left="0.27" right="0" top="0" bottom="0" header="0.31496062992126" footer="0.31496062992126"/>
  <pageSetup scale="66" orientation="portrait" r:id="rId1"/>
  <rowBreaks count="6" manualBreakCount="6">
    <brk id="74" max="9" man="1"/>
    <brk id="130" max="9" man="1"/>
    <brk id="186" max="9" man="1"/>
    <brk id="242" max="9" man="1"/>
    <brk id="298" max="9" man="1"/>
    <brk id="381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3611-299E-4371-B305-9EE0B442266A}">
  <sheetPr codeName="Sheet7"/>
  <dimension ref="A1:Z341"/>
  <sheetViews>
    <sheetView showGridLines="0" view="pageBreakPreview" zoomScaleNormal="100" zoomScaleSheetLayoutView="100" workbookViewId="0">
      <pane ySplit="6" topLeftCell="A66" activePane="bottomLeft" state="frozen"/>
      <selection pane="bottomLeft" activeCell="A3" sqref="A3:N3"/>
    </sheetView>
  </sheetViews>
  <sheetFormatPr defaultRowHeight="14.25"/>
  <cols>
    <col min="1" max="1" width="7" style="64" customWidth="1"/>
    <col min="2" max="2" width="12.85546875" style="64" customWidth="1"/>
    <col min="3" max="3" width="10.7109375" style="64" customWidth="1"/>
    <col min="4" max="4" width="11.7109375" style="64" customWidth="1"/>
    <col min="5" max="14" width="10.7109375" style="64" customWidth="1"/>
    <col min="15" max="17" width="9.140625" style="64"/>
    <col min="18" max="18" width="28.42578125" style="64" bestFit="1" customWidth="1"/>
    <col min="19" max="16384" width="9.140625" style="64"/>
  </cols>
  <sheetData>
    <row r="1" spans="1:18" ht="15">
      <c r="A1" s="330" t="s">
        <v>339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</row>
    <row r="2" spans="1:18" ht="15">
      <c r="A2" s="330" t="s">
        <v>361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</row>
    <row r="3" spans="1:18" ht="15">
      <c r="A3" s="330" t="s">
        <v>281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</row>
    <row r="4" spans="1:18" ht="6.75" customHeight="1" thickBo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</row>
    <row r="5" spans="1:18" ht="15" customHeight="1" thickBot="1">
      <c r="A5" s="326" t="s">
        <v>21</v>
      </c>
      <c r="B5" s="326"/>
      <c r="C5" s="320" t="s">
        <v>40</v>
      </c>
      <c r="D5" s="320"/>
      <c r="E5" s="320" t="s">
        <v>41</v>
      </c>
      <c r="F5" s="320"/>
      <c r="G5" s="320" t="s">
        <v>42</v>
      </c>
      <c r="H5" s="320"/>
      <c r="I5" s="320" t="s">
        <v>43</v>
      </c>
      <c r="J5" s="320"/>
      <c r="K5" s="320" t="s">
        <v>44</v>
      </c>
      <c r="L5" s="320"/>
      <c r="M5" s="320" t="s">
        <v>45</v>
      </c>
      <c r="N5" s="320"/>
    </row>
    <row r="6" spans="1:18" ht="18.75" customHeight="1" thickBot="1">
      <c r="A6" s="334"/>
      <c r="B6" s="334"/>
      <c r="C6" s="233" t="s">
        <v>152</v>
      </c>
      <c r="D6" s="233" t="s">
        <v>172</v>
      </c>
      <c r="E6" s="233" t="s">
        <v>152</v>
      </c>
      <c r="F6" s="233" t="s">
        <v>172</v>
      </c>
      <c r="G6" s="233" t="s">
        <v>152</v>
      </c>
      <c r="H6" s="233" t="s">
        <v>172</v>
      </c>
      <c r="I6" s="233" t="s">
        <v>152</v>
      </c>
      <c r="J6" s="233" t="s">
        <v>172</v>
      </c>
      <c r="K6" s="233" t="s">
        <v>152</v>
      </c>
      <c r="L6" s="233" t="s">
        <v>172</v>
      </c>
      <c r="M6" s="233" t="s">
        <v>152</v>
      </c>
      <c r="N6" s="233" t="s">
        <v>172</v>
      </c>
    </row>
    <row r="7" spans="1:18" ht="15.6" customHeight="1" thickTop="1">
      <c r="A7" s="75">
        <v>2020</v>
      </c>
      <c r="B7" s="75" t="s">
        <v>280</v>
      </c>
      <c r="C7" s="76">
        <v>104.39400000000001</v>
      </c>
      <c r="D7" s="76" t="s">
        <v>2</v>
      </c>
      <c r="E7" s="76">
        <v>105.333</v>
      </c>
      <c r="F7" s="76" t="s">
        <v>2</v>
      </c>
      <c r="G7" s="76">
        <v>104.8222</v>
      </c>
      <c r="H7" s="76" t="s">
        <v>2</v>
      </c>
      <c r="I7" s="76">
        <v>104.636</v>
      </c>
      <c r="J7" s="76" t="s">
        <v>2</v>
      </c>
      <c r="K7" s="76">
        <v>104.43300000000001</v>
      </c>
      <c r="L7" s="76" t="s">
        <v>2</v>
      </c>
      <c r="M7" s="76">
        <v>103.55</v>
      </c>
      <c r="N7" s="76" t="s">
        <v>2</v>
      </c>
    </row>
    <row r="8" spans="1:18" ht="15.6" customHeight="1">
      <c r="A8" s="69">
        <v>2021</v>
      </c>
      <c r="B8" s="69" t="s">
        <v>280</v>
      </c>
      <c r="C8" s="77">
        <v>113.26300000000001</v>
      </c>
      <c r="D8" s="77">
        <f t="shared" ref="D8:D10" si="0">(C8/C7-1)*100</f>
        <v>8.4956989865317958</v>
      </c>
      <c r="E8" s="77">
        <v>114.509</v>
      </c>
      <c r="F8" s="77">
        <f>(E8/E7-1)*100</f>
        <v>8.7114199728480113</v>
      </c>
      <c r="G8" s="77">
        <v>114.011</v>
      </c>
      <c r="H8" s="77">
        <f>(G8/G7-1)*100</f>
        <v>8.7660819940813983</v>
      </c>
      <c r="I8" s="77">
        <v>113.523</v>
      </c>
      <c r="J8" s="77">
        <f>(I8/I7-1)*100</f>
        <v>8.4932528001834928</v>
      </c>
      <c r="K8" s="77">
        <v>112.961</v>
      </c>
      <c r="L8" s="77">
        <f>(K8/K7-1)*100</f>
        <v>8.1660011682131106</v>
      </c>
      <c r="M8" s="77">
        <v>111.94</v>
      </c>
      <c r="N8" s="77">
        <f>(M8/M7-1)*100</f>
        <v>8.1023660067600201</v>
      </c>
      <c r="O8" s="78"/>
    </row>
    <row r="9" spans="1:18" ht="15.6" customHeight="1">
      <c r="A9" s="69">
        <v>2022</v>
      </c>
      <c r="B9" s="69" t="s">
        <v>280</v>
      </c>
      <c r="C9" s="77">
        <v>122.128</v>
      </c>
      <c r="D9" s="77">
        <f t="shared" si="0"/>
        <v>7.8269161155893663</v>
      </c>
      <c r="E9" s="77">
        <v>124.345</v>
      </c>
      <c r="F9" s="77">
        <f t="shared" ref="F9:F12" si="1">(E9/E8-1)*100</f>
        <v>8.5897178387724935</v>
      </c>
      <c r="G9" s="77">
        <v>123.779</v>
      </c>
      <c r="H9" s="77">
        <f t="shared" ref="H9:H12" si="2">(G9/G8-1)*100</f>
        <v>8.5675943549306623</v>
      </c>
      <c r="I9" s="77">
        <v>122.866</v>
      </c>
      <c r="J9" s="77">
        <f t="shared" ref="J9:J12" si="3">(I9/I8-1)*100</f>
        <v>8.2300502981774706</v>
      </c>
      <c r="K9" s="77">
        <v>121.684</v>
      </c>
      <c r="L9" s="77">
        <f t="shared" ref="L9:L12" si="4">(K9/K8-1)*100</f>
        <v>7.7221341879055494</v>
      </c>
      <c r="M9" s="77">
        <v>119.83</v>
      </c>
      <c r="N9" s="77">
        <f t="shared" ref="N9:N12" si="5">(M9/M8-1)*100</f>
        <v>7.0484187957834621</v>
      </c>
      <c r="O9" s="78"/>
    </row>
    <row r="10" spans="1:18" ht="15.6" customHeight="1">
      <c r="A10" s="69">
        <v>2023</v>
      </c>
      <c r="B10" s="69" t="s">
        <v>280</v>
      </c>
      <c r="C10" s="77">
        <v>126.4866</v>
      </c>
      <c r="D10" s="77">
        <f t="shared" si="0"/>
        <v>3.5688785536486245</v>
      </c>
      <c r="E10" s="77">
        <v>129.5334</v>
      </c>
      <c r="F10" s="77">
        <f t="shared" si="1"/>
        <v>4.1725843419518238</v>
      </c>
      <c r="G10" s="77">
        <v>128.6814</v>
      </c>
      <c r="H10" s="77">
        <f t="shared" si="2"/>
        <v>3.9606072112393864</v>
      </c>
      <c r="I10" s="77">
        <v>127.51139999999999</v>
      </c>
      <c r="J10" s="77">
        <f t="shared" si="3"/>
        <v>3.7808669607539924</v>
      </c>
      <c r="K10" s="77">
        <v>126.0158</v>
      </c>
      <c r="L10" s="77">
        <f t="shared" si="4"/>
        <v>3.5598764011702366</v>
      </c>
      <c r="M10" s="77">
        <v>123.32769999999999</v>
      </c>
      <c r="N10" s="77">
        <f t="shared" si="5"/>
        <v>2.9188850872068794</v>
      </c>
      <c r="O10" s="78"/>
    </row>
    <row r="11" spans="1:18" ht="15.6" customHeight="1">
      <c r="A11" s="69">
        <v>2024</v>
      </c>
      <c r="B11" s="69" t="s">
        <v>280</v>
      </c>
      <c r="C11" s="77">
        <v>130.72200000000001</v>
      </c>
      <c r="D11" s="77">
        <f>(C11/C10-1)*100</f>
        <v>3.348496994938599</v>
      </c>
      <c r="E11" s="77">
        <v>134.00790000000001</v>
      </c>
      <c r="F11" s="77">
        <f t="shared" si="1"/>
        <v>3.4543214336997252</v>
      </c>
      <c r="G11" s="77">
        <v>132.81280000000001</v>
      </c>
      <c r="H11" s="77">
        <f t="shared" si="2"/>
        <v>3.2105650078410708</v>
      </c>
      <c r="I11" s="77">
        <v>131.4657</v>
      </c>
      <c r="J11" s="77">
        <f t="shared" si="3"/>
        <v>3.1011344867988289</v>
      </c>
      <c r="K11" s="77">
        <v>130.19880000000001</v>
      </c>
      <c r="L11" s="77">
        <f t="shared" si="4"/>
        <v>3.3194250244810597</v>
      </c>
      <c r="M11" s="77">
        <v>127.3</v>
      </c>
      <c r="N11" s="77">
        <f t="shared" si="5"/>
        <v>3.2209309019790355</v>
      </c>
      <c r="O11" s="78"/>
    </row>
    <row r="12" spans="1:18" ht="15.6" customHeight="1">
      <c r="A12" s="69">
        <v>2025</v>
      </c>
      <c r="B12" s="69" t="s">
        <v>280</v>
      </c>
      <c r="C12" s="77">
        <v>137.19550000000001</v>
      </c>
      <c r="D12" s="77">
        <f>(C12/C11-1)*100</f>
        <v>4.9521121157876991</v>
      </c>
      <c r="E12" s="77">
        <v>140.84</v>
      </c>
      <c r="F12" s="77">
        <f t="shared" si="1"/>
        <v>5.0982815192238684</v>
      </c>
      <c r="G12" s="77">
        <v>139.86969999999999</v>
      </c>
      <c r="H12" s="77">
        <f t="shared" si="2"/>
        <v>5.3134185861603678</v>
      </c>
      <c r="I12" s="77">
        <v>138.16669999999999</v>
      </c>
      <c r="J12" s="77">
        <f t="shared" si="3"/>
        <v>5.0971470124907103</v>
      </c>
      <c r="K12" s="77">
        <v>136.4691</v>
      </c>
      <c r="L12" s="77">
        <f t="shared" si="4"/>
        <v>4.8159430040829898</v>
      </c>
      <c r="M12" s="77">
        <v>132.93960000000001</v>
      </c>
      <c r="N12" s="77">
        <f t="shared" si="5"/>
        <v>4.4301649646504515</v>
      </c>
      <c r="O12" s="78"/>
    </row>
    <row r="13" spans="1:18" ht="15.6" customHeight="1">
      <c r="A13" s="79"/>
      <c r="B13" s="79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78"/>
      <c r="R13" s="80"/>
    </row>
    <row r="14" spans="1:18" ht="15.6" customHeight="1">
      <c r="A14" s="69">
        <v>2020</v>
      </c>
      <c r="B14" s="81" t="s">
        <v>12</v>
      </c>
      <c r="C14" s="77">
        <v>103.276</v>
      </c>
      <c r="D14" s="82">
        <v>0.66279388833283548</v>
      </c>
      <c r="E14" s="77">
        <v>103.98063</v>
      </c>
      <c r="F14" s="77">
        <v>0.95307749193997893</v>
      </c>
      <c r="G14" s="77">
        <v>103.49632</v>
      </c>
      <c r="H14" s="77">
        <v>0.76890871667450256</v>
      </c>
      <c r="I14" s="77">
        <v>103.42521000000001</v>
      </c>
      <c r="J14" s="77">
        <v>0.74694318760634815</v>
      </c>
      <c r="K14" s="77">
        <v>103.3344</v>
      </c>
      <c r="L14" s="77">
        <v>0.63543805959218957</v>
      </c>
      <c r="M14" s="77">
        <v>102.61865</v>
      </c>
      <c r="N14" s="77">
        <v>0.37473270058534069</v>
      </c>
      <c r="P14" s="1"/>
      <c r="Q14" s="1"/>
      <c r="R14" s="83"/>
    </row>
    <row r="15" spans="1:18" ht="15.6" customHeight="1">
      <c r="A15" s="81"/>
      <c r="B15" s="81" t="s">
        <v>13</v>
      </c>
      <c r="C15" s="77">
        <v>103.893</v>
      </c>
      <c r="D15" s="77">
        <v>0.59742825051318782</v>
      </c>
      <c r="E15" s="77">
        <v>104.877</v>
      </c>
      <c r="F15" s="77">
        <v>0.8620547884735652</v>
      </c>
      <c r="G15" s="77">
        <v>104.33</v>
      </c>
      <c r="H15" s="77">
        <v>0.8055165632942396</v>
      </c>
      <c r="I15" s="77">
        <v>104.176</v>
      </c>
      <c r="J15" s="77">
        <v>0.72592552628125695</v>
      </c>
      <c r="K15" s="77">
        <v>103.92100000000001</v>
      </c>
      <c r="L15" s="77">
        <v>0.5676715595194004</v>
      </c>
      <c r="M15" s="77">
        <v>102.983</v>
      </c>
      <c r="N15" s="77">
        <v>0.35505241980868796</v>
      </c>
      <c r="P15" s="1"/>
      <c r="Q15" s="1"/>
      <c r="R15" s="1"/>
    </row>
    <row r="16" spans="1:18" ht="15.6" customHeight="1">
      <c r="A16" s="81"/>
      <c r="B16" s="81" t="s">
        <v>14</v>
      </c>
      <c r="C16" s="77">
        <v>104.39400000000001</v>
      </c>
      <c r="D16" s="77">
        <v>0.4822269065288376</v>
      </c>
      <c r="E16" s="77">
        <v>105.333</v>
      </c>
      <c r="F16" s="77">
        <v>0.43479504562486948</v>
      </c>
      <c r="G16" s="77">
        <v>104.8222</v>
      </c>
      <c r="H16" s="77">
        <v>0.47177226109460513</v>
      </c>
      <c r="I16" s="77">
        <v>104.636</v>
      </c>
      <c r="J16" s="77">
        <v>0.44156043618490681</v>
      </c>
      <c r="K16" s="77">
        <v>104.43300000000001</v>
      </c>
      <c r="L16" s="77">
        <v>0.49268194108986751</v>
      </c>
      <c r="M16" s="77">
        <v>103.55</v>
      </c>
      <c r="N16" s="77">
        <v>0.55057630871113705</v>
      </c>
      <c r="P16" s="1"/>
      <c r="Q16" s="1"/>
      <c r="R16" s="1"/>
    </row>
    <row r="17" spans="1:25" ht="15.6" customHeight="1">
      <c r="A17" s="81"/>
      <c r="B17" s="81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P17" s="1"/>
      <c r="Q17" s="1"/>
      <c r="R17" s="1"/>
    </row>
    <row r="18" spans="1:25" ht="15.6" customHeight="1">
      <c r="A18" s="69">
        <v>2021</v>
      </c>
      <c r="B18" s="81" t="s">
        <v>3</v>
      </c>
      <c r="C18" s="77">
        <v>105.404</v>
      </c>
      <c r="D18" s="77">
        <v>0.96748855298196546</v>
      </c>
      <c r="E18" s="77">
        <v>106.43899999999999</v>
      </c>
      <c r="F18" s="77">
        <v>1.0500033227953232</v>
      </c>
      <c r="G18" s="77">
        <v>105.91500000000001</v>
      </c>
      <c r="H18" s="77">
        <v>1.0425272509067884</v>
      </c>
      <c r="I18" s="77">
        <v>105.762</v>
      </c>
      <c r="J18" s="77">
        <v>1.0761114721510756</v>
      </c>
      <c r="K18" s="77">
        <v>105.483</v>
      </c>
      <c r="L18" s="77">
        <v>1.0054293183189289</v>
      </c>
      <c r="M18" s="77">
        <v>104.387</v>
      </c>
      <c r="N18" s="77">
        <v>0.80830516658618734</v>
      </c>
      <c r="P18" s="1"/>
      <c r="Q18" s="1"/>
      <c r="R18" s="1"/>
    </row>
    <row r="19" spans="1:25" ht="15.6" customHeight="1">
      <c r="A19" s="81"/>
      <c r="B19" s="81" t="s">
        <v>4</v>
      </c>
      <c r="C19" s="77">
        <v>106.124</v>
      </c>
      <c r="D19" s="77">
        <v>0.68308603089066722</v>
      </c>
      <c r="E19" s="77">
        <v>107.09099999999999</v>
      </c>
      <c r="F19" s="77">
        <v>0.61255742725880857</v>
      </c>
      <c r="G19" s="77">
        <v>106.63200000000001</v>
      </c>
      <c r="H19" s="77">
        <v>0.67695793796913595</v>
      </c>
      <c r="I19" s="77">
        <v>106.45699999999999</v>
      </c>
      <c r="J19" s="77">
        <v>0.65713583328605996</v>
      </c>
      <c r="K19" s="77">
        <v>106.28400000000001</v>
      </c>
      <c r="L19" s="77">
        <v>0.7593640681436753</v>
      </c>
      <c r="M19" s="77">
        <v>105.13200000000001</v>
      </c>
      <c r="N19" s="77">
        <v>0.71369040206157308</v>
      </c>
      <c r="P19" s="1"/>
      <c r="Q19" s="1"/>
      <c r="R19" s="1"/>
    </row>
    <row r="20" spans="1:25" ht="15.6" customHeight="1">
      <c r="A20" s="81"/>
      <c r="B20" s="81" t="s">
        <v>5</v>
      </c>
      <c r="C20" s="77">
        <v>106.764</v>
      </c>
      <c r="D20" s="77">
        <v>0.60306810900456753</v>
      </c>
      <c r="E20" s="77">
        <v>107.468</v>
      </c>
      <c r="F20" s="77">
        <v>0.3520370526001404</v>
      </c>
      <c r="G20" s="77">
        <v>107.113</v>
      </c>
      <c r="H20" s="77">
        <v>0.45108410233325458</v>
      </c>
      <c r="I20" s="77">
        <v>106.96899999999999</v>
      </c>
      <c r="J20" s="77">
        <v>0.48094535821974205</v>
      </c>
      <c r="K20" s="77">
        <v>106.83199999999999</v>
      </c>
      <c r="L20" s="77">
        <v>0.51559971397387994</v>
      </c>
      <c r="M20" s="77">
        <v>105.974</v>
      </c>
      <c r="N20" s="77">
        <v>0.80089791880684214</v>
      </c>
      <c r="P20" s="1"/>
      <c r="Q20" s="1"/>
      <c r="R20" s="1"/>
    </row>
    <row r="21" spans="1:25" ht="15.6" customHeight="1">
      <c r="A21" s="81"/>
      <c r="B21" s="81" t="s">
        <v>6</v>
      </c>
      <c r="C21" s="77">
        <v>107.206</v>
      </c>
      <c r="D21" s="77">
        <v>0.41399722752988311</v>
      </c>
      <c r="E21" s="77">
        <v>107.873</v>
      </c>
      <c r="F21" s="77">
        <v>0.37685636654631871</v>
      </c>
      <c r="G21" s="77">
        <v>107.498</v>
      </c>
      <c r="H21" s="77">
        <v>0.35943349546740944</v>
      </c>
      <c r="I21" s="77">
        <v>107.426</v>
      </c>
      <c r="J21" s="77">
        <v>0.42722657966327571</v>
      </c>
      <c r="K21" s="77">
        <v>107.252</v>
      </c>
      <c r="L21" s="77">
        <v>0.3931406320203612</v>
      </c>
      <c r="M21" s="77">
        <v>106.41800000000001</v>
      </c>
      <c r="N21" s="77">
        <v>0.41897069092418082</v>
      </c>
      <c r="P21" s="1"/>
      <c r="Q21" s="1"/>
      <c r="R21" s="1"/>
    </row>
    <row r="22" spans="1:25" ht="15.6" customHeight="1">
      <c r="A22" s="81"/>
      <c r="B22" s="81" t="s">
        <v>7</v>
      </c>
      <c r="C22" s="77">
        <v>107.901</v>
      </c>
      <c r="D22" s="77">
        <v>0.64828461093595635</v>
      </c>
      <c r="E22" s="77">
        <v>108.578</v>
      </c>
      <c r="F22" s="77">
        <v>0.65354629981553281</v>
      </c>
      <c r="G22" s="77">
        <v>108.23099999999999</v>
      </c>
      <c r="H22" s="77">
        <v>0.68187315112837599</v>
      </c>
      <c r="I22" s="77">
        <v>108.095</v>
      </c>
      <c r="J22" s="77">
        <v>0.62275426805429301</v>
      </c>
      <c r="K22" s="77">
        <v>107.902</v>
      </c>
      <c r="L22" s="77">
        <v>0.60604930444188021</v>
      </c>
      <c r="M22" s="77">
        <v>107.127</v>
      </c>
      <c r="N22" s="77">
        <v>0.66624067357023975</v>
      </c>
      <c r="P22" s="1"/>
      <c r="Q22" s="1"/>
      <c r="R22" s="1"/>
    </row>
    <row r="23" spans="1:25" ht="15.6" customHeight="1">
      <c r="A23" s="81"/>
      <c r="B23" s="81" t="s">
        <v>8</v>
      </c>
      <c r="C23" s="77">
        <v>108.58499999999999</v>
      </c>
      <c r="D23" s="77">
        <v>0.63391442155309452</v>
      </c>
      <c r="E23" s="77">
        <v>109.414</v>
      </c>
      <c r="F23" s="77">
        <v>0.76995339755752124</v>
      </c>
      <c r="G23" s="77">
        <v>109.008</v>
      </c>
      <c r="H23" s="77">
        <v>0.71790891703855664</v>
      </c>
      <c r="I23" s="77">
        <v>108.837</v>
      </c>
      <c r="J23" s="77">
        <v>0.68643323002914869</v>
      </c>
      <c r="K23" s="77">
        <v>108.521</v>
      </c>
      <c r="L23" s="77">
        <v>0.57366869937536258</v>
      </c>
      <c r="M23" s="77">
        <v>107.634</v>
      </c>
      <c r="N23" s="77">
        <v>0.47327004396651162</v>
      </c>
      <c r="P23" s="1"/>
      <c r="Q23" s="1"/>
      <c r="R23" s="1"/>
    </row>
    <row r="24" spans="1:25" ht="15.6" customHeight="1">
      <c r="A24" s="81"/>
      <c r="B24" s="81" t="s">
        <v>9</v>
      </c>
      <c r="C24" s="77">
        <v>109.16800000000001</v>
      </c>
      <c r="D24" s="77">
        <v>0.53690657088918403</v>
      </c>
      <c r="E24" s="77">
        <v>110.098</v>
      </c>
      <c r="F24" s="77">
        <v>0.62514851847113029</v>
      </c>
      <c r="G24" s="77">
        <v>109.68899999999999</v>
      </c>
      <c r="H24" s="77">
        <v>0.62472479084103583</v>
      </c>
      <c r="I24" s="77">
        <v>109.432</v>
      </c>
      <c r="J24" s="77">
        <v>0.54668908551320783</v>
      </c>
      <c r="K24" s="77">
        <v>109.06699999999999</v>
      </c>
      <c r="L24" s="77">
        <v>0.50312842675610536</v>
      </c>
      <c r="M24" s="77">
        <v>108.08799999999999</v>
      </c>
      <c r="N24" s="77">
        <v>0.42179980303620468</v>
      </c>
      <c r="P24" s="1"/>
      <c r="Q24" s="1"/>
      <c r="R24" s="1"/>
    </row>
    <row r="25" spans="1:25" ht="15.6" customHeight="1">
      <c r="A25" s="81"/>
      <c r="B25" s="81" t="s">
        <v>10</v>
      </c>
      <c r="C25" s="77">
        <v>110.039</v>
      </c>
      <c r="D25" s="77">
        <v>0.79785285065219202</v>
      </c>
      <c r="E25" s="77">
        <v>110.983</v>
      </c>
      <c r="F25" s="77">
        <v>0.80382931570055494</v>
      </c>
      <c r="G25" s="77">
        <v>110.577</v>
      </c>
      <c r="H25" s="77">
        <v>0.80956157864509048</v>
      </c>
      <c r="I25" s="77">
        <v>110.277</v>
      </c>
      <c r="J25" s="77">
        <v>0.77216901820309491</v>
      </c>
      <c r="K25" s="77">
        <v>109.87</v>
      </c>
      <c r="L25" s="77">
        <v>0.73624469362869593</v>
      </c>
      <c r="M25" s="77">
        <v>108.839</v>
      </c>
      <c r="N25" s="77">
        <v>0.6948042335874538</v>
      </c>
      <c r="P25" s="1"/>
      <c r="Q25" s="1"/>
      <c r="R25" s="1"/>
    </row>
    <row r="26" spans="1:25" ht="15.6" customHeight="1">
      <c r="B26" s="81" t="s">
        <v>11</v>
      </c>
      <c r="C26" s="77">
        <v>110.535</v>
      </c>
      <c r="D26" s="77">
        <v>0.45074927980079948</v>
      </c>
      <c r="E26" s="77">
        <v>111.524</v>
      </c>
      <c r="F26" s="77">
        <v>0.48746204373641966</v>
      </c>
      <c r="G26" s="77">
        <v>111.21</v>
      </c>
      <c r="H26" s="77">
        <v>0.57245177568572281</v>
      </c>
      <c r="I26" s="77">
        <v>110.901</v>
      </c>
      <c r="J26" s="77">
        <v>0.56584781958159969</v>
      </c>
      <c r="K26" s="77">
        <v>110.39700000000001</v>
      </c>
      <c r="L26" s="77">
        <v>0.47965777737326576</v>
      </c>
      <c r="M26" s="77">
        <v>109.108</v>
      </c>
      <c r="N26" s="77">
        <v>0.24715405323458839</v>
      </c>
      <c r="P26" s="1"/>
      <c r="Q26" s="1"/>
      <c r="R26" s="1"/>
    </row>
    <row r="27" spans="1:25" ht="15.6" customHeight="1">
      <c r="B27" s="81" t="s">
        <v>12</v>
      </c>
      <c r="C27" s="77">
        <v>111.244</v>
      </c>
      <c r="D27" s="77">
        <v>0.64142579273533951</v>
      </c>
      <c r="E27" s="77">
        <v>112.364</v>
      </c>
      <c r="F27" s="77">
        <v>0.75320110469496715</v>
      </c>
      <c r="G27" s="77">
        <v>111.97199999999999</v>
      </c>
      <c r="H27" s="77">
        <v>0.68519018073913696</v>
      </c>
      <c r="I27" s="77">
        <v>111.64400000000001</v>
      </c>
      <c r="J27" s="77">
        <v>0.66996690742193721</v>
      </c>
      <c r="K27" s="77">
        <v>111.116</v>
      </c>
      <c r="L27" s="77">
        <v>0.65128581392610574</v>
      </c>
      <c r="M27" s="77">
        <v>109.75</v>
      </c>
      <c r="N27" s="77">
        <v>0.58840781610880466</v>
      </c>
      <c r="P27" s="1"/>
      <c r="Q27" s="1"/>
      <c r="R27" s="1"/>
    </row>
    <row r="28" spans="1:25" ht="15.6" customHeight="1">
      <c r="B28" s="81" t="s">
        <v>13</v>
      </c>
      <c r="C28" s="77">
        <v>112.446</v>
      </c>
      <c r="D28" s="77">
        <v>1.0805077127755247</v>
      </c>
      <c r="E28" s="77">
        <v>113.506</v>
      </c>
      <c r="F28" s="77">
        <v>1.0163397529457718</v>
      </c>
      <c r="G28" s="77">
        <v>113.127</v>
      </c>
      <c r="H28" s="77">
        <v>1.0315078769692398</v>
      </c>
      <c r="I28" s="77">
        <v>112.70399999999999</v>
      </c>
      <c r="J28" s="77">
        <v>0.94944645480274925</v>
      </c>
      <c r="K28" s="77">
        <v>112.155</v>
      </c>
      <c r="L28" s="77">
        <v>0.93505885741027583</v>
      </c>
      <c r="M28" s="77">
        <v>111.123</v>
      </c>
      <c r="N28" s="77">
        <v>1.2510250569476078</v>
      </c>
      <c r="P28" s="1"/>
      <c r="Q28" s="1"/>
      <c r="R28" s="1"/>
    </row>
    <row r="29" spans="1:25" ht="15.6" customHeight="1">
      <c r="B29" s="81" t="s">
        <v>14</v>
      </c>
      <c r="C29" s="77">
        <v>113.26300000000001</v>
      </c>
      <c r="D29" s="77">
        <v>0.72657097629085232</v>
      </c>
      <c r="E29" s="77">
        <v>114.509</v>
      </c>
      <c r="F29" s="77">
        <v>0.88365372755625504</v>
      </c>
      <c r="G29" s="77">
        <v>114.011</v>
      </c>
      <c r="H29" s="77">
        <v>0.78142264888134694</v>
      </c>
      <c r="I29" s="77">
        <v>113.523</v>
      </c>
      <c r="J29" s="77">
        <v>0.72668228279386682</v>
      </c>
      <c r="K29" s="77">
        <v>112.961</v>
      </c>
      <c r="L29" s="77">
        <v>0.71864829922874129</v>
      </c>
      <c r="M29" s="77">
        <v>111.94</v>
      </c>
      <c r="N29" s="77">
        <v>0.73522133131753709</v>
      </c>
      <c r="P29" s="1"/>
      <c r="Q29" s="1"/>
      <c r="R29" s="1"/>
    </row>
    <row r="30" spans="1:25" ht="15.6" customHeight="1">
      <c r="B30" s="81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P30" s="1"/>
      <c r="Q30" s="1"/>
      <c r="R30" s="1"/>
    </row>
    <row r="31" spans="1:25" ht="15.6" customHeight="1">
      <c r="A31" s="69">
        <v>2022</v>
      </c>
      <c r="B31" s="81" t="s">
        <v>3</v>
      </c>
      <c r="C31" s="77">
        <v>114.602</v>
      </c>
      <c r="D31" s="77">
        <v>1.1822042502847241</v>
      </c>
      <c r="E31" s="77">
        <v>115.858</v>
      </c>
      <c r="F31" s="77">
        <v>1.1780733392135145</v>
      </c>
      <c r="G31" s="77">
        <v>115.45399999999999</v>
      </c>
      <c r="H31" s="77">
        <v>1.2656673478874891</v>
      </c>
      <c r="I31" s="77">
        <v>114.90900000000001</v>
      </c>
      <c r="J31" s="77">
        <v>1.2208979678127063</v>
      </c>
      <c r="K31" s="77">
        <v>114.43300000000001</v>
      </c>
      <c r="L31" s="77">
        <v>1.3031046113260336</v>
      </c>
      <c r="M31" s="77">
        <v>113.136</v>
      </c>
      <c r="N31" s="77">
        <v>1.0684295158120305</v>
      </c>
      <c r="O31" s="246"/>
      <c r="P31" s="247"/>
      <c r="Q31" s="248"/>
      <c r="R31" s="248"/>
      <c r="S31" s="248"/>
      <c r="T31" s="248"/>
      <c r="U31" s="248"/>
      <c r="V31" s="248"/>
      <c r="W31" s="248"/>
      <c r="X31" s="248"/>
      <c r="Y31" s="248"/>
    </row>
    <row r="32" spans="1:25" ht="15.6" customHeight="1">
      <c r="A32" s="81"/>
      <c r="B32" s="81" t="s">
        <v>4</v>
      </c>
      <c r="C32" s="77">
        <v>115.658</v>
      </c>
      <c r="D32" s="77">
        <v>0.92144988743652068</v>
      </c>
      <c r="E32" s="77">
        <v>116.813</v>
      </c>
      <c r="F32" s="77">
        <v>0.82428490048163106</v>
      </c>
      <c r="G32" s="77">
        <v>116.496</v>
      </c>
      <c r="H32" s="77">
        <v>0.90252394893204357</v>
      </c>
      <c r="I32" s="77">
        <v>115.961</v>
      </c>
      <c r="J32" s="77">
        <v>0.91550705340748273</v>
      </c>
      <c r="K32" s="77">
        <v>115.47499999999999</v>
      </c>
      <c r="L32" s="77">
        <v>0.91057649454264755</v>
      </c>
      <c r="M32" s="77">
        <v>114.218</v>
      </c>
      <c r="N32" s="77">
        <v>0.95637109319757219</v>
      </c>
      <c r="O32" s="246"/>
      <c r="P32" s="247"/>
      <c r="Q32" s="248"/>
      <c r="R32" s="248"/>
      <c r="S32" s="248"/>
      <c r="T32" s="248"/>
      <c r="U32" s="248"/>
      <c r="V32" s="248"/>
      <c r="W32" s="248"/>
      <c r="X32" s="248"/>
      <c r="Y32" s="248"/>
    </row>
    <row r="33" spans="1:25" ht="15.6" customHeight="1">
      <c r="A33" s="81"/>
      <c r="B33" s="81" t="s">
        <v>5</v>
      </c>
      <c r="C33" s="77">
        <v>116.431</v>
      </c>
      <c r="D33" s="77">
        <v>0.66834978989780414</v>
      </c>
      <c r="E33" s="77">
        <v>117.78</v>
      </c>
      <c r="F33" s="77">
        <v>0.82781882153526443</v>
      </c>
      <c r="G33" s="77">
        <v>117.43899999999999</v>
      </c>
      <c r="H33" s="77">
        <v>0.80946985304215513</v>
      </c>
      <c r="I33" s="77">
        <v>116.831</v>
      </c>
      <c r="J33" s="77">
        <v>0.75025223997724488</v>
      </c>
      <c r="K33" s="77">
        <v>116.145</v>
      </c>
      <c r="L33" s="77">
        <v>0.58021216713575186</v>
      </c>
      <c r="M33" s="77">
        <v>114.86</v>
      </c>
      <c r="N33" s="77">
        <v>0.56208303419775785</v>
      </c>
      <c r="O33" s="246"/>
      <c r="P33" s="247"/>
      <c r="Q33" s="248"/>
      <c r="R33" s="248"/>
      <c r="S33" s="248"/>
      <c r="T33" s="248"/>
      <c r="U33" s="248"/>
      <c r="V33" s="248"/>
      <c r="W33" s="248"/>
      <c r="X33" s="248"/>
      <c r="Y33" s="248"/>
    </row>
    <row r="34" spans="1:25" ht="15.6" customHeight="1">
      <c r="A34" s="81"/>
      <c r="B34" s="81" t="s">
        <v>6</v>
      </c>
      <c r="C34" s="77">
        <v>117.544</v>
      </c>
      <c r="D34" s="77">
        <v>0.95593098058077697</v>
      </c>
      <c r="E34" s="77">
        <v>119.092</v>
      </c>
      <c r="F34" s="77">
        <v>1.1139412463915699</v>
      </c>
      <c r="G34" s="77">
        <v>118.7</v>
      </c>
      <c r="H34" s="77">
        <v>1.0737489249738275</v>
      </c>
      <c r="I34" s="77">
        <v>118.014</v>
      </c>
      <c r="J34" s="77">
        <v>1.012573717592069</v>
      </c>
      <c r="K34" s="77">
        <v>117.276</v>
      </c>
      <c r="L34" s="77">
        <v>0.97378277153559178</v>
      </c>
      <c r="M34" s="77">
        <v>115.89700000000001</v>
      </c>
      <c r="N34" s="77">
        <v>0.90283823785477502</v>
      </c>
      <c r="O34" s="246"/>
      <c r="P34" s="247"/>
      <c r="Q34" s="248"/>
      <c r="R34" s="248"/>
      <c r="S34" s="248"/>
      <c r="T34" s="248"/>
      <c r="U34" s="248"/>
      <c r="V34" s="248"/>
      <c r="W34" s="248"/>
      <c r="X34" s="248"/>
      <c r="Y34" s="248"/>
    </row>
    <row r="35" spans="1:25" ht="15.6" customHeight="1">
      <c r="A35" s="81"/>
      <c r="B35" s="81" t="s">
        <v>7</v>
      </c>
      <c r="C35" s="77">
        <v>118.123</v>
      </c>
      <c r="D35" s="77">
        <v>0.49258150139523948</v>
      </c>
      <c r="E35" s="77">
        <v>119.91800000000001</v>
      </c>
      <c r="F35" s="77">
        <v>0.69358143284183882</v>
      </c>
      <c r="G35" s="77">
        <v>119.387</v>
      </c>
      <c r="H35" s="77">
        <v>0.57877000842458948</v>
      </c>
      <c r="I35" s="77">
        <v>118.694</v>
      </c>
      <c r="J35" s="77">
        <v>0.57620282339383433</v>
      </c>
      <c r="K35" s="77">
        <v>117.863</v>
      </c>
      <c r="L35" s="77">
        <v>0.50052866741703284</v>
      </c>
      <c r="M35" s="77">
        <v>116.309</v>
      </c>
      <c r="N35" s="77">
        <v>0.35548806267633459</v>
      </c>
      <c r="O35" s="246"/>
      <c r="P35" s="247"/>
      <c r="Q35" s="248"/>
      <c r="R35" s="248"/>
      <c r="S35" s="248"/>
      <c r="T35" s="248"/>
      <c r="U35" s="248"/>
      <c r="V35" s="248"/>
      <c r="W35" s="248"/>
      <c r="X35" s="248"/>
      <c r="Y35" s="248"/>
    </row>
    <row r="36" spans="1:25" ht="15.6" customHeight="1">
      <c r="A36" s="81"/>
      <c r="B36" s="81" t="s">
        <v>8</v>
      </c>
      <c r="C36" s="77">
        <v>118.877</v>
      </c>
      <c r="D36" s="77">
        <v>0.63831768580207005</v>
      </c>
      <c r="E36" s="77">
        <v>120.73399999999999</v>
      </c>
      <c r="F36" s="77">
        <v>0.6804649844059929</v>
      </c>
      <c r="G36" s="77">
        <v>120.212</v>
      </c>
      <c r="H36" s="77">
        <v>0.69103001164281252</v>
      </c>
      <c r="I36" s="77">
        <v>119.541</v>
      </c>
      <c r="J36" s="77">
        <v>0.71359967647901534</v>
      </c>
      <c r="K36" s="77">
        <v>118.59099999999999</v>
      </c>
      <c r="L36" s="77">
        <v>0.61766627355488435</v>
      </c>
      <c r="M36" s="77">
        <v>116.911</v>
      </c>
      <c r="N36" s="77">
        <v>0.51758677316458002</v>
      </c>
      <c r="O36" s="246"/>
      <c r="P36" s="247"/>
      <c r="Q36" s="248"/>
      <c r="R36" s="248"/>
      <c r="S36" s="248"/>
      <c r="T36" s="248"/>
      <c r="U36" s="248"/>
      <c r="V36" s="248"/>
      <c r="W36" s="248"/>
      <c r="X36" s="248"/>
      <c r="Y36" s="248"/>
    </row>
    <row r="37" spans="1:25" ht="15.6" customHeight="1">
      <c r="A37" s="81"/>
      <c r="B37" s="81" t="s">
        <v>9</v>
      </c>
      <c r="C37" s="77">
        <v>119.468</v>
      </c>
      <c r="D37" s="77">
        <v>0.49715251899022928</v>
      </c>
      <c r="E37" s="77">
        <v>121.218</v>
      </c>
      <c r="F37" s="77">
        <v>0.40088127619395397</v>
      </c>
      <c r="G37" s="77">
        <v>120.706</v>
      </c>
      <c r="H37" s="77">
        <v>0.41094067148037539</v>
      </c>
      <c r="I37" s="77">
        <v>120.015</v>
      </c>
      <c r="J37" s="77">
        <v>0.39651667628679554</v>
      </c>
      <c r="K37" s="77">
        <v>119.041</v>
      </c>
      <c r="L37" s="77">
        <v>0.37945543928290526</v>
      </c>
      <c r="M37" s="77">
        <v>117.559</v>
      </c>
      <c r="N37" s="77">
        <v>0.55426777634268731</v>
      </c>
      <c r="O37" s="246"/>
      <c r="P37" s="247"/>
      <c r="Q37" s="248"/>
      <c r="R37" s="248"/>
      <c r="S37" s="248"/>
      <c r="T37" s="248"/>
      <c r="U37" s="248"/>
      <c r="V37" s="248"/>
      <c r="W37" s="248"/>
      <c r="X37" s="248"/>
      <c r="Y37" s="248"/>
    </row>
    <row r="38" spans="1:25" ht="15.6" customHeight="1">
      <c r="A38" s="81"/>
      <c r="B38" s="81" t="s">
        <v>10</v>
      </c>
      <c r="C38" s="77">
        <v>119.718</v>
      </c>
      <c r="D38" s="77">
        <v>0.20926105735425971</v>
      </c>
      <c r="E38" s="77">
        <v>121.43300000000001</v>
      </c>
      <c r="F38" s="77">
        <v>0.17736639772971685</v>
      </c>
      <c r="G38" s="77">
        <v>120.99299999999999</v>
      </c>
      <c r="H38" s="77">
        <v>0.23776779944657545</v>
      </c>
      <c r="I38" s="77">
        <v>120.252</v>
      </c>
      <c r="J38" s="77">
        <v>0.19747531558553799</v>
      </c>
      <c r="K38" s="77">
        <v>119.268</v>
      </c>
      <c r="L38" s="77">
        <v>0.19069060239749192</v>
      </c>
      <c r="M38" s="77">
        <v>117.848</v>
      </c>
      <c r="N38" s="77">
        <v>0.2458340067540643</v>
      </c>
      <c r="O38" s="246"/>
      <c r="P38" s="247"/>
      <c r="Q38" s="248"/>
      <c r="R38" s="248"/>
      <c r="S38" s="248"/>
      <c r="T38" s="248"/>
      <c r="U38" s="248"/>
      <c r="V38" s="248"/>
      <c r="W38" s="248"/>
      <c r="X38" s="248"/>
      <c r="Y38" s="248"/>
    </row>
    <row r="39" spans="1:25" ht="15.6" customHeight="1">
      <c r="B39" s="81" t="s">
        <v>11</v>
      </c>
      <c r="C39" s="77">
        <v>120.07</v>
      </c>
      <c r="D39" s="77">
        <v>0.29402429041580636</v>
      </c>
      <c r="E39" s="77">
        <v>121.88200000000001</v>
      </c>
      <c r="F39" s="77">
        <v>0.36975122083782175</v>
      </c>
      <c r="G39" s="77">
        <v>121.473</v>
      </c>
      <c r="H39" s="77">
        <v>0.39671716545586211</v>
      </c>
      <c r="I39" s="77">
        <v>120.711</v>
      </c>
      <c r="J39" s="77">
        <v>0.38169843329010078</v>
      </c>
      <c r="K39" s="77">
        <v>119.631</v>
      </c>
      <c r="L39" s="77">
        <v>0.30435657510816672</v>
      </c>
      <c r="M39" s="77">
        <v>118.023</v>
      </c>
      <c r="N39" s="77">
        <v>0.14849636820311041</v>
      </c>
      <c r="O39" s="246"/>
      <c r="P39" s="247"/>
      <c r="Q39" s="248"/>
      <c r="R39" s="248"/>
      <c r="S39" s="248"/>
      <c r="T39" s="248"/>
      <c r="U39" s="248"/>
      <c r="V39" s="248"/>
      <c r="W39" s="248"/>
      <c r="X39" s="248"/>
      <c r="Y39" s="248"/>
    </row>
    <row r="40" spans="1:25" ht="15.6" customHeight="1">
      <c r="B40" s="81" t="s">
        <v>12</v>
      </c>
      <c r="C40" s="77">
        <v>120.405</v>
      </c>
      <c r="D40" s="77">
        <v>0.2790039143832912</v>
      </c>
      <c r="E40" s="77">
        <v>122.321</v>
      </c>
      <c r="F40" s="77">
        <v>0.36018444068852684</v>
      </c>
      <c r="G40" s="77">
        <v>121.90600000000001</v>
      </c>
      <c r="H40" s="77">
        <v>0.35645781367052987</v>
      </c>
      <c r="I40" s="77">
        <v>121.1</v>
      </c>
      <c r="J40" s="77">
        <v>0.32225729221031507</v>
      </c>
      <c r="K40" s="77">
        <v>120.012</v>
      </c>
      <c r="L40" s="77">
        <v>0.31847932392106149</v>
      </c>
      <c r="M40" s="77">
        <v>118.28700000000001</v>
      </c>
      <c r="N40" s="77">
        <v>0.22368521389899421</v>
      </c>
      <c r="O40" s="246"/>
      <c r="P40" s="247"/>
      <c r="Q40" s="248"/>
      <c r="R40" s="248"/>
      <c r="S40" s="248"/>
      <c r="T40" s="248"/>
      <c r="U40" s="248"/>
      <c r="V40" s="248"/>
      <c r="W40" s="248"/>
      <c r="X40" s="248"/>
      <c r="Y40" s="248"/>
    </row>
    <row r="41" spans="1:25" ht="15.6" customHeight="1">
      <c r="B41" s="81" t="s">
        <v>13</v>
      </c>
      <c r="C41" s="77">
        <v>120.96599999999999</v>
      </c>
      <c r="D41" s="77">
        <v>0.46592749470535377</v>
      </c>
      <c r="E41" s="77">
        <v>123.053</v>
      </c>
      <c r="F41" s="77">
        <v>0.59842545433734795</v>
      </c>
      <c r="G41" s="77">
        <v>122.502</v>
      </c>
      <c r="H41" s="77">
        <v>0.48890128459631033</v>
      </c>
      <c r="I41" s="77">
        <v>121.681</v>
      </c>
      <c r="J41" s="77">
        <v>0.479768786127166</v>
      </c>
      <c r="K41" s="77">
        <v>120.572</v>
      </c>
      <c r="L41" s="77">
        <v>0.46662000466619613</v>
      </c>
      <c r="M41" s="77">
        <v>118.773</v>
      </c>
      <c r="N41" s="77">
        <v>0.41086509929240123</v>
      </c>
      <c r="O41" s="246"/>
      <c r="P41" s="247"/>
      <c r="Q41" s="248"/>
      <c r="R41" s="248"/>
      <c r="S41" s="248"/>
      <c r="T41" s="248"/>
      <c r="U41" s="248"/>
      <c r="V41" s="248"/>
      <c r="W41" s="248"/>
      <c r="X41" s="248"/>
      <c r="Y41" s="248"/>
    </row>
    <row r="42" spans="1:25" ht="15.6" customHeight="1">
      <c r="B42" s="81" t="s">
        <v>14</v>
      </c>
      <c r="C42" s="77">
        <v>122.128</v>
      </c>
      <c r="D42" s="77">
        <v>0.96060049931385727</v>
      </c>
      <c r="E42" s="77">
        <v>124.345</v>
      </c>
      <c r="F42" s="77">
        <v>1.0491414268648525</v>
      </c>
      <c r="G42" s="77">
        <v>123.779</v>
      </c>
      <c r="H42" s="77">
        <v>1.0424319602945209</v>
      </c>
      <c r="I42" s="77">
        <v>122.866</v>
      </c>
      <c r="J42" s="77">
        <v>0.973857874277817</v>
      </c>
      <c r="K42" s="77">
        <v>121.684</v>
      </c>
      <c r="L42" s="77">
        <v>0.92227051056630316</v>
      </c>
      <c r="M42" s="77">
        <v>119.83</v>
      </c>
      <c r="N42" s="77">
        <v>0.88993289720729063</v>
      </c>
      <c r="O42" s="246"/>
      <c r="P42" s="247"/>
      <c r="Q42" s="248"/>
      <c r="R42" s="248"/>
      <c r="S42" s="248"/>
      <c r="T42" s="248"/>
      <c r="U42" s="248"/>
      <c r="V42" s="248"/>
      <c r="W42" s="248"/>
      <c r="X42" s="248"/>
      <c r="Y42" s="248"/>
    </row>
    <row r="43" spans="1:25" ht="15.6" customHeight="1">
      <c r="B43" s="81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246"/>
      <c r="P43" s="247"/>
      <c r="Q43" s="248"/>
      <c r="R43" s="248"/>
      <c r="S43" s="248"/>
      <c r="T43" s="248"/>
      <c r="U43" s="248"/>
      <c r="V43" s="248"/>
      <c r="W43" s="248"/>
      <c r="X43" s="248"/>
      <c r="Y43" s="248"/>
    </row>
    <row r="44" spans="1:25" ht="15.6" customHeight="1">
      <c r="A44" s="69">
        <v>2023</v>
      </c>
      <c r="B44" s="81" t="s">
        <v>3</v>
      </c>
      <c r="C44" s="77">
        <v>122.90300000000001</v>
      </c>
      <c r="D44" s="77">
        <v>0.6345801126686812</v>
      </c>
      <c r="E44" s="77">
        <v>125.23099999999999</v>
      </c>
      <c r="F44" s="77">
        <v>0.71253367646466614</v>
      </c>
      <c r="G44" s="77">
        <v>124.614</v>
      </c>
      <c r="H44" s="77">
        <v>0.67458938915325728</v>
      </c>
      <c r="I44" s="77">
        <v>123.71</v>
      </c>
      <c r="J44" s="77">
        <v>0.68692722152587926</v>
      </c>
      <c r="K44" s="77">
        <v>122.54600000000001</v>
      </c>
      <c r="L44" s="77">
        <v>0.70839222905230148</v>
      </c>
      <c r="M44" s="77">
        <v>120.28100000000001</v>
      </c>
      <c r="N44" s="77">
        <v>0.37636651923558251</v>
      </c>
      <c r="O44" s="246"/>
      <c r="P44" s="247"/>
      <c r="Q44" s="248"/>
      <c r="R44" s="248"/>
      <c r="S44" s="248"/>
      <c r="T44" s="248"/>
      <c r="U44" s="248"/>
      <c r="V44" s="248"/>
      <c r="W44" s="248"/>
      <c r="X44" s="248"/>
      <c r="Y44" s="248"/>
    </row>
    <row r="45" spans="1:25" ht="15.6" customHeight="1">
      <c r="A45" s="81"/>
      <c r="B45" s="81" t="s">
        <v>4</v>
      </c>
      <c r="C45" s="77">
        <v>123.035</v>
      </c>
      <c r="D45" s="77">
        <v>0.10740177212922308</v>
      </c>
      <c r="E45" s="77">
        <v>125.325</v>
      </c>
      <c r="F45" s="77">
        <v>7.5061286742106326E-2</v>
      </c>
      <c r="G45" s="77">
        <v>124.673</v>
      </c>
      <c r="H45" s="77">
        <v>4.734620508128895E-2</v>
      </c>
      <c r="I45" s="77">
        <v>123.792</v>
      </c>
      <c r="J45" s="77">
        <v>6.6284051410558931E-2</v>
      </c>
      <c r="K45" s="77">
        <v>122.578</v>
      </c>
      <c r="L45" s="77">
        <v>2.6112643415521219E-2</v>
      </c>
      <c r="M45" s="77">
        <v>120.46899999999999</v>
      </c>
      <c r="N45" s="77">
        <v>0.15630066261502762</v>
      </c>
      <c r="O45" s="246"/>
      <c r="P45" s="247"/>
      <c r="Q45" s="248"/>
      <c r="R45" s="248"/>
      <c r="S45" s="248"/>
      <c r="T45" s="248"/>
      <c r="U45" s="248"/>
      <c r="V45" s="248"/>
      <c r="W45" s="248"/>
      <c r="X45" s="248"/>
      <c r="Y45" s="248"/>
    </row>
    <row r="46" spans="1:25" ht="15.6" customHeight="1">
      <c r="A46" s="81"/>
      <c r="B46" s="81" t="s">
        <v>5</v>
      </c>
      <c r="C46" s="77">
        <v>123.29900000000001</v>
      </c>
      <c r="D46" s="77">
        <v>0.2145730889584252</v>
      </c>
      <c r="E46" s="77">
        <v>125.614</v>
      </c>
      <c r="F46" s="77">
        <v>0.23060043885896331</v>
      </c>
      <c r="G46" s="77">
        <v>124.989</v>
      </c>
      <c r="H46" s="77">
        <v>0.25346305936329028</v>
      </c>
      <c r="I46" s="77">
        <v>124.101</v>
      </c>
      <c r="J46" s="77">
        <v>0.24961225281117105</v>
      </c>
      <c r="K46" s="77">
        <v>122.864</v>
      </c>
      <c r="L46" s="77">
        <v>0.23332082429148304</v>
      </c>
      <c r="M46" s="77">
        <v>120.748</v>
      </c>
      <c r="N46" s="77">
        <v>0.23159485012742564</v>
      </c>
      <c r="O46" s="246"/>
      <c r="P46" s="247"/>
      <c r="Q46" s="248"/>
      <c r="R46" s="248"/>
      <c r="S46" s="248"/>
      <c r="T46" s="248"/>
      <c r="U46" s="248"/>
      <c r="V46" s="248"/>
      <c r="W46" s="248"/>
      <c r="X46" s="248"/>
      <c r="Y46" s="248"/>
    </row>
    <row r="47" spans="1:25" ht="15.6" customHeight="1">
      <c r="A47" s="81"/>
      <c r="B47" s="81" t="s">
        <v>6</v>
      </c>
      <c r="C47" s="77">
        <v>123.6</v>
      </c>
      <c r="D47" s="77">
        <v>0.24412201234396136</v>
      </c>
      <c r="E47" s="77">
        <v>126.02</v>
      </c>
      <c r="F47" s="77">
        <v>0.32321238078556469</v>
      </c>
      <c r="G47" s="77">
        <v>125.348</v>
      </c>
      <c r="H47" s="77">
        <v>0.28722527582427659</v>
      </c>
      <c r="I47" s="77">
        <v>124.425</v>
      </c>
      <c r="J47" s="77">
        <v>0.26107767060701281</v>
      </c>
      <c r="K47" s="77">
        <v>123.214</v>
      </c>
      <c r="L47" s="77">
        <v>0.28486782133090305</v>
      </c>
      <c r="M47" s="77">
        <v>120.949</v>
      </c>
      <c r="N47" s="77">
        <v>0.16646238447013406</v>
      </c>
      <c r="O47" s="246"/>
      <c r="P47" s="247"/>
      <c r="Q47" s="248"/>
      <c r="R47" s="248"/>
      <c r="S47" s="248"/>
      <c r="T47" s="248"/>
      <c r="U47" s="248"/>
      <c r="V47" s="248"/>
      <c r="W47" s="248"/>
      <c r="X47" s="248"/>
      <c r="Y47" s="248"/>
    </row>
    <row r="48" spans="1:25" ht="15.6" customHeight="1">
      <c r="A48" s="81"/>
      <c r="B48" s="81" t="s">
        <v>7</v>
      </c>
      <c r="C48" s="77">
        <v>123.35599999999999</v>
      </c>
      <c r="D48" s="77">
        <v>-0.1974110032362475</v>
      </c>
      <c r="E48" s="77">
        <v>125.639</v>
      </c>
      <c r="F48" s="77">
        <v>-0.30233296302174528</v>
      </c>
      <c r="G48" s="77">
        <v>125.017</v>
      </c>
      <c r="H48" s="77">
        <v>-0.2640648434757642</v>
      </c>
      <c r="I48" s="77">
        <v>124.175</v>
      </c>
      <c r="J48" s="77">
        <v>-0.20092425155716631</v>
      </c>
      <c r="K48" s="77">
        <v>122.967</v>
      </c>
      <c r="L48" s="77">
        <v>-0.20046423296053995</v>
      </c>
      <c r="M48" s="77">
        <v>120.812</v>
      </c>
      <c r="N48" s="77">
        <v>-0.11327088276876784</v>
      </c>
      <c r="O48" s="246"/>
      <c r="P48" s="247"/>
      <c r="Q48" s="248"/>
      <c r="R48" s="248"/>
      <c r="S48" s="248"/>
      <c r="T48" s="248"/>
      <c r="U48" s="248"/>
      <c r="V48" s="248"/>
      <c r="W48" s="248"/>
      <c r="X48" s="248"/>
      <c r="Y48" s="248"/>
    </row>
    <row r="49" spans="1:25" ht="15.6" customHeight="1">
      <c r="A49" s="81"/>
      <c r="B49" s="81" t="s">
        <v>8</v>
      </c>
      <c r="C49" s="77">
        <v>123.627</v>
      </c>
      <c r="D49" s="77">
        <v>0.2196893543889189</v>
      </c>
      <c r="E49" s="77">
        <v>126.005</v>
      </c>
      <c r="F49" s="77">
        <v>0.29131081909279377</v>
      </c>
      <c r="G49" s="77">
        <v>125.373</v>
      </c>
      <c r="H49" s="77">
        <v>0.28476127246694904</v>
      </c>
      <c r="I49" s="77">
        <v>124.527</v>
      </c>
      <c r="J49" s="77">
        <v>0.28347090799274444</v>
      </c>
      <c r="K49" s="77">
        <v>123.232</v>
      </c>
      <c r="L49" s="77">
        <v>0.21550497287889936</v>
      </c>
      <c r="M49" s="77">
        <v>120.964</v>
      </c>
      <c r="N49" s="77">
        <v>0.12581531635931231</v>
      </c>
      <c r="O49" s="246"/>
      <c r="P49" s="247"/>
      <c r="Q49" s="248"/>
      <c r="R49" s="248"/>
      <c r="S49" s="248"/>
      <c r="T49" s="248"/>
      <c r="U49" s="248"/>
      <c r="V49" s="248"/>
      <c r="W49" s="248"/>
      <c r="X49" s="248"/>
      <c r="Y49" s="248"/>
    </row>
    <row r="50" spans="1:25" ht="15.6" customHeight="1">
      <c r="A50" s="81"/>
      <c r="B50" s="81" t="s">
        <v>9</v>
      </c>
      <c r="C50" s="77">
        <v>124.1884</v>
      </c>
      <c r="D50" s="77">
        <v>0.45410792140876399</v>
      </c>
      <c r="E50" s="77">
        <v>126.6049</v>
      </c>
      <c r="F50" s="77">
        <v>0.47609221856275141</v>
      </c>
      <c r="G50" s="77">
        <v>125.9637</v>
      </c>
      <c r="H50" s="77">
        <v>0.47115407623650185</v>
      </c>
      <c r="I50" s="77">
        <v>125.04989999999999</v>
      </c>
      <c r="J50" s="77">
        <v>0.4199089354115948</v>
      </c>
      <c r="K50" s="77">
        <v>123.7649</v>
      </c>
      <c r="L50" s="77">
        <v>0.43243638016099428</v>
      </c>
      <c r="M50" s="77">
        <v>121.4987</v>
      </c>
      <c r="N50" s="77">
        <v>0.44203234020039339</v>
      </c>
      <c r="O50" s="246"/>
      <c r="P50" s="247"/>
      <c r="Q50" s="248"/>
      <c r="R50" s="248"/>
      <c r="S50" s="248"/>
      <c r="T50" s="248"/>
      <c r="U50" s="248"/>
      <c r="V50" s="248"/>
      <c r="W50" s="248"/>
      <c r="X50" s="248"/>
      <c r="Y50" s="248"/>
    </row>
    <row r="51" spans="1:25" ht="15.6" customHeight="1">
      <c r="A51" s="81"/>
      <c r="B51" s="81" t="s">
        <v>10</v>
      </c>
      <c r="C51" s="77">
        <v>124.8282</v>
      </c>
      <c r="D51" s="77">
        <v>0.51518499312335209</v>
      </c>
      <c r="E51" s="77">
        <v>127.2966</v>
      </c>
      <c r="F51" s="77">
        <v>0.54634536262023747</v>
      </c>
      <c r="G51" s="77">
        <v>126.66630000000001</v>
      </c>
      <c r="H51" s="77">
        <v>0.55777974130641894</v>
      </c>
      <c r="I51" s="77">
        <v>125.745</v>
      </c>
      <c r="J51" s="77">
        <v>0.5558581014459163</v>
      </c>
      <c r="K51" s="77">
        <v>124.4308</v>
      </c>
      <c r="L51" s="77">
        <v>0.53803622836523513</v>
      </c>
      <c r="M51" s="77">
        <v>121.9192</v>
      </c>
      <c r="N51" s="77">
        <v>0.34609423804534689</v>
      </c>
      <c r="O51" s="246"/>
      <c r="P51" s="247"/>
      <c r="Q51" s="248"/>
      <c r="R51" s="248"/>
      <c r="S51" s="248"/>
      <c r="T51" s="248"/>
      <c r="U51" s="248"/>
      <c r="V51" s="248"/>
      <c r="W51" s="248"/>
      <c r="X51" s="248"/>
      <c r="Y51" s="248"/>
    </row>
    <row r="52" spans="1:25" ht="15.6" customHeight="1">
      <c r="B52" s="81" t="s">
        <v>11</v>
      </c>
      <c r="C52" s="77">
        <v>125.36539999999999</v>
      </c>
      <c r="D52" s="77">
        <v>0.43035147506733651</v>
      </c>
      <c r="E52" s="77">
        <v>128.00409999999999</v>
      </c>
      <c r="F52" s="77">
        <v>0.55578860707983235</v>
      </c>
      <c r="G52" s="77">
        <v>127.4166</v>
      </c>
      <c r="H52" s="77">
        <v>0.59234381994264229</v>
      </c>
      <c r="I52" s="77">
        <v>126.4298</v>
      </c>
      <c r="J52" s="77">
        <v>0.54459421845798328</v>
      </c>
      <c r="K52" s="77">
        <v>125.0749</v>
      </c>
      <c r="L52" s="77">
        <v>0.51763711235481846</v>
      </c>
      <c r="M52" s="77">
        <v>122.2274</v>
      </c>
      <c r="N52" s="77">
        <v>0.25279037264023252</v>
      </c>
      <c r="O52" s="246"/>
      <c r="P52" s="247"/>
      <c r="Q52" s="248"/>
      <c r="R52" s="248"/>
      <c r="S52" s="248"/>
      <c r="T52" s="248"/>
      <c r="U52" s="248"/>
      <c r="V52" s="248"/>
      <c r="W52" s="248"/>
      <c r="X52" s="248"/>
      <c r="Y52" s="248"/>
    </row>
    <row r="53" spans="1:25" ht="15.6" customHeight="1">
      <c r="B53" s="81" t="s">
        <v>12</v>
      </c>
      <c r="C53" s="77">
        <v>125.63760000000001</v>
      </c>
      <c r="D53" s="77">
        <v>0.21712529932502722</v>
      </c>
      <c r="E53" s="77">
        <v>128.29640000000001</v>
      </c>
      <c r="F53" s="77">
        <v>0.22835206059805824</v>
      </c>
      <c r="G53" s="77">
        <v>127.68600000000001</v>
      </c>
      <c r="H53" s="77">
        <v>0.21143241932370938</v>
      </c>
      <c r="I53" s="77">
        <v>126.6863</v>
      </c>
      <c r="J53" s="77">
        <v>0.2028793844489174</v>
      </c>
      <c r="K53" s="77">
        <v>125.3493</v>
      </c>
      <c r="L53" s="77">
        <v>0.2193885423854125</v>
      </c>
      <c r="M53" s="77">
        <v>122.59010000000001</v>
      </c>
      <c r="N53" s="77">
        <v>0.29674197438545047</v>
      </c>
      <c r="O53" s="246"/>
      <c r="P53" s="247"/>
      <c r="Q53" s="248"/>
      <c r="R53" s="248"/>
      <c r="S53" s="248"/>
      <c r="T53" s="248"/>
      <c r="U53" s="248"/>
      <c r="V53" s="248"/>
      <c r="W53" s="248"/>
      <c r="X53" s="248"/>
      <c r="Y53" s="248"/>
    </row>
    <row r="54" spans="1:25" ht="15.6" customHeight="1">
      <c r="B54" s="81" t="s">
        <v>13</v>
      </c>
      <c r="C54" s="77">
        <v>125.8094</v>
      </c>
      <c r="D54" s="77">
        <v>0.13674250383641784</v>
      </c>
      <c r="E54" s="77">
        <v>128.4462</v>
      </c>
      <c r="F54" s="77">
        <v>0.11676087559744364</v>
      </c>
      <c r="G54" s="77">
        <v>127.8077</v>
      </c>
      <c r="H54" s="77">
        <v>9.531193709568786E-2</v>
      </c>
      <c r="I54" s="77">
        <v>126.77500000000001</v>
      </c>
      <c r="J54" s="77">
        <v>7.0015463392647526E-2</v>
      </c>
      <c r="K54" s="77">
        <v>125.4348</v>
      </c>
      <c r="L54" s="77">
        <v>6.8209395664742267E-2</v>
      </c>
      <c r="M54" s="77">
        <v>122.7948</v>
      </c>
      <c r="N54" s="77">
        <v>0.16697922589179459</v>
      </c>
      <c r="O54" s="246"/>
      <c r="P54" s="247"/>
      <c r="Q54" s="248"/>
      <c r="R54" s="248"/>
      <c r="S54" s="248"/>
      <c r="T54" s="248"/>
      <c r="U54" s="248"/>
      <c r="V54" s="248"/>
      <c r="W54" s="248"/>
      <c r="X54" s="248"/>
      <c r="Y54" s="248"/>
    </row>
    <row r="55" spans="1:25" ht="15.6" customHeight="1">
      <c r="B55" s="81" t="s">
        <v>14</v>
      </c>
      <c r="C55" s="77">
        <v>126.4866</v>
      </c>
      <c r="D55" s="77">
        <v>0.53827456453969802</v>
      </c>
      <c r="E55" s="77">
        <v>129.5334</v>
      </c>
      <c r="F55" s="77">
        <v>0.84642441738251861</v>
      </c>
      <c r="G55" s="77">
        <v>128.6814</v>
      </c>
      <c r="H55" s="77">
        <v>0.6836051349018879</v>
      </c>
      <c r="I55" s="77">
        <v>127.51139999999999</v>
      </c>
      <c r="J55" s="77">
        <v>0.58087162295403783</v>
      </c>
      <c r="K55" s="77">
        <v>126.0158</v>
      </c>
      <c r="L55" s="77">
        <v>0.46318884392528847</v>
      </c>
      <c r="M55" s="77">
        <v>123.32769999999999</v>
      </c>
      <c r="N55" s="77">
        <v>0.43397603155834741</v>
      </c>
      <c r="O55" s="246"/>
      <c r="P55" s="247"/>
      <c r="Q55" s="248"/>
      <c r="R55" s="248"/>
      <c r="S55" s="248"/>
      <c r="T55" s="248"/>
      <c r="U55" s="248"/>
      <c r="V55" s="248"/>
      <c r="W55" s="248"/>
      <c r="X55" s="248"/>
      <c r="Y55" s="248"/>
    </row>
    <row r="56" spans="1:25" ht="15.6" customHeight="1">
      <c r="B56" s="8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253"/>
      <c r="P56" s="247"/>
      <c r="Q56" s="248"/>
      <c r="R56" s="248"/>
      <c r="S56" s="248"/>
      <c r="T56" s="248"/>
      <c r="U56" s="248"/>
      <c r="V56" s="248"/>
      <c r="W56" s="248"/>
      <c r="X56" s="248"/>
      <c r="Y56" s="248"/>
    </row>
    <row r="57" spans="1:25" ht="15.6" customHeight="1">
      <c r="A57" s="69">
        <v>2024</v>
      </c>
      <c r="B57" s="81" t="s">
        <v>3</v>
      </c>
      <c r="C57" s="77">
        <v>126.9796</v>
      </c>
      <c r="D57" s="77">
        <v>0.38976460747621733</v>
      </c>
      <c r="E57" s="77">
        <v>129.83760000000001</v>
      </c>
      <c r="F57" s="77">
        <v>0.23484290538193786</v>
      </c>
      <c r="G57" s="77">
        <v>129.0684</v>
      </c>
      <c r="H57" s="77">
        <v>0.30074276468861072</v>
      </c>
      <c r="I57" s="77">
        <v>128.04750000000001</v>
      </c>
      <c r="J57" s="77">
        <v>0.42043299657914535</v>
      </c>
      <c r="K57" s="77">
        <v>126.6019</v>
      </c>
      <c r="L57" s="77">
        <v>0.46510040804406128</v>
      </c>
      <c r="M57" s="77">
        <v>123.66589999999999</v>
      </c>
      <c r="N57" s="77">
        <v>0.27422874179929835</v>
      </c>
      <c r="O57" s="253"/>
      <c r="P57" s="247"/>
      <c r="Q57" s="248"/>
      <c r="R57" s="248"/>
      <c r="S57" s="248"/>
      <c r="T57" s="248"/>
      <c r="U57" s="248"/>
      <c r="V57" s="248"/>
      <c r="W57" s="248"/>
      <c r="X57" s="248"/>
      <c r="Y57" s="248"/>
    </row>
    <row r="58" spans="1:25" ht="15.6" customHeight="1">
      <c r="A58" s="81"/>
      <c r="B58" s="81" t="s">
        <v>4</v>
      </c>
      <c r="C58" s="77">
        <v>127.0946</v>
      </c>
      <c r="D58" s="77">
        <v>9.0565728668212706E-2</v>
      </c>
      <c r="E58" s="77">
        <v>129.9812</v>
      </c>
      <c r="F58" s="77">
        <v>0.1105997030136141</v>
      </c>
      <c r="G58" s="77">
        <v>129.1123</v>
      </c>
      <c r="H58" s="77">
        <v>3.4012972966279698E-2</v>
      </c>
      <c r="I58" s="77">
        <v>128.0693</v>
      </c>
      <c r="J58" s="77">
        <v>1.7024932154074968E-2</v>
      </c>
      <c r="K58" s="77">
        <v>126.65130000000001</v>
      </c>
      <c r="L58" s="77">
        <v>3.9019951517316187E-2</v>
      </c>
      <c r="M58" s="77">
        <v>123.8806</v>
      </c>
      <c r="N58" s="77">
        <v>0.1736129361448846</v>
      </c>
      <c r="O58" s="253"/>
      <c r="P58" s="247"/>
      <c r="Q58" s="248"/>
      <c r="R58" s="248"/>
      <c r="S58" s="248"/>
      <c r="T58" s="248"/>
      <c r="U58" s="248"/>
      <c r="V58" s="248"/>
      <c r="W58" s="248"/>
      <c r="X58" s="248"/>
      <c r="Y58" s="248"/>
    </row>
    <row r="59" spans="1:25" ht="15.6" customHeight="1">
      <c r="A59" s="81"/>
      <c r="B59" s="81" t="s">
        <v>5</v>
      </c>
      <c r="C59" s="77">
        <v>127.47280000000001</v>
      </c>
      <c r="D59" s="77">
        <v>0.29757361839135599</v>
      </c>
      <c r="E59" s="77">
        <v>130.36770000000001</v>
      </c>
      <c r="F59" s="77">
        <v>0.29735069379264178</v>
      </c>
      <c r="G59" s="77">
        <v>129.43459999999999</v>
      </c>
      <c r="H59" s="77">
        <v>0.24962764972817908</v>
      </c>
      <c r="I59" s="77">
        <v>128.35419999999999</v>
      </c>
      <c r="J59" s="77">
        <v>0.2224576850189619</v>
      </c>
      <c r="K59" s="77">
        <v>126.97029999999999</v>
      </c>
      <c r="L59" s="77">
        <v>0.25187266139390374</v>
      </c>
      <c r="M59" s="77">
        <v>124.36109999999999</v>
      </c>
      <c r="N59" s="77">
        <v>0.38787348462954174</v>
      </c>
      <c r="O59" s="253"/>
      <c r="P59" s="247"/>
      <c r="Q59" s="248"/>
      <c r="R59" s="248"/>
      <c r="S59" s="248"/>
      <c r="T59" s="248"/>
      <c r="U59" s="248"/>
      <c r="V59" s="248"/>
      <c r="W59" s="248"/>
      <c r="X59" s="248"/>
      <c r="Y59" s="248"/>
    </row>
    <row r="60" spans="1:25" ht="15.6" customHeight="1">
      <c r="A60" s="81"/>
      <c r="B60" s="81" t="s">
        <v>6</v>
      </c>
      <c r="C60" s="77">
        <v>127.34780000000001</v>
      </c>
      <c r="D60" s="77">
        <v>-9.8060135181776698E-2</v>
      </c>
      <c r="E60" s="77">
        <v>130.13550000000001</v>
      </c>
      <c r="F60" s="77">
        <v>-0.17811160279732619</v>
      </c>
      <c r="G60" s="77">
        <v>129.26230000000001</v>
      </c>
      <c r="H60" s="77">
        <v>-0.1331174199170726</v>
      </c>
      <c r="I60" s="77">
        <v>128.19149999999999</v>
      </c>
      <c r="J60" s="77">
        <v>-0.12675861015845058</v>
      </c>
      <c r="K60" s="77">
        <v>126.9119</v>
      </c>
      <c r="L60" s="77">
        <v>-4.5995008281463079E-2</v>
      </c>
      <c r="M60" s="77">
        <v>124.21080000000001</v>
      </c>
      <c r="N60" s="77">
        <v>-0.12085772801944117</v>
      </c>
      <c r="O60" s="253"/>
      <c r="P60" s="247"/>
      <c r="Q60" s="248"/>
      <c r="R60" s="248"/>
      <c r="S60" s="248"/>
      <c r="T60" s="248"/>
      <c r="U60" s="248"/>
      <c r="V60" s="248"/>
      <c r="W60" s="248"/>
      <c r="X60" s="248"/>
      <c r="Y60" s="248"/>
    </row>
    <row r="61" spans="1:25" ht="15.6" customHeight="1">
      <c r="A61" s="81"/>
      <c r="B61" s="81" t="s">
        <v>7</v>
      </c>
      <c r="C61" s="77">
        <v>127.2987</v>
      </c>
      <c r="D61" s="77">
        <v>-3.8555828997444141E-2</v>
      </c>
      <c r="E61" s="77">
        <v>129.98929999999999</v>
      </c>
      <c r="F61" s="77">
        <v>-0.11234444098652263</v>
      </c>
      <c r="G61" s="77">
        <v>129.10769999999999</v>
      </c>
      <c r="H61" s="77">
        <v>-0.1196017709726771</v>
      </c>
      <c r="I61" s="77">
        <v>128.05529999999999</v>
      </c>
      <c r="J61" s="77">
        <v>-0.10624729408735822</v>
      </c>
      <c r="K61" s="77">
        <v>126.88379999999999</v>
      </c>
      <c r="L61" s="77">
        <v>-2.2141343719550566E-2</v>
      </c>
      <c r="M61" s="77">
        <v>124.3138</v>
      </c>
      <c r="N61" s="77">
        <v>8.2923546100666101E-2</v>
      </c>
      <c r="O61" s="253"/>
      <c r="P61" s="247"/>
      <c r="Q61" s="248"/>
      <c r="R61" s="248"/>
      <c r="S61" s="248"/>
      <c r="T61" s="248"/>
      <c r="U61" s="248"/>
      <c r="V61" s="248"/>
      <c r="W61" s="248"/>
      <c r="X61" s="248"/>
      <c r="Y61" s="248"/>
    </row>
    <row r="62" spans="1:25" ht="15.6" customHeight="1">
      <c r="A62" s="81"/>
      <c r="B62" s="81" t="s">
        <v>8</v>
      </c>
      <c r="C62" s="77">
        <v>127.9079</v>
      </c>
      <c r="D62" s="77">
        <v>0.47855948253987535</v>
      </c>
      <c r="E62" s="77">
        <v>130.7192</v>
      </c>
      <c r="F62" s="77">
        <v>0.56150775486907278</v>
      </c>
      <c r="G62" s="77">
        <v>129.7834</v>
      </c>
      <c r="H62" s="77">
        <v>0.52336150361287359</v>
      </c>
      <c r="I62" s="77">
        <v>128.67150000000001</v>
      </c>
      <c r="J62" s="77">
        <v>0.48119835727222782</v>
      </c>
      <c r="K62" s="77">
        <v>127.4165</v>
      </c>
      <c r="L62" s="77">
        <v>0.41983294951759564</v>
      </c>
      <c r="M62" s="77">
        <v>124.8524</v>
      </c>
      <c r="N62" s="77">
        <v>0.43325841539716414</v>
      </c>
      <c r="O62" s="253"/>
      <c r="P62" s="247"/>
      <c r="Q62" s="248"/>
      <c r="R62" s="248"/>
      <c r="S62" s="248"/>
      <c r="T62" s="248"/>
      <c r="U62" s="248"/>
      <c r="V62" s="248"/>
      <c r="W62" s="248"/>
      <c r="X62" s="248"/>
      <c r="Y62" s="248"/>
    </row>
    <row r="63" spans="1:25" ht="15.6" customHeight="1">
      <c r="A63" s="81"/>
      <c r="B63" s="81" t="s">
        <v>9</v>
      </c>
      <c r="C63" s="77">
        <v>128.5831</v>
      </c>
      <c r="D63" s="77">
        <v>0.52787982603108574</v>
      </c>
      <c r="E63" s="77">
        <v>131.68729999999999</v>
      </c>
      <c r="F63" s="77">
        <v>0.74059510768118564</v>
      </c>
      <c r="G63" s="77">
        <v>130.624</v>
      </c>
      <c r="H63" s="77">
        <v>0.6476945433699477</v>
      </c>
      <c r="I63" s="77">
        <v>129.45439999999999</v>
      </c>
      <c r="J63" s="77">
        <v>0.60844864635911655</v>
      </c>
      <c r="K63" s="77">
        <v>128.0247</v>
      </c>
      <c r="L63" s="77">
        <v>0.47733221364578693</v>
      </c>
      <c r="M63" s="77">
        <v>125.24169999999999</v>
      </c>
      <c r="N63" s="77">
        <v>0.31180818310259095</v>
      </c>
      <c r="O63" s="253"/>
      <c r="P63" s="247"/>
      <c r="Q63" s="248"/>
      <c r="R63" s="248"/>
      <c r="S63" s="248"/>
      <c r="T63" s="248"/>
      <c r="U63" s="248"/>
      <c r="V63" s="248"/>
      <c r="W63" s="248"/>
      <c r="X63" s="248"/>
      <c r="Y63" s="248"/>
    </row>
    <row r="64" spans="1:25" ht="15.6" customHeight="1">
      <c r="A64" s="81"/>
      <c r="B64" s="81" t="s">
        <v>10</v>
      </c>
      <c r="C64" s="77">
        <v>129.10210000000001</v>
      </c>
      <c r="D64" s="77">
        <v>0.40363002602985532</v>
      </c>
      <c r="E64" s="77">
        <v>132.09819999999999</v>
      </c>
      <c r="F64" s="77">
        <v>0.31202705196324843</v>
      </c>
      <c r="G64" s="77">
        <v>131.1027</v>
      </c>
      <c r="H64" s="77">
        <v>0.36647170504655602</v>
      </c>
      <c r="I64" s="77">
        <v>129.92910000000001</v>
      </c>
      <c r="J64" s="77">
        <v>0.36669282774475231</v>
      </c>
      <c r="K64" s="77">
        <v>128.52199999999999</v>
      </c>
      <c r="L64" s="77">
        <v>0.38844066808982891</v>
      </c>
      <c r="M64" s="77">
        <v>125.6918</v>
      </c>
      <c r="N64" s="77">
        <v>0.35938509298421017</v>
      </c>
      <c r="O64" s="253"/>
      <c r="P64" s="247"/>
      <c r="Q64" s="248"/>
      <c r="R64" s="248"/>
      <c r="S64" s="248"/>
      <c r="T64" s="248"/>
      <c r="U64" s="248"/>
      <c r="V64" s="248"/>
      <c r="W64" s="248"/>
      <c r="X64" s="248"/>
      <c r="Y64" s="248"/>
    </row>
    <row r="65" spans="1:25" ht="15.6" customHeight="1">
      <c r="B65" s="81" t="s">
        <v>11</v>
      </c>
      <c r="C65" s="77">
        <v>129.4854</v>
      </c>
      <c r="D65" s="77">
        <v>0.29689679718609696</v>
      </c>
      <c r="E65" s="77">
        <v>132.5292</v>
      </c>
      <c r="F65" s="77">
        <v>0.326272424605345</v>
      </c>
      <c r="G65" s="77">
        <v>131.53020000000001</v>
      </c>
      <c r="H65" s="77">
        <v>0.3260802409103869</v>
      </c>
      <c r="I65" s="77">
        <v>130.34870000000001</v>
      </c>
      <c r="J65" s="77">
        <v>0.32294536020029962</v>
      </c>
      <c r="K65" s="77">
        <v>128.94919999999999</v>
      </c>
      <c r="L65" s="77">
        <v>0.33239445386781252</v>
      </c>
      <c r="M65" s="77">
        <v>125.99250000000001</v>
      </c>
      <c r="N65" s="77">
        <v>0.23923597243415973</v>
      </c>
      <c r="O65" s="253"/>
      <c r="P65" s="247"/>
      <c r="Q65" s="248"/>
      <c r="R65" s="248"/>
      <c r="S65" s="248"/>
      <c r="T65" s="248"/>
      <c r="U65" s="248"/>
      <c r="V65" s="248"/>
      <c r="W65" s="248"/>
      <c r="X65" s="248"/>
      <c r="Y65" s="248"/>
    </row>
    <row r="66" spans="1:25" ht="15.6" customHeight="1">
      <c r="B66" s="81" t="s">
        <v>12</v>
      </c>
      <c r="C66" s="77">
        <v>129.60560000000001</v>
      </c>
      <c r="D66" s="77">
        <v>9.2828998481686575E-2</v>
      </c>
      <c r="E66" s="77">
        <v>132.50980000000001</v>
      </c>
      <c r="F66" s="77">
        <v>-1.4638283487711234E-2</v>
      </c>
      <c r="G66" s="77">
        <v>131.5204</v>
      </c>
      <c r="H66" s="77">
        <v>-7.450760357707864E-3</v>
      </c>
      <c r="I66" s="77">
        <v>130.3579</v>
      </c>
      <c r="J66" s="77">
        <v>7.0579913723722854E-3</v>
      </c>
      <c r="K66" s="77">
        <v>129.07490000000001</v>
      </c>
      <c r="L66" s="77">
        <v>9.7480248035686223E-2</v>
      </c>
      <c r="M66" s="77">
        <v>126.2634</v>
      </c>
      <c r="N66" s="77">
        <v>0.21501279838085363</v>
      </c>
      <c r="O66" s="253"/>
      <c r="P66" s="247"/>
      <c r="Q66" s="248"/>
      <c r="R66" s="248"/>
      <c r="S66" s="248"/>
      <c r="T66" s="248"/>
      <c r="U66" s="248"/>
      <c r="V66" s="248"/>
      <c r="W66" s="248"/>
      <c r="X66" s="248"/>
      <c r="Y66" s="248"/>
    </row>
    <row r="67" spans="1:25" ht="15.6" customHeight="1">
      <c r="B67" s="81" t="s">
        <v>13</v>
      </c>
      <c r="C67" s="77">
        <v>129.8098</v>
      </c>
      <c r="D67" s="77">
        <v>0.15755492046638508</v>
      </c>
      <c r="E67" s="77">
        <v>132.6431</v>
      </c>
      <c r="F67" s="77">
        <v>0.10059633325232298</v>
      </c>
      <c r="G67" s="77">
        <v>131.61429999999999</v>
      </c>
      <c r="H67" s="77">
        <v>7.1395768261028891E-2</v>
      </c>
      <c r="I67" s="77">
        <v>130.4545</v>
      </c>
      <c r="J67" s="77">
        <v>7.4103679178616488E-2</v>
      </c>
      <c r="K67" s="77">
        <v>129.19030000000001</v>
      </c>
      <c r="L67" s="77">
        <v>8.9405453732682716E-2</v>
      </c>
      <c r="M67" s="77">
        <v>126.6126</v>
      </c>
      <c r="N67" s="77">
        <v>0.27656470521149057</v>
      </c>
      <c r="O67" s="253"/>
      <c r="P67" s="247"/>
      <c r="Q67" s="248"/>
      <c r="R67" s="248"/>
      <c r="S67" s="248"/>
      <c r="T67" s="248"/>
      <c r="U67" s="248"/>
      <c r="V67" s="248"/>
      <c r="W67" s="248"/>
      <c r="X67" s="248"/>
      <c r="Y67" s="248"/>
    </row>
    <row r="68" spans="1:25" ht="15.6" customHeight="1">
      <c r="B68" s="81" t="s">
        <v>14</v>
      </c>
      <c r="C68" s="77">
        <v>130.72200000000001</v>
      </c>
      <c r="D68" s="77">
        <v>0.70272044175401227</v>
      </c>
      <c r="E68" s="77">
        <v>134.00790000000001</v>
      </c>
      <c r="F68" s="77">
        <v>1.0289264952342059</v>
      </c>
      <c r="G68" s="77">
        <v>132.81280000000001</v>
      </c>
      <c r="H68" s="77">
        <v>0.9106153358715785</v>
      </c>
      <c r="I68" s="77">
        <v>131.4657</v>
      </c>
      <c r="J68" s="77">
        <v>0.77513615858402218</v>
      </c>
      <c r="K68" s="77">
        <v>130.19880000000001</v>
      </c>
      <c r="L68" s="77">
        <v>0.78063136319057591</v>
      </c>
      <c r="M68" s="77">
        <v>127.3</v>
      </c>
      <c r="N68" s="77">
        <v>0.54291594991335845</v>
      </c>
      <c r="O68" s="253"/>
      <c r="P68" s="247"/>
      <c r="Q68" s="248"/>
      <c r="R68" s="248"/>
      <c r="S68" s="248"/>
      <c r="T68" s="248"/>
      <c r="U68" s="248"/>
      <c r="V68" s="248"/>
      <c r="W68" s="248"/>
      <c r="X68" s="248"/>
      <c r="Y68" s="248"/>
    </row>
    <row r="69" spans="1:25" ht="15.6" customHeight="1">
      <c r="B69" s="81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253"/>
      <c r="P69" s="247"/>
      <c r="Q69" s="248"/>
      <c r="R69" s="248"/>
      <c r="S69" s="248"/>
      <c r="T69" s="248"/>
      <c r="U69" s="248"/>
      <c r="V69" s="248"/>
      <c r="W69" s="248"/>
      <c r="X69" s="248"/>
      <c r="Y69" s="248"/>
    </row>
    <row r="70" spans="1:25" ht="15.6" customHeight="1">
      <c r="A70" s="69">
        <v>2025</v>
      </c>
      <c r="B70" s="81" t="s">
        <v>3</v>
      </c>
      <c r="C70" s="77">
        <v>131.2004</v>
      </c>
      <c r="D70" s="77">
        <v>0.36596747295787324</v>
      </c>
      <c r="E70" s="77">
        <v>134.51140000000001</v>
      </c>
      <c r="F70" s="77">
        <v>0.3757241177572368</v>
      </c>
      <c r="G70" s="77">
        <v>133.37370000000001</v>
      </c>
      <c r="H70" s="77">
        <v>0.42232375192752247</v>
      </c>
      <c r="I70" s="77">
        <v>132.07220000000001</v>
      </c>
      <c r="J70" s="77">
        <v>0.46133706358388871</v>
      </c>
      <c r="K70" s="77">
        <v>130.80760000000001</v>
      </c>
      <c r="L70" s="77">
        <v>0.4675926352623927</v>
      </c>
      <c r="M70" s="77">
        <v>127.54989999999999</v>
      </c>
      <c r="N70" s="77">
        <v>0.19630793401412827</v>
      </c>
      <c r="O70" s="253"/>
      <c r="P70" s="247"/>
      <c r="Q70" s="248"/>
      <c r="R70" s="248"/>
      <c r="S70" s="248"/>
      <c r="T70" s="248"/>
      <c r="U70" s="248"/>
      <c r="V70" s="248"/>
      <c r="W70" s="248"/>
      <c r="X70" s="248"/>
      <c r="Y70" s="248"/>
    </row>
    <row r="71" spans="1:25" ht="15.6" customHeight="1">
      <c r="A71" s="81"/>
      <c r="B71" s="81" t="s">
        <v>4</v>
      </c>
      <c r="C71" s="77">
        <v>131.62440000000001</v>
      </c>
      <c r="D71" s="77">
        <v>0.32316974643371577</v>
      </c>
      <c r="E71" s="77">
        <v>134.87350000000001</v>
      </c>
      <c r="F71" s="77">
        <v>0.26919651419878843</v>
      </c>
      <c r="G71" s="77">
        <v>133.7346</v>
      </c>
      <c r="H71" s="77">
        <v>0.27059307794563559</v>
      </c>
      <c r="I71" s="77">
        <v>132.44589999999999</v>
      </c>
      <c r="J71" s="77">
        <v>0.28295129482205361</v>
      </c>
      <c r="K71" s="77">
        <v>131.2389</v>
      </c>
      <c r="L71" s="77">
        <v>0.32972090306679913</v>
      </c>
      <c r="M71" s="77">
        <v>128.0565</v>
      </c>
      <c r="N71" s="77">
        <v>0.3971778888105737</v>
      </c>
      <c r="O71" s="253"/>
      <c r="P71" s="247"/>
      <c r="Q71" s="248"/>
      <c r="R71" s="248"/>
      <c r="S71" s="248"/>
      <c r="T71" s="248"/>
      <c r="U71" s="248"/>
      <c r="V71" s="248"/>
      <c r="W71" s="248"/>
      <c r="X71" s="248"/>
      <c r="Y71" s="248"/>
    </row>
    <row r="72" spans="1:25" ht="15.6" customHeight="1">
      <c r="A72" s="81"/>
      <c r="B72" s="81" t="s">
        <v>5</v>
      </c>
      <c r="C72" s="77">
        <v>132.03729999999999</v>
      </c>
      <c r="D72" s="77">
        <v>0.31369563697913883</v>
      </c>
      <c r="E72" s="77">
        <v>135.0669</v>
      </c>
      <c r="F72" s="77">
        <v>0.14339362439619308</v>
      </c>
      <c r="G72" s="77">
        <v>133.9402</v>
      </c>
      <c r="H72" s="77">
        <v>0.15373732751284841</v>
      </c>
      <c r="I72" s="77">
        <v>132.739</v>
      </c>
      <c r="J72" s="77">
        <v>0.22129790352136691</v>
      </c>
      <c r="K72" s="77">
        <v>131.60149999999999</v>
      </c>
      <c r="L72" s="77">
        <v>0.27629003290943199</v>
      </c>
      <c r="M72" s="77">
        <v>128.59569999999999</v>
      </c>
      <c r="N72" s="77">
        <v>0.42106413965710132</v>
      </c>
      <c r="O72" s="253"/>
      <c r="P72" s="247"/>
      <c r="Q72" s="248"/>
      <c r="R72" s="248"/>
      <c r="S72" s="248"/>
      <c r="T72" s="248"/>
      <c r="U72" s="248"/>
      <c r="V72" s="248"/>
      <c r="W72" s="248"/>
      <c r="X72" s="248"/>
      <c r="Y72" s="248"/>
    </row>
    <row r="73" spans="1:25" ht="15.6" customHeight="1">
      <c r="A73" s="81"/>
      <c r="B73" s="81" t="s">
        <v>6</v>
      </c>
      <c r="C73" s="77">
        <v>132.07040000000001</v>
      </c>
      <c r="D73" s="77">
        <v>2.506867377629618E-2</v>
      </c>
      <c r="E73" s="77">
        <v>135.18690000000001</v>
      </c>
      <c r="F73" s="77">
        <v>8.8844861324277602E-2</v>
      </c>
      <c r="G73" s="77">
        <v>134.1138</v>
      </c>
      <c r="H73" s="77">
        <v>0.12961007972214222</v>
      </c>
      <c r="I73" s="77">
        <v>132.89410000000001</v>
      </c>
      <c r="J73" s="77">
        <v>0.1168458403332906</v>
      </c>
      <c r="K73" s="77">
        <v>131.6138</v>
      </c>
      <c r="L73" s="77">
        <v>9.3463980273877922E-3</v>
      </c>
      <c r="M73" s="77">
        <v>128.62289999999999</v>
      </c>
      <c r="N73" s="77">
        <v>2.1151562610555175E-2</v>
      </c>
      <c r="O73" s="253"/>
      <c r="P73" s="247"/>
      <c r="Q73" s="248"/>
      <c r="R73" s="248"/>
      <c r="S73" s="248"/>
      <c r="T73" s="248"/>
      <c r="U73" s="248"/>
      <c r="V73" s="248"/>
      <c r="W73" s="248"/>
      <c r="X73" s="248"/>
      <c r="Y73" s="248"/>
    </row>
    <row r="74" spans="1:25" ht="15.6" customHeight="1">
      <c r="A74" s="81"/>
      <c r="B74" s="81" t="s">
        <v>7</v>
      </c>
      <c r="C74" s="77">
        <v>132.1823</v>
      </c>
      <c r="D74" s="77">
        <v>8.4727539251794326E-2</v>
      </c>
      <c r="E74" s="77">
        <v>135.38509999999999</v>
      </c>
      <c r="F74" s="77">
        <v>0.14661183886899298</v>
      </c>
      <c r="G74" s="77">
        <v>134.2955</v>
      </c>
      <c r="H74" s="77">
        <v>0.13548195636841065</v>
      </c>
      <c r="I74" s="77">
        <v>133.04740000000001</v>
      </c>
      <c r="J74" s="77">
        <v>0.11535500823587341</v>
      </c>
      <c r="K74" s="77">
        <v>131.65559999999999</v>
      </c>
      <c r="L74" s="77">
        <v>3.1759587520463484E-2</v>
      </c>
      <c r="M74" s="77">
        <v>128.73140000000001</v>
      </c>
      <c r="N74" s="77">
        <v>8.435511872304513E-2</v>
      </c>
      <c r="O74" s="253"/>
      <c r="P74" s="247"/>
      <c r="Q74" s="248"/>
      <c r="R74" s="248"/>
      <c r="S74" s="248"/>
      <c r="T74" s="248"/>
      <c r="U74" s="248"/>
      <c r="V74" s="248"/>
      <c r="W74" s="248"/>
      <c r="X74" s="248"/>
      <c r="Y74" s="248"/>
    </row>
    <row r="75" spans="1:25" ht="15.6" customHeight="1">
      <c r="A75" s="81"/>
      <c r="B75" s="81" t="s">
        <v>8</v>
      </c>
      <c r="C75" s="77">
        <v>132.45519999999999</v>
      </c>
      <c r="D75" s="77">
        <v>0.20645729420656345</v>
      </c>
      <c r="E75" s="77">
        <v>135.57300000000001</v>
      </c>
      <c r="F75" s="77">
        <v>0.13878927592476664</v>
      </c>
      <c r="G75" s="77">
        <v>134.48939999999999</v>
      </c>
      <c r="H75" s="77">
        <v>0.14438309548718831</v>
      </c>
      <c r="I75" s="77">
        <v>133.24529999999999</v>
      </c>
      <c r="J75" s="77">
        <v>0.14874398146824674</v>
      </c>
      <c r="K75" s="77">
        <v>131.85480000000001</v>
      </c>
      <c r="L75" s="77">
        <v>0.151303856425411</v>
      </c>
      <c r="M75" s="77">
        <v>129.0247</v>
      </c>
      <c r="N75" s="77">
        <v>0.22783874019858263</v>
      </c>
      <c r="O75" s="253"/>
      <c r="P75" s="247"/>
      <c r="Q75" s="248"/>
      <c r="R75" s="248"/>
      <c r="S75" s="248"/>
      <c r="T75" s="248"/>
      <c r="U75" s="248"/>
      <c r="V75" s="248"/>
      <c r="W75" s="248"/>
      <c r="X75" s="248"/>
      <c r="Y75" s="248"/>
    </row>
    <row r="76" spans="1:25" ht="15.6" customHeight="1">
      <c r="A76" s="81"/>
      <c r="B76" s="81" t="s">
        <v>9</v>
      </c>
      <c r="C76" s="77">
        <v>132.95480000000001</v>
      </c>
      <c r="D76" s="77">
        <v>0.37718413471121703</v>
      </c>
      <c r="E76" s="77">
        <v>136.108</v>
      </c>
      <c r="F76" s="77">
        <v>0.39462134790850811</v>
      </c>
      <c r="G76" s="77">
        <v>135.0812</v>
      </c>
      <c r="H76" s="77">
        <v>0.44003467931301721</v>
      </c>
      <c r="I76" s="77">
        <v>133.81290000000001</v>
      </c>
      <c r="J76" s="77">
        <v>0.42598125412305343</v>
      </c>
      <c r="K76" s="77">
        <v>132.33160000000001</v>
      </c>
      <c r="L76" s="77">
        <v>0.36160989209341743</v>
      </c>
      <c r="M76" s="77">
        <v>129.37110000000001</v>
      </c>
      <c r="N76" s="77">
        <v>0.26847572596566671</v>
      </c>
      <c r="O76" s="253"/>
      <c r="P76" s="247"/>
      <c r="Q76" s="248"/>
      <c r="R76" s="248"/>
      <c r="S76" s="248"/>
      <c r="T76" s="248"/>
      <c r="U76" s="248"/>
      <c r="V76" s="248"/>
      <c r="W76" s="248"/>
      <c r="X76" s="248"/>
      <c r="Y76" s="248"/>
    </row>
    <row r="77" spans="1:25" ht="15.6" customHeight="1">
      <c r="A77" s="81"/>
      <c r="B77" s="81" t="s">
        <v>10</v>
      </c>
      <c r="C77" s="77">
        <v>133.8965</v>
      </c>
      <c r="D77" s="77">
        <v>0.70828582345277002</v>
      </c>
      <c r="E77" s="77">
        <v>137.0147</v>
      </c>
      <c r="F77" s="77">
        <v>0.66616216533927908</v>
      </c>
      <c r="G77" s="77">
        <v>136.08349999999999</v>
      </c>
      <c r="H77" s="77">
        <v>0.74199814630013794</v>
      </c>
      <c r="I77" s="77">
        <v>134.73070000000001</v>
      </c>
      <c r="J77" s="77">
        <v>0.68588305013941309</v>
      </c>
      <c r="K77" s="77">
        <v>133.35980000000001</v>
      </c>
      <c r="L77" s="77">
        <v>0.77698750714114695</v>
      </c>
      <c r="M77" s="77">
        <v>130.13669999999999</v>
      </c>
      <c r="N77" s="77">
        <v>0.59178595528674993</v>
      </c>
      <c r="O77" s="253"/>
      <c r="P77" s="247"/>
      <c r="Q77" s="248"/>
      <c r="R77" s="248"/>
      <c r="S77" s="248"/>
      <c r="T77" s="248"/>
      <c r="U77" s="248"/>
      <c r="V77" s="248"/>
      <c r="W77" s="248"/>
      <c r="X77" s="248"/>
      <c r="Y77" s="248"/>
    </row>
    <row r="78" spans="1:25" ht="15.6" customHeight="1">
      <c r="B78" s="81" t="s">
        <v>11</v>
      </c>
      <c r="C78" s="77">
        <v>134.34829999999999</v>
      </c>
      <c r="D78" s="77">
        <v>0.33742480199256963</v>
      </c>
      <c r="E78" s="77">
        <v>137.49170000000001</v>
      </c>
      <c r="F78" s="77">
        <v>0.3481378275469682</v>
      </c>
      <c r="G78" s="77">
        <v>136.59360000000001</v>
      </c>
      <c r="H78" s="77">
        <v>0.37484338659721228</v>
      </c>
      <c r="I78" s="77">
        <v>135.2697</v>
      </c>
      <c r="J78" s="77">
        <v>0.40005729948704438</v>
      </c>
      <c r="K78" s="77">
        <v>133.8956</v>
      </c>
      <c r="L78" s="77">
        <v>0.40177024860563737</v>
      </c>
      <c r="M78" s="77">
        <v>130.42320000000001</v>
      </c>
      <c r="N78" s="77">
        <v>0.22015311591581099</v>
      </c>
      <c r="O78" s="253"/>
      <c r="P78" s="247"/>
      <c r="Q78" s="248"/>
      <c r="R78" s="248"/>
      <c r="S78" s="248"/>
      <c r="T78" s="248"/>
      <c r="U78" s="248"/>
      <c r="V78" s="248"/>
      <c r="W78" s="248"/>
      <c r="X78" s="248"/>
      <c r="Y78" s="248"/>
    </row>
    <row r="79" spans="1:25" ht="15.6" customHeight="1">
      <c r="B79" s="81" t="s">
        <v>12</v>
      </c>
      <c r="C79" s="77">
        <v>135.0898</v>
      </c>
      <c r="D79" s="77">
        <v>0.5519236194280186</v>
      </c>
      <c r="E79" s="77">
        <v>138.33160000000001</v>
      </c>
      <c r="F79" s="77">
        <v>0.61087323816637618</v>
      </c>
      <c r="G79" s="77">
        <v>137.42699999999999</v>
      </c>
      <c r="H79" s="77">
        <v>0.61013107495517804</v>
      </c>
      <c r="I79" s="77">
        <v>136.09020000000001</v>
      </c>
      <c r="J79" s="77">
        <v>0.60656599371478048</v>
      </c>
      <c r="K79" s="77">
        <v>134.66669999999999</v>
      </c>
      <c r="L79" s="77">
        <v>0.57589644469271395</v>
      </c>
      <c r="M79" s="77">
        <v>131.1429</v>
      </c>
      <c r="N79" s="77">
        <v>0.55181900152732055</v>
      </c>
      <c r="O79" s="253"/>
      <c r="P79" s="247"/>
      <c r="Q79" s="248"/>
      <c r="R79" s="248"/>
      <c r="S79" s="248"/>
      <c r="T79" s="248"/>
      <c r="U79" s="248"/>
      <c r="V79" s="248"/>
      <c r="W79" s="248"/>
      <c r="X79" s="248"/>
      <c r="Y79" s="248"/>
    </row>
    <row r="80" spans="1:25" ht="15.6" customHeight="1">
      <c r="B80" s="81" t="s">
        <v>13</v>
      </c>
      <c r="C80" s="77">
        <v>136.05510000000001</v>
      </c>
      <c r="D80" s="77">
        <v>0.71456172116621808</v>
      </c>
      <c r="E80" s="77">
        <v>139.44489999999999</v>
      </c>
      <c r="F80" s="77">
        <v>0.80480526502981764</v>
      </c>
      <c r="G80" s="77">
        <v>138.54150000000001</v>
      </c>
      <c r="H80" s="77">
        <v>0.81097600908119905</v>
      </c>
      <c r="I80" s="77">
        <v>137.05609999999999</v>
      </c>
      <c r="J80" s="77">
        <v>0.70974985708005534</v>
      </c>
      <c r="K80" s="77">
        <v>135.4256</v>
      </c>
      <c r="L80" s="77">
        <v>0.56353946447043057</v>
      </c>
      <c r="M80" s="77">
        <v>132.01009999999999</v>
      </c>
      <c r="N80" s="77">
        <v>0.66126340045857823</v>
      </c>
      <c r="O80" s="253"/>
      <c r="P80" s="247"/>
      <c r="Q80" s="248"/>
      <c r="R80" s="248"/>
      <c r="S80" s="248"/>
      <c r="T80" s="248"/>
      <c r="U80" s="248"/>
      <c r="V80" s="248"/>
      <c r="W80" s="248"/>
      <c r="X80" s="248"/>
      <c r="Y80" s="248"/>
    </row>
    <row r="81" spans="1:26" ht="15.6" customHeight="1">
      <c r="B81" s="81" t="s">
        <v>14</v>
      </c>
      <c r="C81" s="77">
        <v>137.19550000000001</v>
      </c>
      <c r="D81" s="77">
        <v>0.83818982162373601</v>
      </c>
      <c r="E81" s="77">
        <v>140.84</v>
      </c>
      <c r="F81" s="77">
        <v>1.0004668510644743</v>
      </c>
      <c r="G81" s="77">
        <v>139.86969999999999</v>
      </c>
      <c r="H81" s="77">
        <v>0.95870190520528364</v>
      </c>
      <c r="I81" s="77">
        <v>138.16669999999999</v>
      </c>
      <c r="J81" s="77">
        <v>0.81032511504413041</v>
      </c>
      <c r="K81" s="77">
        <v>136.4691</v>
      </c>
      <c r="L81" s="77">
        <v>0.77053378386360283</v>
      </c>
      <c r="M81" s="77">
        <v>132.93960000000001</v>
      </c>
      <c r="N81" s="77">
        <v>0.7041127913697709</v>
      </c>
      <c r="O81" s="253"/>
      <c r="P81" s="247"/>
      <c r="Q81" s="248"/>
      <c r="R81" s="248"/>
      <c r="S81" s="248"/>
      <c r="T81" s="248"/>
      <c r="U81" s="248"/>
      <c r="V81" s="248"/>
      <c r="W81" s="248"/>
      <c r="X81" s="248"/>
      <c r="Y81" s="248"/>
    </row>
    <row r="82" spans="1:26" ht="5.25" customHeight="1">
      <c r="A82" s="72"/>
      <c r="B82" s="84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</row>
    <row r="83" spans="1:26" ht="18" customHeight="1">
      <c r="A83" s="220" t="s">
        <v>308</v>
      </c>
    </row>
    <row r="84" spans="1:26" ht="15.6" customHeight="1">
      <c r="Q84" s="249"/>
      <c r="R84" s="249"/>
      <c r="S84" s="249"/>
      <c r="T84" s="249"/>
      <c r="U84" s="249"/>
      <c r="V84" s="249"/>
      <c r="W84" s="249"/>
      <c r="X84" s="249"/>
      <c r="Y84" s="249"/>
      <c r="Z84" s="249"/>
    </row>
    <row r="85" spans="1:26" ht="15.6" customHeight="1">
      <c r="Q85" s="249"/>
      <c r="R85" s="249"/>
      <c r="S85" s="249"/>
      <c r="T85" s="249"/>
      <c r="U85" s="249"/>
      <c r="V85" s="249"/>
      <c r="W85" s="249"/>
      <c r="X85" s="249"/>
      <c r="Y85" s="249"/>
      <c r="Z85" s="249"/>
    </row>
    <row r="86" spans="1:26" ht="15.6" customHeight="1">
      <c r="C86" s="20"/>
      <c r="D86" s="20"/>
      <c r="E86" s="250"/>
      <c r="Q86" s="249"/>
      <c r="R86" s="249"/>
      <c r="S86" s="249"/>
      <c r="T86" s="249"/>
      <c r="U86" s="249"/>
      <c r="V86" s="249"/>
      <c r="W86" s="249"/>
      <c r="X86" s="249"/>
      <c r="Y86" s="249"/>
      <c r="Z86" s="249"/>
    </row>
    <row r="87" spans="1:26" ht="15.6" customHeight="1">
      <c r="C87" s="20"/>
      <c r="D87" s="20"/>
      <c r="E87" s="250"/>
      <c r="Q87" s="249"/>
      <c r="R87" s="249"/>
      <c r="S87" s="249"/>
      <c r="T87" s="249"/>
      <c r="U87" s="249"/>
      <c r="V87" s="249"/>
      <c r="W87" s="249"/>
      <c r="X87" s="249"/>
      <c r="Y87" s="249"/>
      <c r="Z87" s="249"/>
    </row>
    <row r="88" spans="1:26" ht="15.6" customHeight="1">
      <c r="C88" s="20"/>
      <c r="D88" s="20"/>
      <c r="E88" s="250"/>
      <c r="Q88" s="249"/>
      <c r="R88" s="249"/>
      <c r="S88" s="249"/>
      <c r="T88" s="249"/>
      <c r="U88" s="249"/>
      <c r="V88" s="249"/>
      <c r="W88" s="249"/>
      <c r="X88" s="249"/>
      <c r="Y88" s="249"/>
      <c r="Z88" s="249"/>
    </row>
    <row r="89" spans="1:26" ht="15.6" customHeight="1">
      <c r="C89" s="20"/>
      <c r="D89" s="20"/>
      <c r="E89" s="250"/>
      <c r="Q89" s="249"/>
      <c r="R89" s="249"/>
      <c r="S89" s="249"/>
      <c r="T89" s="249"/>
      <c r="U89" s="249"/>
      <c r="V89" s="249"/>
      <c r="W89" s="249"/>
      <c r="X89" s="249"/>
      <c r="Y89" s="249"/>
      <c r="Z89" s="249"/>
    </row>
    <row r="90" spans="1:26" ht="15.6" customHeight="1">
      <c r="C90" s="20"/>
      <c r="D90" s="20"/>
      <c r="E90" s="250"/>
      <c r="Q90" s="249"/>
      <c r="R90" s="249"/>
      <c r="S90" s="249"/>
      <c r="T90" s="249"/>
      <c r="U90" s="249"/>
      <c r="V90" s="249"/>
      <c r="W90" s="249"/>
      <c r="X90" s="249"/>
      <c r="Y90" s="249"/>
      <c r="Z90" s="249"/>
    </row>
    <row r="91" spans="1:26" ht="15.6" customHeight="1">
      <c r="C91" s="20"/>
      <c r="D91" s="20"/>
      <c r="E91" s="250"/>
      <c r="Q91" s="249"/>
      <c r="R91" s="249"/>
      <c r="S91" s="249"/>
      <c r="T91" s="249"/>
      <c r="U91" s="249"/>
      <c r="V91" s="249"/>
      <c r="W91" s="249"/>
      <c r="X91" s="249"/>
      <c r="Y91" s="249"/>
      <c r="Z91" s="249"/>
    </row>
    <row r="92" spans="1:26" ht="15.6" customHeight="1">
      <c r="C92" s="20"/>
      <c r="D92" s="20"/>
      <c r="E92" s="250"/>
      <c r="Q92" s="249"/>
      <c r="R92" s="249"/>
      <c r="S92" s="249"/>
      <c r="T92" s="249"/>
      <c r="U92" s="249"/>
      <c r="V92" s="249"/>
      <c r="W92" s="249"/>
      <c r="X92" s="249"/>
      <c r="Y92" s="249"/>
      <c r="Z92" s="249"/>
    </row>
    <row r="93" spans="1:26" ht="15.6" customHeight="1">
      <c r="C93" s="20"/>
      <c r="D93" s="20"/>
      <c r="E93" s="250"/>
      <c r="Q93" s="249"/>
      <c r="R93" s="249"/>
      <c r="S93" s="249"/>
      <c r="T93" s="249"/>
      <c r="U93" s="249"/>
      <c r="V93" s="249"/>
      <c r="W93" s="249"/>
      <c r="X93" s="249"/>
      <c r="Y93" s="249"/>
      <c r="Z93" s="249"/>
    </row>
    <row r="94" spans="1:26" ht="15.6" customHeight="1">
      <c r="C94" s="20"/>
      <c r="D94" s="20"/>
      <c r="E94" s="250"/>
      <c r="Q94" s="249"/>
      <c r="R94" s="249"/>
      <c r="S94" s="249"/>
      <c r="T94" s="249"/>
      <c r="U94" s="249"/>
      <c r="V94" s="249"/>
      <c r="W94" s="249"/>
      <c r="X94" s="249"/>
      <c r="Y94" s="249"/>
      <c r="Z94" s="249"/>
    </row>
    <row r="95" spans="1:26" ht="15.6" customHeight="1">
      <c r="C95" s="20"/>
      <c r="D95" s="20"/>
      <c r="E95" s="250"/>
      <c r="Q95" s="249"/>
      <c r="R95" s="249"/>
      <c r="S95" s="249"/>
      <c r="T95" s="249"/>
      <c r="U95" s="249"/>
      <c r="V95" s="249"/>
      <c r="W95" s="249"/>
      <c r="X95" s="249"/>
      <c r="Y95" s="249"/>
      <c r="Z95" s="249"/>
    </row>
    <row r="96" spans="1:26" ht="15.6" customHeight="1">
      <c r="C96" s="20"/>
      <c r="D96" s="20"/>
      <c r="E96" s="250"/>
      <c r="Q96" s="249"/>
      <c r="R96" s="249"/>
      <c r="S96" s="249"/>
      <c r="T96" s="249"/>
      <c r="U96" s="249"/>
      <c r="V96" s="249"/>
      <c r="W96" s="249"/>
      <c r="X96" s="249"/>
      <c r="Y96" s="249"/>
      <c r="Z96" s="249"/>
    </row>
    <row r="97" spans="3:26" ht="15.6" customHeight="1">
      <c r="C97" s="20"/>
      <c r="D97" s="20"/>
      <c r="E97" s="250"/>
      <c r="Q97" s="249"/>
      <c r="R97" s="249"/>
      <c r="S97" s="249"/>
      <c r="T97" s="249"/>
      <c r="U97" s="249"/>
      <c r="V97" s="249"/>
      <c r="W97" s="249"/>
      <c r="X97" s="249"/>
      <c r="Y97" s="249"/>
      <c r="Z97" s="249"/>
    </row>
    <row r="98" spans="3:26" ht="15.6" customHeight="1">
      <c r="Q98" s="249"/>
      <c r="R98" s="249"/>
      <c r="S98" s="249"/>
      <c r="T98" s="249"/>
      <c r="U98" s="249"/>
      <c r="V98" s="249"/>
      <c r="W98" s="249"/>
      <c r="X98" s="249"/>
      <c r="Y98" s="249"/>
      <c r="Z98" s="249"/>
    </row>
    <row r="99" spans="3:26" ht="15.6" customHeight="1">
      <c r="Q99" s="249"/>
      <c r="R99" s="249"/>
      <c r="S99" s="249"/>
      <c r="T99" s="249"/>
      <c r="U99" s="249"/>
      <c r="V99" s="249"/>
      <c r="W99" s="249"/>
      <c r="X99" s="249"/>
      <c r="Y99" s="249"/>
      <c r="Z99" s="249"/>
    </row>
    <row r="100" spans="3:26" ht="15.6" customHeight="1"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</row>
    <row r="101" spans="3:26" ht="15.6" customHeight="1"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</row>
    <row r="102" spans="3:26" ht="15.6" customHeight="1"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</row>
    <row r="103" spans="3:26" ht="15.6" customHeight="1"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</row>
    <row r="104" spans="3:26" ht="15.6" customHeight="1"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</row>
    <row r="105" spans="3:26" ht="15.6" customHeight="1"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</row>
    <row r="106" spans="3:26" ht="15.6" customHeight="1"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</row>
    <row r="107" spans="3:26" ht="15.6" customHeight="1"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</row>
    <row r="108" spans="3:26" ht="15.6" customHeight="1"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</row>
    <row r="109" spans="3:26" ht="15.6" customHeight="1">
      <c r="Q109" s="249"/>
    </row>
    <row r="110" spans="3:26" ht="15.6" customHeight="1">
      <c r="Q110" s="249"/>
    </row>
    <row r="111" spans="3:26" ht="15.6" customHeight="1">
      <c r="Q111" s="249"/>
    </row>
    <row r="112" spans="3:26" ht="15.6" customHeight="1">
      <c r="Q112" s="249"/>
    </row>
    <row r="113" spans="17:17" ht="15.6" customHeight="1">
      <c r="Q113" s="249"/>
    </row>
    <row r="114" spans="17:17" ht="15.6" customHeight="1">
      <c r="Q114" s="249"/>
    </row>
    <row r="115" spans="17:17" ht="15.6" customHeight="1">
      <c r="Q115" s="249"/>
    </row>
    <row r="116" spans="17:17" ht="15.6" customHeight="1">
      <c r="Q116" s="249"/>
    </row>
    <row r="117" spans="17:17" ht="15.6" customHeight="1">
      <c r="Q117" s="249"/>
    </row>
    <row r="118" spans="17:17" ht="15.6" customHeight="1">
      <c r="Q118" s="249"/>
    </row>
    <row r="119" spans="17:17" ht="15.6" customHeight="1">
      <c r="Q119" s="249"/>
    </row>
    <row r="120" spans="17:17" ht="15.6" customHeight="1">
      <c r="Q120" s="249"/>
    </row>
    <row r="121" spans="17:17" ht="15.6" customHeight="1"/>
    <row r="122" spans="17:17" ht="15.6" customHeight="1"/>
    <row r="123" spans="17:17" ht="15.6" customHeight="1"/>
    <row r="124" spans="17:17" ht="15.6" customHeight="1"/>
    <row r="125" spans="17:17" ht="15.6" customHeight="1"/>
    <row r="126" spans="17:17" ht="15.6" customHeight="1"/>
    <row r="127" spans="17:17" ht="15.6" customHeight="1"/>
    <row r="128" spans="17:17" ht="15.6" customHeight="1"/>
    <row r="129" ht="15.6" customHeight="1"/>
    <row r="130" ht="15.6" customHeight="1"/>
    <row r="131" ht="15.6" customHeight="1"/>
    <row r="132" ht="15.6" customHeight="1"/>
    <row r="133" ht="15.6" customHeight="1"/>
    <row r="134" ht="15.6" customHeight="1"/>
    <row r="135" ht="15.6" customHeight="1"/>
    <row r="136" ht="15.6" customHeight="1"/>
    <row r="137" ht="15.6" customHeight="1"/>
    <row r="138" ht="15.6" customHeight="1"/>
    <row r="139" ht="15.6" customHeight="1"/>
    <row r="140" ht="15.6" customHeight="1"/>
    <row r="141" ht="15.6" customHeight="1"/>
    <row r="142" ht="15.6" customHeight="1"/>
    <row r="143" ht="15.6" customHeight="1"/>
    <row r="144" ht="15.6" customHeight="1"/>
    <row r="145" ht="15.6" customHeight="1"/>
    <row r="146" ht="15.6" customHeight="1"/>
    <row r="147" ht="15.6" customHeight="1"/>
    <row r="148" ht="15.6" customHeight="1"/>
    <row r="149" ht="15.6" customHeight="1"/>
    <row r="150" ht="15.6" customHeight="1"/>
    <row r="151" ht="15.6" customHeight="1"/>
    <row r="152" ht="15.6" customHeight="1"/>
    <row r="153" ht="15.6" customHeight="1"/>
    <row r="154" ht="15.6" customHeight="1"/>
    <row r="155" ht="15.6" customHeight="1"/>
    <row r="156" ht="15.6" customHeight="1"/>
    <row r="157" ht="15.6" customHeight="1"/>
    <row r="158" ht="15.6" customHeight="1"/>
    <row r="159" ht="15.6" customHeight="1"/>
    <row r="160" ht="15.6" customHeight="1"/>
    <row r="161" ht="15.6" customHeight="1"/>
    <row r="162" ht="15.6" customHeight="1"/>
    <row r="163" ht="15.6" customHeight="1"/>
    <row r="164" ht="15.6" customHeight="1"/>
    <row r="165" ht="15.6" customHeight="1"/>
    <row r="166" ht="15.6" customHeight="1"/>
    <row r="167" ht="15.6" customHeight="1"/>
    <row r="168" ht="15.6" customHeight="1"/>
    <row r="169" ht="15.6" customHeight="1"/>
    <row r="170" ht="15.6" customHeight="1"/>
    <row r="171" ht="15.6" customHeight="1"/>
    <row r="172" ht="15.6" customHeight="1"/>
    <row r="173" ht="15.6" customHeight="1"/>
    <row r="174" ht="15.6" customHeight="1"/>
    <row r="175" ht="15.6" customHeight="1"/>
    <row r="176" ht="15.6" customHeight="1"/>
    <row r="177" ht="15.6" customHeight="1"/>
    <row r="178" ht="15.6" customHeight="1"/>
    <row r="179" ht="15.6" customHeight="1"/>
    <row r="180" ht="15.6" customHeight="1"/>
    <row r="181" ht="15.6" customHeight="1"/>
    <row r="182" ht="15.6" customHeight="1"/>
    <row r="183" ht="15.6" customHeight="1"/>
    <row r="184" ht="15.6" customHeight="1"/>
    <row r="185" ht="15.6" customHeight="1"/>
    <row r="186" ht="15.6" customHeight="1"/>
    <row r="187" ht="15.6" customHeight="1"/>
    <row r="188" ht="15.6" customHeight="1"/>
    <row r="189" ht="15.6" customHeight="1"/>
    <row r="190" ht="15.6" customHeight="1"/>
    <row r="191" ht="15.6" customHeight="1"/>
    <row r="192" ht="15.6" customHeight="1"/>
    <row r="193" ht="15.6" customHeight="1"/>
    <row r="194" ht="15.6" customHeight="1"/>
    <row r="195" ht="15.6" customHeight="1"/>
    <row r="196" ht="15.6" customHeight="1"/>
    <row r="197" ht="15.6" customHeight="1"/>
    <row r="198" ht="15.6" customHeight="1"/>
    <row r="199" ht="15.6" customHeight="1"/>
    <row r="200" ht="15.6" customHeight="1"/>
    <row r="201" ht="15.6" customHeight="1"/>
    <row r="202" ht="15.6" customHeight="1"/>
    <row r="203" ht="15.6" customHeight="1"/>
    <row r="204" ht="15.6" customHeight="1"/>
    <row r="205" ht="15.6" customHeight="1"/>
    <row r="206" ht="15.6" customHeight="1"/>
    <row r="207" ht="15.6" customHeight="1"/>
    <row r="208" ht="15.6" customHeight="1"/>
    <row r="209" ht="15.6" customHeight="1"/>
    <row r="210" ht="15.6" customHeight="1"/>
    <row r="211" ht="15.6" customHeight="1"/>
    <row r="212" ht="15.6" customHeight="1"/>
    <row r="213" ht="15.6" customHeight="1"/>
    <row r="214" ht="15.6" customHeight="1"/>
    <row r="215" ht="15.6" customHeight="1"/>
    <row r="216" ht="15.6" customHeight="1"/>
    <row r="217" ht="15.6" customHeight="1"/>
    <row r="218" ht="15.6" customHeight="1"/>
    <row r="219" ht="15.6" customHeight="1"/>
    <row r="220" ht="15.6" customHeight="1"/>
    <row r="221" ht="15.6" customHeight="1"/>
    <row r="222" ht="15.6" customHeight="1"/>
    <row r="223" ht="15.6" customHeight="1"/>
    <row r="224" ht="15.6" customHeight="1"/>
    <row r="225" ht="15.6" customHeight="1"/>
    <row r="226" ht="15.6" customHeight="1"/>
    <row r="227" ht="15.6" customHeight="1"/>
    <row r="228" ht="15.6" customHeight="1"/>
    <row r="229" ht="15.6" customHeight="1"/>
    <row r="230" ht="15.6" customHeight="1"/>
    <row r="231" ht="15.6" customHeight="1"/>
    <row r="232" ht="15.6" customHeight="1"/>
    <row r="233" ht="15.6" customHeight="1"/>
    <row r="234" ht="15.6" customHeight="1"/>
    <row r="235" ht="15.6" customHeight="1"/>
    <row r="236" ht="15.6" customHeight="1"/>
    <row r="237" ht="15.6" customHeight="1"/>
    <row r="238" ht="15.6" customHeight="1"/>
    <row r="239" ht="15.6" customHeight="1"/>
    <row r="240" ht="15.6" customHeight="1"/>
    <row r="241" ht="15.6" customHeight="1"/>
    <row r="242" ht="15.6" customHeight="1"/>
    <row r="243" ht="15.6" customHeight="1"/>
    <row r="244" ht="15.6" customHeight="1"/>
    <row r="245" ht="15.6" customHeight="1"/>
    <row r="246" ht="15.6" customHeight="1"/>
    <row r="247" ht="15.6" customHeight="1"/>
    <row r="248" ht="15.6" customHeight="1"/>
    <row r="249" ht="15.6" customHeight="1"/>
    <row r="250" ht="15.6" customHeight="1"/>
    <row r="251" ht="15.6" customHeight="1"/>
    <row r="252" ht="15.6" customHeight="1"/>
    <row r="253" ht="15.6" customHeight="1"/>
    <row r="254" ht="15.6" customHeight="1"/>
    <row r="255" ht="15.6" customHeight="1"/>
    <row r="256" ht="15.6" customHeight="1"/>
    <row r="257" ht="15.6" customHeight="1"/>
    <row r="258" ht="15.6" customHeight="1"/>
    <row r="259" ht="15.6" customHeight="1"/>
    <row r="260" ht="15.6" customHeight="1"/>
    <row r="261" ht="15.6" customHeight="1"/>
    <row r="262" ht="15.6" customHeight="1"/>
    <row r="263" ht="15.6" customHeight="1"/>
    <row r="264" ht="15.6" customHeight="1"/>
    <row r="265" ht="15.6" customHeight="1"/>
    <row r="266" ht="15.6" customHeight="1"/>
    <row r="267" ht="15.6" customHeight="1"/>
    <row r="268" ht="15.6" customHeight="1"/>
    <row r="269" ht="15.6" customHeight="1"/>
    <row r="270" ht="15.6" customHeight="1"/>
    <row r="271" ht="15.6" customHeight="1"/>
    <row r="272" ht="15.6" customHeight="1"/>
    <row r="273" ht="15.6" customHeight="1"/>
    <row r="274" ht="15.6" customHeight="1"/>
    <row r="275" ht="15.6" customHeight="1"/>
    <row r="276" ht="15.6" customHeight="1"/>
    <row r="277" ht="15.6" customHeight="1"/>
    <row r="278" ht="15.6" customHeight="1"/>
    <row r="279" ht="15.6" customHeight="1"/>
    <row r="280" ht="15.6" customHeight="1"/>
    <row r="281" ht="15.6" customHeight="1"/>
    <row r="282" ht="15.6" customHeight="1"/>
    <row r="283" ht="15.6" customHeight="1"/>
    <row r="284" ht="15.6" customHeight="1"/>
    <row r="285" ht="15.6" customHeight="1"/>
    <row r="286" ht="15.6" customHeight="1"/>
    <row r="287" ht="15.6" customHeight="1"/>
    <row r="288" ht="15.6" customHeight="1"/>
    <row r="289" ht="15.6" customHeight="1"/>
    <row r="290" ht="15.6" customHeight="1"/>
    <row r="291" ht="15.6" customHeight="1"/>
    <row r="292" ht="15.6" customHeight="1"/>
    <row r="293" ht="15.6" customHeight="1"/>
    <row r="294" ht="15.6" customHeight="1"/>
    <row r="295" ht="15.6" customHeight="1"/>
    <row r="296" ht="15.6" customHeight="1"/>
    <row r="297" ht="15.6" customHeight="1"/>
    <row r="298" ht="15.6" customHeight="1"/>
    <row r="299" ht="15.6" customHeight="1"/>
    <row r="300" ht="15.6" customHeight="1"/>
    <row r="301" ht="15.6" customHeight="1"/>
    <row r="302" ht="15.6" customHeight="1"/>
    <row r="303" ht="15.6" customHeight="1"/>
    <row r="304" ht="15.6" customHeight="1"/>
    <row r="305" ht="15.6" customHeight="1"/>
    <row r="306" ht="15.6" customHeight="1"/>
    <row r="307" ht="15.6" customHeight="1"/>
    <row r="308" ht="15.6" customHeight="1"/>
    <row r="309" ht="15.6" customHeight="1"/>
    <row r="310" ht="15.6" customHeight="1"/>
    <row r="311" ht="15.6" customHeight="1"/>
    <row r="312" ht="15.6" customHeight="1"/>
    <row r="313" ht="15.6" customHeight="1"/>
    <row r="314" ht="15.6" customHeight="1"/>
    <row r="315" ht="15.6" customHeight="1"/>
    <row r="316" ht="15.6" customHeight="1"/>
    <row r="317" ht="15.6" customHeight="1"/>
    <row r="318" ht="15.6" customHeight="1"/>
    <row r="319" ht="15.6" customHeight="1"/>
    <row r="320" ht="15.6" customHeight="1"/>
    <row r="321" ht="15.6" customHeight="1"/>
    <row r="322" ht="15.6" customHeight="1"/>
    <row r="323" ht="15.6" customHeight="1"/>
    <row r="324" ht="15.6" customHeight="1"/>
    <row r="325" ht="15.6" customHeight="1"/>
    <row r="326" ht="15.6" customHeight="1"/>
    <row r="327" ht="15.6" customHeight="1"/>
    <row r="328" ht="15.6" customHeight="1"/>
    <row r="329" ht="15.6" customHeight="1"/>
    <row r="330" ht="15.6" customHeight="1"/>
    <row r="331" ht="15.6" customHeight="1"/>
    <row r="332" ht="15.6" customHeight="1"/>
    <row r="333" ht="15.6" customHeight="1"/>
    <row r="334" ht="15.6" customHeight="1"/>
    <row r="335" ht="15.6" customHeight="1"/>
    <row r="336" ht="15.6" customHeight="1"/>
    <row r="337" ht="15.6" customHeight="1"/>
    <row r="338" ht="15.6" customHeight="1"/>
    <row r="339" ht="15.6" customHeight="1"/>
    <row r="340" ht="15.6" customHeight="1"/>
    <row r="341" ht="15.6" customHeight="1"/>
  </sheetData>
  <mergeCells count="10">
    <mergeCell ref="A1:N1"/>
    <mergeCell ref="A2:N2"/>
    <mergeCell ref="A3:N3"/>
    <mergeCell ref="A5:B6"/>
    <mergeCell ref="C5:D5"/>
    <mergeCell ref="E5:F5"/>
    <mergeCell ref="G5:H5"/>
    <mergeCell ref="I5:J5"/>
    <mergeCell ref="K5:L5"/>
    <mergeCell ref="M5:N5"/>
  </mergeCells>
  <printOptions horizontalCentered="1"/>
  <pageMargins left="0.511811023622047" right="0.511811023622047" top="0" bottom="0" header="0.31496062992126" footer="0.196850393700787"/>
  <pageSetup scale="58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J203"/>
  <sheetViews>
    <sheetView showGridLines="0" view="pageBreakPreview" zoomScaleNormal="100" zoomScaleSheetLayoutView="100" workbookViewId="0">
      <pane ySplit="6" topLeftCell="A182" activePane="bottomLeft" state="frozen"/>
      <selection activeCell="B31" sqref="B31"/>
      <selection pane="bottomLeft" activeCell="K188" sqref="K188"/>
    </sheetView>
  </sheetViews>
  <sheetFormatPr defaultRowHeight="14.25"/>
  <cols>
    <col min="1" max="1" width="8.140625" style="64" customWidth="1"/>
    <col min="2" max="2" width="13.140625" style="64" customWidth="1"/>
    <col min="3" max="3" width="10.7109375" style="64" bestFit="1" customWidth="1"/>
    <col min="4" max="4" width="11.28515625" style="64" customWidth="1"/>
    <col min="5" max="12" width="10.5703125" style="64" customWidth="1"/>
    <col min="13" max="16384" width="9.140625" style="1"/>
  </cols>
  <sheetData>
    <row r="1" spans="1:12" ht="15.75" customHeight="1">
      <c r="A1" s="330" t="s">
        <v>231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</row>
    <row r="2" spans="1:12" ht="15.75" customHeight="1">
      <c r="A2" s="330" t="s">
        <v>362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</row>
    <row r="3" spans="1:12" ht="15" customHeight="1">
      <c r="A3" s="330" t="s">
        <v>281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</row>
    <row r="4" spans="1:12" ht="9.75" customHeight="1" thickBo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ht="16.5" customHeight="1" thickBot="1">
      <c r="A5" s="326" t="s">
        <v>22</v>
      </c>
      <c r="B5" s="326"/>
      <c r="C5" s="320" t="s">
        <v>40</v>
      </c>
      <c r="D5" s="320"/>
      <c r="E5" s="320" t="s">
        <v>345</v>
      </c>
      <c r="F5" s="320"/>
      <c r="G5" s="320" t="s">
        <v>346</v>
      </c>
      <c r="H5" s="320"/>
      <c r="I5" s="320" t="s">
        <v>137</v>
      </c>
      <c r="J5" s="320"/>
      <c r="K5" s="320" t="s">
        <v>138</v>
      </c>
      <c r="L5" s="320"/>
    </row>
    <row r="6" spans="1:12" ht="16.5" customHeight="1" thickBot="1">
      <c r="A6" s="335"/>
      <c r="B6" s="335"/>
      <c r="C6" s="289" t="s">
        <v>152</v>
      </c>
      <c r="D6" s="289" t="s">
        <v>172</v>
      </c>
      <c r="E6" s="289" t="s">
        <v>152</v>
      </c>
      <c r="F6" s="289" t="s">
        <v>172</v>
      </c>
      <c r="G6" s="289" t="s">
        <v>152</v>
      </c>
      <c r="H6" s="289" t="s">
        <v>172</v>
      </c>
      <c r="I6" s="289" t="s">
        <v>152</v>
      </c>
      <c r="J6" s="289" t="s">
        <v>172</v>
      </c>
      <c r="K6" s="289" t="s">
        <v>152</v>
      </c>
      <c r="L6" s="289" t="s">
        <v>172</v>
      </c>
    </row>
    <row r="7" spans="1:12" ht="15" thickTop="1">
      <c r="A7" s="85">
        <v>2011</v>
      </c>
      <c r="B7" s="86" t="s">
        <v>50</v>
      </c>
      <c r="C7" s="87">
        <v>74.513620110634179</v>
      </c>
      <c r="D7" s="88">
        <v>1.2437000000000253</v>
      </c>
      <c r="E7" s="88">
        <v>76.474341319896837</v>
      </c>
      <c r="F7" s="88">
        <v>1.0109999999999841</v>
      </c>
      <c r="G7" s="88">
        <v>73.658515684998591</v>
      </c>
      <c r="H7" s="88">
        <v>1.3369999999999882</v>
      </c>
      <c r="I7" s="88">
        <v>73.472749115692523</v>
      </c>
      <c r="J7" s="88">
        <v>1.3409999999999922</v>
      </c>
      <c r="K7" s="88">
        <v>71.387888500649026</v>
      </c>
      <c r="L7" s="88">
        <v>1.692999999999989</v>
      </c>
    </row>
    <row r="8" spans="1:12">
      <c r="A8" s="89"/>
      <c r="B8" s="90" t="s">
        <v>4</v>
      </c>
      <c r="C8" s="91">
        <v>75.409531952661624</v>
      </c>
      <c r="D8" s="52">
        <v>1.2023464176042387</v>
      </c>
      <c r="E8" s="52">
        <v>77.30183986028004</v>
      </c>
      <c r="F8" s="52">
        <v>1.0820603696627185</v>
      </c>
      <c r="G8" s="52">
        <v>74.548200826639246</v>
      </c>
      <c r="H8" s="52">
        <v>1.2078510317061086</v>
      </c>
      <c r="I8" s="52">
        <v>74.502256459652841</v>
      </c>
      <c r="J8" s="52">
        <v>1.4012097768918652</v>
      </c>
      <c r="K8" s="52">
        <v>72.406924231566578</v>
      </c>
      <c r="L8" s="52">
        <v>1.4274630505541452</v>
      </c>
    </row>
    <row r="9" spans="1:12">
      <c r="A9" s="89"/>
      <c r="B9" s="90" t="s">
        <v>5</v>
      </c>
      <c r="C9" s="91">
        <v>76.280935568007479</v>
      </c>
      <c r="D9" s="52">
        <v>1.1555616283268844</v>
      </c>
      <c r="E9" s="52">
        <v>78.123281686735453</v>
      </c>
      <c r="F9" s="52">
        <v>1.0626420120661173</v>
      </c>
      <c r="G9" s="52">
        <v>75.471321847786001</v>
      </c>
      <c r="H9" s="52">
        <v>1.2382874581956083</v>
      </c>
      <c r="I9" s="52">
        <v>75.590489222529214</v>
      </c>
      <c r="J9" s="52">
        <v>1.4606708770837251</v>
      </c>
      <c r="K9" s="52">
        <v>73.123919970485744</v>
      </c>
      <c r="L9" s="52">
        <v>0.99023090198684383</v>
      </c>
    </row>
    <row r="10" spans="1:12">
      <c r="A10" s="89"/>
      <c r="B10" s="90" t="s">
        <v>6</v>
      </c>
      <c r="C10" s="91">
        <v>76.947735969615039</v>
      </c>
      <c r="D10" s="52">
        <v>0.87413768150901294</v>
      </c>
      <c r="E10" s="52">
        <v>78.78497768334563</v>
      </c>
      <c r="F10" s="52">
        <v>0.84698950469528356</v>
      </c>
      <c r="G10" s="52">
        <v>76.206911196920259</v>
      </c>
      <c r="H10" s="52">
        <v>0.97466074679044556</v>
      </c>
      <c r="I10" s="52">
        <v>76.233568809918523</v>
      </c>
      <c r="J10" s="52">
        <v>0.85074140146939037</v>
      </c>
      <c r="K10" s="52">
        <v>73.634269698982024</v>
      </c>
      <c r="L10" s="52">
        <v>0.69792446671659292</v>
      </c>
    </row>
    <row r="11" spans="1:12">
      <c r="A11" s="89"/>
      <c r="B11" s="90" t="s">
        <v>7</v>
      </c>
      <c r="C11" s="91">
        <v>77.115540044191761</v>
      </c>
      <c r="D11" s="52">
        <v>0.21807538904456969</v>
      </c>
      <c r="E11" s="52">
        <v>78.975007082829777</v>
      </c>
      <c r="F11" s="52">
        <v>0.24120004228207481</v>
      </c>
      <c r="G11" s="52">
        <v>76.334839779378385</v>
      </c>
      <c r="H11" s="52">
        <v>0.16787005331779792</v>
      </c>
      <c r="I11" s="52">
        <v>76.372044797732912</v>
      </c>
      <c r="J11" s="52">
        <v>0.18164699616736169</v>
      </c>
      <c r="K11" s="52">
        <v>73.86733174830907</v>
      </c>
      <c r="L11" s="52">
        <v>0.31651301802788634</v>
      </c>
    </row>
    <row r="12" spans="1:12">
      <c r="A12" s="89"/>
      <c r="B12" s="90" t="s">
        <v>8</v>
      </c>
      <c r="C12" s="91">
        <v>77.900833673899555</v>
      </c>
      <c r="D12" s="52">
        <v>1.0183338264346808</v>
      </c>
      <c r="E12" s="52">
        <v>79.735124680766404</v>
      </c>
      <c r="F12" s="52">
        <v>0.9624786701689203</v>
      </c>
      <c r="G12" s="52">
        <v>77.138754621416425</v>
      </c>
      <c r="H12" s="52">
        <v>1.0531427646425895</v>
      </c>
      <c r="I12" s="52">
        <v>77.210150776337215</v>
      </c>
      <c r="J12" s="52">
        <v>1.0973988988038474</v>
      </c>
      <c r="K12" s="52">
        <v>74.641631267609469</v>
      </c>
      <c r="L12" s="52">
        <v>1.0482299833689757</v>
      </c>
    </row>
    <row r="13" spans="1:12">
      <c r="A13" s="89"/>
      <c r="B13" s="90" t="s">
        <v>9</v>
      </c>
      <c r="C13" s="91">
        <v>78.566162109940649</v>
      </c>
      <c r="D13" s="52">
        <v>0.85407100882415321</v>
      </c>
      <c r="E13" s="52">
        <v>80.292342362122341</v>
      </c>
      <c r="F13" s="52">
        <v>0.69883590649271188</v>
      </c>
      <c r="G13" s="52">
        <v>77.896876845870011</v>
      </c>
      <c r="H13" s="52">
        <v>0.98280329799764754</v>
      </c>
      <c r="I13" s="52">
        <v>77.851780353382921</v>
      </c>
      <c r="J13" s="52">
        <v>0.83101712740385469</v>
      </c>
      <c r="K13" s="52">
        <v>75.413824804536432</v>
      </c>
      <c r="L13" s="52">
        <v>1.0345346475058248</v>
      </c>
    </row>
    <row r="14" spans="1:12">
      <c r="A14" s="89"/>
      <c r="B14" s="90" t="s">
        <v>10</v>
      </c>
      <c r="C14" s="91">
        <v>78.956232985053234</v>
      </c>
      <c r="D14" s="52">
        <v>0.49648711943792723</v>
      </c>
      <c r="E14" s="52">
        <v>80.729182854163597</v>
      </c>
      <c r="F14" s="52">
        <v>0.54406245874740744</v>
      </c>
      <c r="G14" s="52">
        <v>78.226147572310538</v>
      </c>
      <c r="H14" s="52">
        <v>0.4227008062108073</v>
      </c>
      <c r="I14" s="52">
        <v>78.170057623804453</v>
      </c>
      <c r="J14" s="52">
        <v>0.4088246524059036</v>
      </c>
      <c r="K14" s="52">
        <v>75.879246909066055</v>
      </c>
      <c r="L14" s="52">
        <v>0.61715753807201068</v>
      </c>
    </row>
    <row r="15" spans="1:12">
      <c r="A15" s="89"/>
      <c r="B15" s="90" t="s">
        <v>11</v>
      </c>
      <c r="C15" s="91">
        <v>79.12513367397699</v>
      </c>
      <c r="D15" s="52">
        <v>0.21391685309470887</v>
      </c>
      <c r="E15" s="52">
        <v>80.859296211117169</v>
      </c>
      <c r="F15" s="52">
        <v>0.16117264210220306</v>
      </c>
      <c r="G15" s="52">
        <v>78.380723097001152</v>
      </c>
      <c r="H15" s="52">
        <v>0.19760083998476841</v>
      </c>
      <c r="I15" s="52">
        <v>78.421518417592623</v>
      </c>
      <c r="J15" s="52">
        <v>0.32168428862919818</v>
      </c>
      <c r="K15" s="52">
        <v>76.140360643607281</v>
      </c>
      <c r="L15" s="52">
        <v>0.34411745658748938</v>
      </c>
    </row>
    <row r="16" spans="1:12">
      <c r="A16" s="89"/>
      <c r="B16" s="90" t="s">
        <v>12</v>
      </c>
      <c r="C16" s="91">
        <v>79.149266549439147</v>
      </c>
      <c r="D16" s="52">
        <v>3.0499633102154533E-2</v>
      </c>
      <c r="E16" s="52">
        <v>80.898551288261615</v>
      </c>
      <c r="F16" s="52">
        <v>4.8547389086794901E-2</v>
      </c>
      <c r="G16" s="52">
        <v>78.408235010899105</v>
      </c>
      <c r="H16" s="52">
        <v>3.5100357346662392E-2</v>
      </c>
      <c r="I16" s="52">
        <v>78.37218181565143</v>
      </c>
      <c r="J16" s="52">
        <v>-6.291207175876945E-2</v>
      </c>
      <c r="K16" s="52">
        <v>76.167478676635909</v>
      </c>
      <c r="L16" s="52">
        <v>3.5615845261838253E-2</v>
      </c>
    </row>
    <row r="17" spans="1:12">
      <c r="A17" s="89"/>
      <c r="B17" s="90" t="s">
        <v>13</v>
      </c>
      <c r="C17" s="91">
        <v>79.21971482145004</v>
      </c>
      <c r="D17" s="52">
        <v>8.9006853862483304E-2</v>
      </c>
      <c r="E17" s="52">
        <v>81.05018869233605</v>
      </c>
      <c r="F17" s="52">
        <v>0.18744143332569685</v>
      </c>
      <c r="G17" s="52">
        <v>78.431124051021882</v>
      </c>
      <c r="H17" s="52">
        <v>2.9192137942657403E-2</v>
      </c>
      <c r="I17" s="52">
        <v>78.318683684024094</v>
      </c>
      <c r="J17" s="52">
        <v>-6.8261633640842589E-2</v>
      </c>
      <c r="K17" s="52">
        <v>76.214098106442563</v>
      </c>
      <c r="L17" s="52">
        <v>6.1206476329056514E-2</v>
      </c>
    </row>
    <row r="18" spans="1:12">
      <c r="A18" s="89"/>
      <c r="B18" s="90" t="s">
        <v>14</v>
      </c>
      <c r="C18" s="91">
        <v>79.309504721004259</v>
      </c>
      <c r="D18" s="52">
        <v>0.11334287147661826</v>
      </c>
      <c r="E18" s="52">
        <v>81.152395739867359</v>
      </c>
      <c r="F18" s="52">
        <v>0.12610340479191073</v>
      </c>
      <c r="G18" s="52">
        <v>78.523436153136544</v>
      </c>
      <c r="H18" s="52">
        <v>0.11769830310555118</v>
      </c>
      <c r="I18" s="52">
        <v>78.431059485653563</v>
      </c>
      <c r="J18" s="52">
        <v>0.14348530432770623</v>
      </c>
      <c r="K18" s="52">
        <v>76.257621742160268</v>
      </c>
      <c r="L18" s="52">
        <v>5.7107066538941709E-2</v>
      </c>
    </row>
    <row r="19" spans="1:12" ht="9.75" customHeight="1">
      <c r="A19" s="89"/>
      <c r="B19" s="90"/>
      <c r="C19" s="91"/>
      <c r="D19" s="52"/>
      <c r="E19" s="52"/>
      <c r="F19" s="52"/>
      <c r="G19" s="52"/>
      <c r="H19" s="52"/>
      <c r="I19" s="52"/>
      <c r="J19" s="52"/>
      <c r="K19" s="52"/>
      <c r="L19" s="52"/>
    </row>
    <row r="20" spans="1:12">
      <c r="A20" s="89">
        <v>2012</v>
      </c>
      <c r="B20" s="90" t="s">
        <v>50</v>
      </c>
      <c r="C20" s="91">
        <v>79.655416629122968</v>
      </c>
      <c r="D20" s="52">
        <v>0.4361544172234666</v>
      </c>
      <c r="E20" s="52">
        <v>81.470373221075903</v>
      </c>
      <c r="F20" s="52">
        <v>0.39182759585780769</v>
      </c>
      <c r="G20" s="52">
        <v>78.865063617655423</v>
      </c>
      <c r="H20" s="52">
        <v>0.4350643339813054</v>
      </c>
      <c r="I20" s="52">
        <v>78.800812123273104</v>
      </c>
      <c r="J20" s="52">
        <v>0.47143649473098126</v>
      </c>
      <c r="K20" s="52">
        <v>76.650738451868534</v>
      </c>
      <c r="L20" s="52">
        <v>0.51551136886678339</v>
      </c>
    </row>
    <row r="21" spans="1:12">
      <c r="A21" s="89"/>
      <c r="B21" s="90" t="s">
        <v>4</v>
      </c>
      <c r="C21" s="91">
        <v>79.935090086750861</v>
      </c>
      <c r="D21" s="52">
        <v>0.35110413009331598</v>
      </c>
      <c r="E21" s="52">
        <v>81.78077980987473</v>
      </c>
      <c r="F21" s="52">
        <v>0.38100548276183144</v>
      </c>
      <c r="G21" s="52">
        <v>79.14854172651151</v>
      </c>
      <c r="H21" s="52">
        <v>0.35944700460830425</v>
      </c>
      <c r="I21" s="52">
        <v>79.0618139851222</v>
      </c>
      <c r="J21" s="52">
        <v>0.3312172232956101</v>
      </c>
      <c r="K21" s="52">
        <v>76.861336689212251</v>
      </c>
      <c r="L21" s="52">
        <v>0.27475043502152019</v>
      </c>
    </row>
    <row r="22" spans="1:12">
      <c r="A22" s="89"/>
      <c r="B22" s="90" t="s">
        <v>5</v>
      </c>
      <c r="C22" s="91">
        <v>80.052847332067856</v>
      </c>
      <c r="D22" s="52">
        <v>0.14731608507503324</v>
      </c>
      <c r="E22" s="52">
        <v>81.932197658069271</v>
      </c>
      <c r="F22" s="52">
        <v>0.18515089798185613</v>
      </c>
      <c r="G22" s="52">
        <v>79.235765760005691</v>
      </c>
      <c r="H22" s="52">
        <v>0.11020295711268169</v>
      </c>
      <c r="I22" s="52">
        <v>79.156064657456611</v>
      </c>
      <c r="J22" s="52">
        <v>0.11921137093078293</v>
      </c>
      <c r="K22" s="52">
        <v>76.959615866639325</v>
      </c>
      <c r="L22" s="52">
        <v>0.12786555849850778</v>
      </c>
    </row>
    <row r="23" spans="1:12">
      <c r="A23" s="89"/>
      <c r="B23" s="90" t="s">
        <v>6</v>
      </c>
      <c r="C23" s="91">
        <v>80.060207159900173</v>
      </c>
      <c r="D23" s="52">
        <v>9.1937115013429604E-3</v>
      </c>
      <c r="E23" s="52">
        <v>81.970052120117913</v>
      </c>
      <c r="F23" s="52">
        <v>4.6202180742938026E-2</v>
      </c>
      <c r="G23" s="52">
        <v>79.257571768379236</v>
      </c>
      <c r="H23" s="52">
        <v>2.7520410971471065E-2</v>
      </c>
      <c r="I23" s="52">
        <v>79.054563933404182</v>
      </c>
      <c r="J23" s="52">
        <v>-0.1282286132991417</v>
      </c>
      <c r="K23" s="52">
        <v>76.931536101660171</v>
      </c>
      <c r="L23" s="52">
        <v>-3.6486363221732709E-2</v>
      </c>
    </row>
    <row r="24" spans="1:12">
      <c r="A24" s="89"/>
      <c r="B24" s="90" t="s">
        <v>7</v>
      </c>
      <c r="C24" s="91">
        <v>79.846772152763094</v>
      </c>
      <c r="D24" s="52">
        <v>-0.26659312373598087</v>
      </c>
      <c r="E24" s="52">
        <v>81.818634271923358</v>
      </c>
      <c r="F24" s="52">
        <v>-0.18472337674333428</v>
      </c>
      <c r="G24" s="52">
        <v>78.966824990065305</v>
      </c>
      <c r="H24" s="52">
        <v>-0.3668378576669018</v>
      </c>
      <c r="I24" s="52">
        <v>78.771811916400992</v>
      </c>
      <c r="J24" s="52">
        <v>-0.35766691122524064</v>
      </c>
      <c r="K24" s="52">
        <v>76.79113727676436</v>
      </c>
      <c r="L24" s="52">
        <v>-0.18249840313897536</v>
      </c>
    </row>
    <row r="25" spans="1:12">
      <c r="A25" s="89"/>
      <c r="B25" s="90" t="s">
        <v>8</v>
      </c>
      <c r="C25" s="91">
        <v>80.016048192906297</v>
      </c>
      <c r="D25" s="52">
        <v>0.2120011060927407</v>
      </c>
      <c r="E25" s="52">
        <v>81.886772303610911</v>
      </c>
      <c r="F25" s="52">
        <v>8.327935597298719E-2</v>
      </c>
      <c r="G25" s="52">
        <v>79.14854172651151</v>
      </c>
      <c r="H25" s="52">
        <v>0.23011782032400507</v>
      </c>
      <c r="I25" s="52">
        <v>79.127064450584484</v>
      </c>
      <c r="J25" s="52">
        <v>0.45098941555452576</v>
      </c>
      <c r="K25" s="52">
        <v>77.092994750290345</v>
      </c>
      <c r="L25" s="52">
        <v>0.39308894780143433</v>
      </c>
    </row>
    <row r="26" spans="1:12">
      <c r="A26" s="89"/>
      <c r="B26" s="90" t="s">
        <v>9</v>
      </c>
      <c r="C26" s="91">
        <v>79.854131980595412</v>
      </c>
      <c r="D26" s="52">
        <v>-0.20235467255335093</v>
      </c>
      <c r="E26" s="52">
        <v>81.705070885777459</v>
      </c>
      <c r="F26" s="52">
        <v>-0.22189349112425871</v>
      </c>
      <c r="G26" s="52">
        <v>78.930481642776058</v>
      </c>
      <c r="H26" s="52">
        <v>-0.27550739278170422</v>
      </c>
      <c r="I26" s="52">
        <v>79.054563933404182</v>
      </c>
      <c r="J26" s="52">
        <v>-9.1625435220810125E-2</v>
      </c>
      <c r="K26" s="52">
        <v>77.029815279087231</v>
      </c>
      <c r="L26" s="52">
        <v>-8.1952285558184457E-2</v>
      </c>
    </row>
    <row r="27" spans="1:12">
      <c r="A27" s="89"/>
      <c r="B27" s="90" t="s">
        <v>10</v>
      </c>
      <c r="C27" s="91">
        <v>80.663713042149837</v>
      </c>
      <c r="D27" s="52">
        <v>1.0138248847926246</v>
      </c>
      <c r="E27" s="52">
        <v>82.57572351289609</v>
      </c>
      <c r="F27" s="52">
        <v>1.0656041512231207</v>
      </c>
      <c r="G27" s="52">
        <v>79.780915969344335</v>
      </c>
      <c r="H27" s="52">
        <v>1.0774472787549616</v>
      </c>
      <c r="I27" s="52">
        <v>79.750568898335104</v>
      </c>
      <c r="J27" s="52">
        <v>0.88041085840058209</v>
      </c>
      <c r="K27" s="52">
        <v>77.633530226139229</v>
      </c>
      <c r="L27" s="52">
        <v>0.78374191196575183</v>
      </c>
    </row>
    <row r="28" spans="1:12">
      <c r="A28" s="89"/>
      <c r="B28" s="90" t="s">
        <v>11</v>
      </c>
      <c r="C28" s="91">
        <v>81.186260818244051</v>
      </c>
      <c r="D28" s="52">
        <v>0.64781021897810653</v>
      </c>
      <c r="E28" s="52">
        <v>83.075402411938114</v>
      </c>
      <c r="F28" s="52">
        <v>0.60511598056296467</v>
      </c>
      <c r="G28" s="52">
        <v>80.311528839767263</v>
      </c>
      <c r="H28" s="52">
        <v>0.665087463556846</v>
      </c>
      <c r="I28" s="52">
        <v>80.229072311725105</v>
      </c>
      <c r="J28" s="52">
        <v>0.59999999999997833</v>
      </c>
      <c r="K28" s="52">
        <v>78.23022523194642</v>
      </c>
      <c r="L28" s="52">
        <v>0.76860475630706748</v>
      </c>
    </row>
    <row r="29" spans="1:12">
      <c r="A29" s="89"/>
      <c r="B29" s="90" t="s">
        <v>12</v>
      </c>
      <c r="C29" s="91">
        <v>81.377616341884192</v>
      </c>
      <c r="D29" s="52">
        <v>0.23569939262080286</v>
      </c>
      <c r="E29" s="52">
        <v>83.355525431098016</v>
      </c>
      <c r="F29" s="52">
        <v>0.33719128770617335</v>
      </c>
      <c r="G29" s="52">
        <v>80.442364890008534</v>
      </c>
      <c r="H29" s="52">
        <v>0.16291067064893028</v>
      </c>
      <c r="I29" s="52">
        <v>80.381323397803754</v>
      </c>
      <c r="J29" s="52">
        <v>0.18977046810049192</v>
      </c>
      <c r="K29" s="52">
        <v>78.391683880576608</v>
      </c>
      <c r="L29" s="52">
        <v>0.20638908829864189</v>
      </c>
    </row>
    <row r="30" spans="1:12">
      <c r="A30" s="89"/>
      <c r="B30" s="90" t="s">
        <v>13</v>
      </c>
      <c r="C30" s="91">
        <v>81.892804290146088</v>
      </c>
      <c r="D30" s="52">
        <v>0.63308311476890644</v>
      </c>
      <c r="E30" s="52">
        <v>83.885487899778923</v>
      </c>
      <c r="F30" s="52">
        <v>0.6357856494096259</v>
      </c>
      <c r="G30" s="52">
        <v>81.052933124467799</v>
      </c>
      <c r="H30" s="52">
        <v>0.75901328273244584</v>
      </c>
      <c r="I30" s="52">
        <v>80.736575931987247</v>
      </c>
      <c r="J30" s="52">
        <v>0.44195905114097211</v>
      </c>
      <c r="K30" s="52">
        <v>78.700561295347399</v>
      </c>
      <c r="L30" s="52">
        <v>0.39401808901227131</v>
      </c>
    </row>
    <row r="31" spans="1:12">
      <c r="A31" s="89"/>
      <c r="B31" s="90" t="s">
        <v>14</v>
      </c>
      <c r="C31" s="91">
        <v>82.407992238407999</v>
      </c>
      <c r="D31" s="52">
        <v>0.62910038644738986</v>
      </c>
      <c r="E31" s="52">
        <v>84.279174305084751</v>
      </c>
      <c r="F31" s="52">
        <v>0.46931407942238934</v>
      </c>
      <c r="G31" s="52">
        <v>81.670770028384922</v>
      </c>
      <c r="H31" s="52">
        <v>0.76226347412788886</v>
      </c>
      <c r="I31" s="52">
        <v>81.215079345377248</v>
      </c>
      <c r="J31" s="52">
        <v>0.59267241379308278</v>
      </c>
      <c r="K31" s="52">
        <v>79.36745571360251</v>
      </c>
      <c r="L31" s="52">
        <v>0.84738203550085434</v>
      </c>
    </row>
    <row r="32" spans="1:12" ht="10.5" customHeight="1">
      <c r="A32" s="89"/>
      <c r="B32" s="90"/>
      <c r="C32" s="91"/>
      <c r="D32" s="52"/>
      <c r="E32" s="52"/>
      <c r="F32" s="52"/>
      <c r="G32" s="52"/>
      <c r="H32" s="52"/>
      <c r="I32" s="52"/>
      <c r="J32" s="52"/>
      <c r="K32" s="52"/>
      <c r="L32" s="52"/>
    </row>
    <row r="33" spans="1:12">
      <c r="A33" s="89">
        <v>2013</v>
      </c>
      <c r="B33" s="90" t="s">
        <v>50</v>
      </c>
      <c r="C33" s="91">
        <v>83.445727962764124</v>
      </c>
      <c r="D33" s="52">
        <v>1.2592658747878849</v>
      </c>
      <c r="E33" s="52">
        <v>85.233106748710398</v>
      </c>
      <c r="F33" s="52">
        <v>1.1318720804886828</v>
      </c>
      <c r="G33" s="52">
        <v>82.775607785977869</v>
      </c>
      <c r="H33" s="52">
        <v>1.3527945888216264</v>
      </c>
      <c r="I33" s="52">
        <v>82.302587103081819</v>
      </c>
      <c r="J33" s="52">
        <v>1.3390465988216471</v>
      </c>
      <c r="K33" s="52">
        <v>80.455546606545042</v>
      </c>
      <c r="L33" s="52">
        <v>1.3709534760304232</v>
      </c>
    </row>
    <row r="34" spans="1:12">
      <c r="A34" s="89"/>
      <c r="B34" s="90" t="s">
        <v>4</v>
      </c>
      <c r="C34" s="91">
        <v>83.718041592559715</v>
      </c>
      <c r="D34" s="52">
        <v>0.32633621449993377</v>
      </c>
      <c r="E34" s="52">
        <v>85.588938691967584</v>
      </c>
      <c r="F34" s="52">
        <v>0.41748090246935821</v>
      </c>
      <c r="G34" s="52">
        <v>82.935518514050543</v>
      </c>
      <c r="H34" s="52">
        <v>0.19318580962417453</v>
      </c>
      <c r="I34" s="52">
        <v>82.570839016648947</v>
      </c>
      <c r="J34" s="52">
        <v>0.32593375616631892</v>
      </c>
      <c r="K34" s="52">
        <v>80.757404080071041</v>
      </c>
      <c r="L34" s="52">
        <v>0.37518541139516248</v>
      </c>
    </row>
    <row r="35" spans="1:12">
      <c r="A35" s="89"/>
      <c r="B35" s="90" t="s">
        <v>5</v>
      </c>
      <c r="C35" s="91">
        <v>84.034514189349167</v>
      </c>
      <c r="D35" s="52">
        <v>0.37802197802196957</v>
      </c>
      <c r="E35" s="52">
        <v>85.89177438835668</v>
      </c>
      <c r="F35" s="52">
        <v>0.35382574082265528</v>
      </c>
      <c r="G35" s="52">
        <v>83.233533961822332</v>
      </c>
      <c r="H35" s="52">
        <v>0.35933391761613365</v>
      </c>
      <c r="I35" s="52">
        <v>82.93334160255047</v>
      </c>
      <c r="J35" s="52">
        <v>0.43902010712091322</v>
      </c>
      <c r="K35" s="52">
        <v>81.122441024800153</v>
      </c>
      <c r="L35" s="52">
        <v>0.45201668984700127</v>
      </c>
    </row>
    <row r="36" spans="1:12">
      <c r="A36" s="89"/>
      <c r="B36" s="90" t="s">
        <v>6</v>
      </c>
      <c r="C36" s="91">
        <v>83.982995394522973</v>
      </c>
      <c r="D36" s="52">
        <v>-6.1306708705555213E-2</v>
      </c>
      <c r="E36" s="52">
        <v>85.816065464259395</v>
      </c>
      <c r="F36" s="52">
        <v>-8.8144557073610574E-2</v>
      </c>
      <c r="G36" s="52">
        <v>83.146309928328151</v>
      </c>
      <c r="H36" s="52">
        <v>-0.10479434110558516</v>
      </c>
      <c r="I36" s="52">
        <v>82.998592068012755</v>
      </c>
      <c r="J36" s="52">
        <v>7.8678206136917339E-2</v>
      </c>
      <c r="K36" s="52">
        <v>81.122441024800153</v>
      </c>
      <c r="L36" s="52">
        <v>0</v>
      </c>
    </row>
    <row r="37" spans="1:12">
      <c r="A37" s="89"/>
      <c r="B37" s="90" t="s">
        <v>7</v>
      </c>
      <c r="C37" s="91">
        <v>83.828439010044406</v>
      </c>
      <c r="D37" s="52">
        <v>-0.18403295066163894</v>
      </c>
      <c r="E37" s="52">
        <v>85.649505831245392</v>
      </c>
      <c r="F37" s="52">
        <v>-0.19408910454344896</v>
      </c>
      <c r="G37" s="52">
        <v>83.030011217002567</v>
      </c>
      <c r="H37" s="52">
        <v>-0.13987236646560985</v>
      </c>
      <c r="I37" s="52">
        <v>82.875341188806232</v>
      </c>
      <c r="J37" s="52">
        <v>-0.14849755415793364</v>
      </c>
      <c r="K37" s="52">
        <v>80.89078296372206</v>
      </c>
      <c r="L37" s="52">
        <v>-0.28556593977154821</v>
      </c>
    </row>
    <row r="38" spans="1:12">
      <c r="A38" s="89"/>
      <c r="B38" s="90" t="s">
        <v>8</v>
      </c>
      <c r="C38" s="91">
        <v>83.857878321373647</v>
      </c>
      <c r="D38" s="52">
        <v>3.5118525021937685E-2</v>
      </c>
      <c r="E38" s="52">
        <v>85.785781894620499</v>
      </c>
      <c r="F38" s="52">
        <v>0.15910898965794118</v>
      </c>
      <c r="G38" s="52">
        <v>82.964593191881931</v>
      </c>
      <c r="H38" s="52">
        <v>-7.8788409349561661E-2</v>
      </c>
      <c r="I38" s="52">
        <v>82.860841085370168</v>
      </c>
      <c r="J38" s="52">
        <v>-1.7496282040074806E-2</v>
      </c>
      <c r="K38" s="52">
        <v>80.897802904966852</v>
      </c>
      <c r="L38" s="52">
        <v>8.6782955827535702E-3</v>
      </c>
    </row>
    <row r="39" spans="1:12">
      <c r="A39" s="89"/>
      <c r="B39" s="90" t="s">
        <v>9</v>
      </c>
      <c r="C39" s="91">
        <v>84.380426097467875</v>
      </c>
      <c r="D39" s="52">
        <v>0.62313498332455808</v>
      </c>
      <c r="E39" s="52">
        <v>86.224893654384687</v>
      </c>
      <c r="F39" s="52">
        <v>0.51187009090107871</v>
      </c>
      <c r="G39" s="52">
        <v>83.553355417967666</v>
      </c>
      <c r="H39" s="52">
        <v>0.70965480988260943</v>
      </c>
      <c r="I39" s="52">
        <v>83.411845015940486</v>
      </c>
      <c r="J39" s="52">
        <v>0.6649750634351248</v>
      </c>
      <c r="K39" s="52">
        <v>81.459398204550112</v>
      </c>
      <c r="L39" s="52">
        <v>0.69420340159669358</v>
      </c>
    </row>
    <row r="40" spans="1:12">
      <c r="A40" s="89"/>
      <c r="B40" s="90" t="s">
        <v>10</v>
      </c>
      <c r="C40" s="91">
        <v>84.939773012723649</v>
      </c>
      <c r="D40" s="52">
        <v>0.66288704753596495</v>
      </c>
      <c r="E40" s="52">
        <v>86.807852369933684</v>
      </c>
      <c r="F40" s="52">
        <v>0.6760909649661917</v>
      </c>
      <c r="G40" s="52">
        <v>84.156654982969073</v>
      </c>
      <c r="H40" s="52">
        <v>0.72205306655066526</v>
      </c>
      <c r="I40" s="52">
        <v>83.846848119022312</v>
      </c>
      <c r="J40" s="52">
        <v>0.52151238591915394</v>
      </c>
      <c r="K40" s="52">
        <v>81.950794091685438</v>
      </c>
      <c r="L40" s="52">
        <v>0.60324026197859926</v>
      </c>
    </row>
    <row r="41" spans="1:12">
      <c r="A41" s="89"/>
      <c r="B41" s="90" t="s">
        <v>11</v>
      </c>
      <c r="C41" s="91">
        <v>85.351923371333186</v>
      </c>
      <c r="D41" s="52">
        <v>0.48522658348497671</v>
      </c>
      <c r="E41" s="52">
        <v>87.224251452468678</v>
      </c>
      <c r="F41" s="52">
        <v>0.47967905110761766</v>
      </c>
      <c r="G41" s="52">
        <v>84.570969142066431</v>
      </c>
      <c r="H41" s="52">
        <v>0.49231300742786921</v>
      </c>
      <c r="I41" s="52">
        <v>84.274601170386106</v>
      </c>
      <c r="J41" s="52">
        <v>0.51015996541288189</v>
      </c>
      <c r="K41" s="52">
        <v>82.329870918904135</v>
      </c>
      <c r="L41" s="52">
        <v>0.46256638684256668</v>
      </c>
    </row>
    <row r="42" spans="1:12">
      <c r="A42" s="89"/>
      <c r="B42" s="90" t="s">
        <v>12</v>
      </c>
      <c r="C42" s="91">
        <v>85.234166126016177</v>
      </c>
      <c r="D42" s="52">
        <v>-0.13796671552988027</v>
      </c>
      <c r="E42" s="52">
        <v>87.118258958732497</v>
      </c>
      <c r="F42" s="52">
        <v>-0.12151722940716425</v>
      </c>
      <c r="G42" s="52">
        <v>84.411058413993771</v>
      </c>
      <c r="H42" s="52">
        <v>-0.18908465835839605</v>
      </c>
      <c r="I42" s="52">
        <v>84.187600549769741</v>
      </c>
      <c r="J42" s="52">
        <v>-0.10323468685478066</v>
      </c>
      <c r="K42" s="52">
        <v>82.252651565211437</v>
      </c>
      <c r="L42" s="52">
        <v>-9.3792633015010729E-2</v>
      </c>
    </row>
    <row r="43" spans="1:12">
      <c r="A43" s="89"/>
      <c r="B43" s="90" t="s">
        <v>13</v>
      </c>
      <c r="C43" s="91">
        <v>85.285684920842357</v>
      </c>
      <c r="D43" s="52">
        <v>6.0443830411860411E-2</v>
      </c>
      <c r="E43" s="52">
        <v>87.246964129697872</v>
      </c>
      <c r="F43" s="52">
        <v>0.14773616059791106</v>
      </c>
      <c r="G43" s="52">
        <v>84.425595752909473</v>
      </c>
      <c r="H43" s="52">
        <v>1.7222078704914878E-2</v>
      </c>
      <c r="I43" s="52">
        <v>84.151350291179583</v>
      </c>
      <c r="J43" s="52">
        <v>-4.3058904581472213E-2</v>
      </c>
      <c r="K43" s="52">
        <v>82.245631623966645</v>
      </c>
      <c r="L43" s="52">
        <v>-8.5346078347758869E-3</v>
      </c>
    </row>
    <row r="44" spans="1:12">
      <c r="A44" s="89"/>
      <c r="B44" s="90" t="s">
        <v>14</v>
      </c>
      <c r="C44" s="91">
        <v>85.602157517631824</v>
      </c>
      <c r="D44" s="52">
        <v>0.37107352433554119</v>
      </c>
      <c r="E44" s="52">
        <v>87.610366965364776</v>
      </c>
      <c r="F44" s="52">
        <v>0.4165220409579895</v>
      </c>
      <c r="G44" s="52">
        <v>84.803566564717585</v>
      </c>
      <c r="H44" s="52">
        <v>0.44769694360740075</v>
      </c>
      <c r="I44" s="52">
        <v>84.303601377258232</v>
      </c>
      <c r="J44" s="52">
        <v>0.18092530369606674</v>
      </c>
      <c r="K44" s="52">
        <v>82.386030448862456</v>
      </c>
      <c r="L44" s="52">
        <v>0.17070672584500457</v>
      </c>
    </row>
    <row r="45" spans="1:12" ht="9.75" customHeight="1">
      <c r="A45" s="89"/>
      <c r="B45" s="90"/>
      <c r="C45" s="91"/>
      <c r="D45" s="52"/>
      <c r="E45" s="52"/>
      <c r="F45" s="52"/>
      <c r="G45" s="52"/>
      <c r="H45" s="52"/>
      <c r="I45" s="52"/>
      <c r="J45" s="52"/>
      <c r="K45" s="52"/>
      <c r="L45" s="52"/>
    </row>
    <row r="46" spans="1:12">
      <c r="A46" s="89">
        <v>2014</v>
      </c>
      <c r="B46" s="90" t="s">
        <v>50</v>
      </c>
      <c r="C46" s="91">
        <v>85.800872869104268</v>
      </c>
      <c r="D46" s="52">
        <v>0.23213825122516685</v>
      </c>
      <c r="E46" s="52">
        <v>87.769355705969062</v>
      </c>
      <c r="F46" s="52">
        <v>0.18147251987556956</v>
      </c>
      <c r="G46" s="52">
        <v>85.057969995742283</v>
      </c>
      <c r="H46" s="52">
        <v>0.29999142881631524</v>
      </c>
      <c r="I46" s="52">
        <v>84.535603032235201</v>
      </c>
      <c r="J46" s="52">
        <v>0.2751977984176035</v>
      </c>
      <c r="K46" s="52">
        <v>82.540469156247852</v>
      </c>
      <c r="L46" s="52">
        <v>0.18745739604635325</v>
      </c>
    </row>
    <row r="47" spans="1:12">
      <c r="A47" s="89"/>
      <c r="B47" s="90" t="s">
        <v>4</v>
      </c>
      <c r="C47" s="91">
        <v>86.095265982396796</v>
      </c>
      <c r="D47" s="52">
        <v>0.3431120260765308</v>
      </c>
      <c r="E47" s="52">
        <v>88.117616756816517</v>
      </c>
      <c r="F47" s="52">
        <v>0.39679116708357665</v>
      </c>
      <c r="G47" s="52">
        <v>85.355985443514072</v>
      </c>
      <c r="H47" s="52">
        <v>0.35036745855410167</v>
      </c>
      <c r="I47" s="52">
        <v>84.651603859723693</v>
      </c>
      <c r="J47" s="52">
        <v>0.13722126929673895</v>
      </c>
      <c r="K47" s="52">
        <v>82.751067393591569</v>
      </c>
      <c r="L47" s="52">
        <v>0.25514543289675284</v>
      </c>
    </row>
    <row r="48" spans="1:12">
      <c r="A48" s="89"/>
      <c r="B48" s="90" t="s">
        <v>5</v>
      </c>
      <c r="C48" s="91">
        <v>86.544215480167878</v>
      </c>
      <c r="D48" s="52">
        <v>0.52145665925797946</v>
      </c>
      <c r="E48" s="52">
        <v>88.564299408990436</v>
      </c>
      <c r="F48" s="52">
        <v>0.50691640175273278</v>
      </c>
      <c r="G48" s="52">
        <v>85.806642949900663</v>
      </c>
      <c r="H48" s="52">
        <v>0.52797411223706181</v>
      </c>
      <c r="I48" s="52">
        <v>85.188107686857947</v>
      </c>
      <c r="J48" s="52">
        <v>0.63377869133265374</v>
      </c>
      <c r="K48" s="52">
        <v>83.186303750768587</v>
      </c>
      <c r="L48" s="52">
        <v>0.52595860196811284</v>
      </c>
    </row>
    <row r="49" spans="1:12">
      <c r="A49" s="89"/>
      <c r="B49" s="90" t="s">
        <v>6</v>
      </c>
      <c r="C49" s="91">
        <v>86.912206871783525</v>
      </c>
      <c r="D49" s="52">
        <v>0.42520622501913685</v>
      </c>
      <c r="E49" s="52">
        <v>88.889847782608697</v>
      </c>
      <c r="F49" s="52">
        <v>0.36758420242775092</v>
      </c>
      <c r="G49" s="52">
        <v>86.177345092250945</v>
      </c>
      <c r="H49" s="52">
        <v>0.43202033036850995</v>
      </c>
      <c r="I49" s="52">
        <v>85.644860945093868</v>
      </c>
      <c r="J49" s="52">
        <v>0.53617021276595178</v>
      </c>
      <c r="K49" s="52">
        <v>83.593460342966438</v>
      </c>
      <c r="L49" s="52">
        <v>0.48945147679324563</v>
      </c>
    </row>
    <row r="50" spans="1:12">
      <c r="A50" s="89"/>
      <c r="B50" s="90" t="s">
        <v>7</v>
      </c>
      <c r="C50" s="91">
        <v>86.926926527448146</v>
      </c>
      <c r="D50" s="52">
        <v>1.693623507492692E-2</v>
      </c>
      <c r="E50" s="52">
        <v>88.88227689019898</v>
      </c>
      <c r="F50" s="52">
        <v>-8.5171620815782667E-3</v>
      </c>
      <c r="G50" s="52">
        <v>86.162807753335244</v>
      </c>
      <c r="H50" s="52">
        <v>-1.6869095816474111E-2</v>
      </c>
      <c r="I50" s="52">
        <v>85.775361876018422</v>
      </c>
      <c r="J50" s="52">
        <v>0.15237450266656349</v>
      </c>
      <c r="K50" s="52">
        <v>83.656639814169566</v>
      </c>
      <c r="L50" s="52">
        <v>7.5579442391693341E-2</v>
      </c>
    </row>
    <row r="51" spans="1:12">
      <c r="A51" s="89"/>
      <c r="B51" s="90" t="s">
        <v>8</v>
      </c>
      <c r="C51" s="91">
        <v>86.941646183112766</v>
      </c>
      <c r="D51" s="52">
        <v>1.6933367200056004E-2</v>
      </c>
      <c r="E51" s="52">
        <v>88.867135105379518</v>
      </c>
      <c r="F51" s="52">
        <v>-1.703577512778276E-2</v>
      </c>
      <c r="G51" s="52">
        <v>86.199151100624491</v>
      </c>
      <c r="H51" s="52">
        <v>4.2179854901314151E-2</v>
      </c>
      <c r="I51" s="52">
        <v>85.811612134608566</v>
      </c>
      <c r="J51" s="52">
        <v>4.2261854450154068E-2</v>
      </c>
      <c r="K51" s="52">
        <v>83.68471957914872</v>
      </c>
      <c r="L51" s="52">
        <v>3.3565494671461416E-2</v>
      </c>
    </row>
    <row r="52" spans="1:12">
      <c r="A52" s="89"/>
      <c r="B52" s="90" t="s">
        <v>9</v>
      </c>
      <c r="C52" s="91">
        <v>87.258118779902233</v>
      </c>
      <c r="D52" s="52">
        <v>0.36400575637012267</v>
      </c>
      <c r="E52" s="52">
        <v>89.162399909358882</v>
      </c>
      <c r="F52" s="52">
        <v>0.33225421707274716</v>
      </c>
      <c r="G52" s="52">
        <v>86.497166548396265</v>
      </c>
      <c r="H52" s="52">
        <v>0.34572898220759374</v>
      </c>
      <c r="I52" s="52">
        <v>86.137864461919946</v>
      </c>
      <c r="J52" s="52">
        <v>0.38019601216627841</v>
      </c>
      <c r="K52" s="52">
        <v>84.084856230101792</v>
      </c>
      <c r="L52" s="52">
        <v>0.47814780639208188</v>
      </c>
    </row>
    <row r="53" spans="1:12">
      <c r="A53" s="89"/>
      <c r="B53" s="90" t="s">
        <v>10</v>
      </c>
      <c r="C53" s="91">
        <v>87.596670860188624</v>
      </c>
      <c r="D53" s="52">
        <v>0.38798920377867141</v>
      </c>
      <c r="E53" s="52">
        <v>89.42738114369935</v>
      </c>
      <c r="F53" s="52">
        <v>0.29718943703831435</v>
      </c>
      <c r="G53" s="52">
        <v>86.896943368577936</v>
      </c>
      <c r="H53" s="52">
        <v>0.46218487394957819</v>
      </c>
      <c r="I53" s="52">
        <v>86.536617306411614</v>
      </c>
      <c r="J53" s="52">
        <v>0.46292399629659364</v>
      </c>
      <c r="K53" s="52">
        <v>84.463933057320475</v>
      </c>
      <c r="L53" s="52">
        <v>0.45082651527799111</v>
      </c>
    </row>
    <row r="54" spans="1:12">
      <c r="A54" s="89"/>
      <c r="B54" s="90" t="s">
        <v>11</v>
      </c>
      <c r="C54" s="91">
        <v>87.765946900331826</v>
      </c>
      <c r="D54" s="52">
        <v>0.1932448328012093</v>
      </c>
      <c r="E54" s="52">
        <v>89.593940776713353</v>
      </c>
      <c r="F54" s="52">
        <v>0.18625126989502139</v>
      </c>
      <c r="G54" s="52">
        <v>87.064122766108454</v>
      </c>
      <c r="H54" s="52">
        <v>0.19238812212463152</v>
      </c>
      <c r="I54" s="52">
        <v>86.717868599362376</v>
      </c>
      <c r="J54" s="52">
        <v>0.20945040214477295</v>
      </c>
      <c r="K54" s="52">
        <v>84.6675113534194</v>
      </c>
      <c r="L54" s="52">
        <v>0.24102393617020379</v>
      </c>
    </row>
    <row r="55" spans="1:12">
      <c r="A55" s="89"/>
      <c r="B55" s="90" t="s">
        <v>12</v>
      </c>
      <c r="C55" s="91">
        <v>87.692348622008694</v>
      </c>
      <c r="D55" s="52">
        <v>-8.3857442348012068E-2</v>
      </c>
      <c r="E55" s="52">
        <v>89.465235605747978</v>
      </c>
      <c r="F55" s="52">
        <v>-0.143653878654737</v>
      </c>
      <c r="G55" s="52">
        <v>86.969630063156416</v>
      </c>
      <c r="H55" s="52">
        <v>-0.10853230923359991</v>
      </c>
      <c r="I55" s="52">
        <v>86.667118237336169</v>
      </c>
      <c r="J55" s="52">
        <v>-5.8523534821497414E-2</v>
      </c>
      <c r="K55" s="52">
        <v>84.772810472091265</v>
      </c>
      <c r="L55" s="52">
        <v>0.12436779703175471</v>
      </c>
    </row>
    <row r="56" spans="1:12">
      <c r="A56" s="89"/>
      <c r="B56" s="90" t="s">
        <v>13</v>
      </c>
      <c r="C56" s="91">
        <v>87.567231548859382</v>
      </c>
      <c r="D56" s="52">
        <v>-0.14267729752411862</v>
      </c>
      <c r="E56" s="52">
        <v>89.359243112011796</v>
      </c>
      <c r="F56" s="52">
        <v>-0.1184733858001219</v>
      </c>
      <c r="G56" s="52">
        <v>86.802450665625912</v>
      </c>
      <c r="H56" s="52">
        <v>-0.19222732971164724</v>
      </c>
      <c r="I56" s="52">
        <v>86.50036704782147</v>
      </c>
      <c r="J56" s="52">
        <v>-0.19240421616195658</v>
      </c>
      <c r="K56" s="52">
        <v>84.730690824622528</v>
      </c>
      <c r="L56" s="52">
        <v>-4.968532626696831E-2</v>
      </c>
    </row>
    <row r="57" spans="1:12">
      <c r="A57" s="89"/>
      <c r="B57" s="90" t="s">
        <v>14</v>
      </c>
      <c r="C57" s="91">
        <v>86.956365838777401</v>
      </c>
      <c r="D57" s="52">
        <v>-0.69759623466129073</v>
      </c>
      <c r="E57" s="52">
        <v>88.662721010316886</v>
      </c>
      <c r="F57" s="52">
        <v>-0.77946284842835833</v>
      </c>
      <c r="G57" s="52">
        <v>86.199151100624491</v>
      </c>
      <c r="H57" s="52">
        <v>-0.6950259588008767</v>
      </c>
      <c r="I57" s="52">
        <v>85.927612962097058</v>
      </c>
      <c r="J57" s="52">
        <v>-0.66214064202498868</v>
      </c>
      <c r="K57" s="52">
        <v>84.344594056159039</v>
      </c>
      <c r="L57" s="52">
        <v>-0.45567522783761527</v>
      </c>
    </row>
    <row r="58" spans="1:12" ht="5.25" customHeight="1">
      <c r="A58" s="92"/>
      <c r="B58" s="93"/>
      <c r="C58" s="94"/>
      <c r="D58" s="58"/>
      <c r="E58" s="58"/>
      <c r="F58" s="58"/>
      <c r="G58" s="58"/>
      <c r="H58" s="58"/>
      <c r="I58" s="58"/>
      <c r="J58" s="58"/>
      <c r="K58" s="58"/>
      <c r="L58" s="58"/>
    </row>
    <row r="59" spans="1:12">
      <c r="A59" s="89">
        <v>2015</v>
      </c>
      <c r="B59" s="90" t="s">
        <v>50</v>
      </c>
      <c r="C59" s="91">
        <v>86.794449626466516</v>
      </c>
      <c r="D59" s="52">
        <v>-0.18620397799407051</v>
      </c>
      <c r="E59" s="52">
        <v>88.352314421518059</v>
      </c>
      <c r="F59" s="52">
        <v>-0.35009819827512834</v>
      </c>
      <c r="G59" s="52">
        <v>86.024703033636115</v>
      </c>
      <c r="H59" s="52">
        <v>-0.20237794080446569</v>
      </c>
      <c r="I59" s="52">
        <v>85.840612341480693</v>
      </c>
      <c r="J59" s="52">
        <v>-0.10124873439082416</v>
      </c>
      <c r="K59" s="52">
        <v>84.625391705950662</v>
      </c>
      <c r="L59" s="52">
        <v>0.33291718684977933</v>
      </c>
    </row>
    <row r="60" spans="1:12">
      <c r="A60" s="89"/>
      <c r="B60" s="90" t="s">
        <v>4</v>
      </c>
      <c r="C60" s="91">
        <v>86.971085494442036</v>
      </c>
      <c r="D60" s="52">
        <v>0.20351055711016475</v>
      </c>
      <c r="E60" s="52">
        <v>88.541586731761242</v>
      </c>
      <c r="F60" s="52">
        <v>0.21422450728363351</v>
      </c>
      <c r="G60" s="52">
        <v>86.162807753335244</v>
      </c>
      <c r="H60" s="52">
        <v>0.1605407689057925</v>
      </c>
      <c r="I60" s="52">
        <v>85.985613375841297</v>
      </c>
      <c r="J60" s="52">
        <v>0.16891891891890332</v>
      </c>
      <c r="K60" s="52">
        <v>84.899169414497493</v>
      </c>
      <c r="L60" s="52">
        <v>0.32351721277477097</v>
      </c>
    </row>
    <row r="61" spans="1:12">
      <c r="A61" s="89"/>
      <c r="B61" s="90" t="s">
        <v>5</v>
      </c>
      <c r="C61" s="91">
        <v>87.096202567591348</v>
      </c>
      <c r="D61" s="52">
        <v>0.14386053990014247</v>
      </c>
      <c r="E61" s="52">
        <v>88.761142611643336</v>
      </c>
      <c r="F61" s="52">
        <v>0.2479692176143633</v>
      </c>
      <c r="G61" s="52">
        <v>86.27183779520297</v>
      </c>
      <c r="H61" s="52">
        <v>0.12653956470389804</v>
      </c>
      <c r="I61" s="52">
        <v>86.058113893021599</v>
      </c>
      <c r="J61" s="52">
        <v>8.4317032040459594E-2</v>
      </c>
      <c r="K61" s="52">
        <v>84.835989943294379</v>
      </c>
      <c r="L61" s="52">
        <v>-7.4417066313869906E-2</v>
      </c>
    </row>
    <row r="62" spans="1:12">
      <c r="A62" s="89"/>
      <c r="B62" s="90" t="s">
        <v>6</v>
      </c>
      <c r="C62" s="91">
        <v>86.875407732621966</v>
      </c>
      <c r="D62" s="52">
        <v>-0.25350684468480322</v>
      </c>
      <c r="E62" s="52">
        <v>88.624866548268244</v>
      </c>
      <c r="F62" s="52">
        <v>-0.15353121801432446</v>
      </c>
      <c r="G62" s="52">
        <v>85.973822347431181</v>
      </c>
      <c r="H62" s="52">
        <v>-0.3454376948352933</v>
      </c>
      <c r="I62" s="52">
        <v>85.811612134608566</v>
      </c>
      <c r="J62" s="52">
        <v>-0.28643639427127221</v>
      </c>
      <c r="K62" s="52">
        <v>84.590291999726702</v>
      </c>
      <c r="L62" s="52">
        <v>-0.2896152254861506</v>
      </c>
    </row>
    <row r="63" spans="1:12">
      <c r="A63" s="89"/>
      <c r="B63" s="90" t="s">
        <v>7</v>
      </c>
      <c r="C63" s="91">
        <v>87.12564187892059</v>
      </c>
      <c r="D63" s="52">
        <v>0.28803795323617543</v>
      </c>
      <c r="E63" s="52">
        <v>88.874705997789249</v>
      </c>
      <c r="F63" s="52">
        <v>0.28190671450538662</v>
      </c>
      <c r="G63" s="52">
        <v>86.184613761708789</v>
      </c>
      <c r="H63" s="52">
        <v>0.2451809266148075</v>
      </c>
      <c r="I63" s="52">
        <v>86.137864461919946</v>
      </c>
      <c r="J63" s="52">
        <v>0.38019601216627841</v>
      </c>
      <c r="K63" s="52">
        <v>84.850029825783963</v>
      </c>
      <c r="L63" s="52">
        <v>0.30705394190873037</v>
      </c>
    </row>
    <row r="64" spans="1:12">
      <c r="A64" s="89"/>
      <c r="B64" s="90" t="s">
        <v>8</v>
      </c>
      <c r="C64" s="91">
        <v>87.478913614871615</v>
      </c>
      <c r="D64" s="52">
        <v>0.40547389761784736</v>
      </c>
      <c r="E64" s="52">
        <v>89.07912009285188</v>
      </c>
      <c r="F64" s="52">
        <v>0.23000255558394134</v>
      </c>
      <c r="G64" s="52">
        <v>86.70068929321603</v>
      </c>
      <c r="H64" s="52">
        <v>0.59880239520957446</v>
      </c>
      <c r="I64" s="52">
        <v>86.485866944385407</v>
      </c>
      <c r="J64" s="52">
        <v>0.40400639676794192</v>
      </c>
      <c r="K64" s="52">
        <v>85.264206359226606</v>
      </c>
      <c r="L64" s="52">
        <v>0.4881277405476947</v>
      </c>
    </row>
    <row r="65" spans="1:12">
      <c r="A65" s="89"/>
      <c r="B65" s="90" t="s">
        <v>9</v>
      </c>
      <c r="C65" s="91">
        <v>87.692348622008694</v>
      </c>
      <c r="D65" s="52">
        <v>0.24398451960290224</v>
      </c>
      <c r="E65" s="52">
        <v>89.245679725865884</v>
      </c>
      <c r="F65" s="52">
        <v>0.18697943226244629</v>
      </c>
      <c r="G65" s="52">
        <v>86.90421203803578</v>
      </c>
      <c r="H65" s="52">
        <v>0.23474178403755097</v>
      </c>
      <c r="I65" s="52">
        <v>86.75411885795252</v>
      </c>
      <c r="J65" s="52">
        <v>0.31016849694021076</v>
      </c>
      <c r="K65" s="52">
        <v>85.573083773997396</v>
      </c>
      <c r="L65" s="52">
        <v>0.36225917997694257</v>
      </c>
    </row>
    <row r="66" spans="1:12">
      <c r="A66" s="89"/>
      <c r="B66" s="90" t="s">
        <v>10</v>
      </c>
      <c r="C66" s="91">
        <v>87.972022079636588</v>
      </c>
      <c r="D66" s="52">
        <v>0.31892572387746121</v>
      </c>
      <c r="E66" s="52">
        <v>89.42738114369935</v>
      </c>
      <c r="F66" s="52">
        <v>0.20359687818121142</v>
      </c>
      <c r="G66" s="52">
        <v>87.216764824723256</v>
      </c>
      <c r="H66" s="52">
        <v>0.35965205754431295</v>
      </c>
      <c r="I66" s="52">
        <v>87.116621443854044</v>
      </c>
      <c r="J66" s="52">
        <v>0.41785057663379366</v>
      </c>
      <c r="K66" s="52">
        <v>86.029379954908777</v>
      </c>
      <c r="L66" s="52">
        <v>0.533223954060702</v>
      </c>
    </row>
    <row r="67" spans="1:12">
      <c r="A67" s="89"/>
      <c r="B67" s="90" t="s">
        <v>11</v>
      </c>
      <c r="C67" s="91">
        <v>88.111858808450535</v>
      </c>
      <c r="D67" s="52">
        <v>0.15895591065004933</v>
      </c>
      <c r="E67" s="52">
        <v>89.419810251289618</v>
      </c>
      <c r="F67" s="52">
        <v>-8.4659668134090538E-3</v>
      </c>
      <c r="G67" s="52">
        <v>87.37667555279593</v>
      </c>
      <c r="H67" s="52">
        <v>0.18334861238438194</v>
      </c>
      <c r="I67" s="52">
        <v>87.377623305703139</v>
      </c>
      <c r="J67" s="52">
        <v>0.29960053262316766</v>
      </c>
      <c r="K67" s="52">
        <v>86.499716018309755</v>
      </c>
      <c r="L67" s="52">
        <v>0.54671562627499615</v>
      </c>
    </row>
    <row r="68" spans="1:12">
      <c r="A68" s="89"/>
      <c r="B68" s="90" t="s">
        <v>12</v>
      </c>
      <c r="C68" s="91">
        <v>88.766883485526378</v>
      </c>
      <c r="D68" s="52">
        <v>0.74340126962912922</v>
      </c>
      <c r="E68" s="52">
        <v>89.934630935151077</v>
      </c>
      <c r="F68" s="52">
        <v>0.57573448480230383</v>
      </c>
      <c r="G68" s="52">
        <v>88.176229193159259</v>
      </c>
      <c r="H68" s="52">
        <v>0.91506530238749662</v>
      </c>
      <c r="I68" s="52">
        <v>88.030127960325885</v>
      </c>
      <c r="J68" s="52">
        <v>0.74676402256887986</v>
      </c>
      <c r="K68" s="52">
        <v>87.201710142788812</v>
      </c>
      <c r="L68" s="52">
        <v>0.81155656549261046</v>
      </c>
    </row>
    <row r="69" spans="1:12">
      <c r="A69" s="89"/>
      <c r="B69" s="90" t="s">
        <v>13</v>
      </c>
      <c r="C69" s="91">
        <v>88.914080042172642</v>
      </c>
      <c r="D69" s="52">
        <v>0.16582372937568035</v>
      </c>
      <c r="E69" s="52">
        <v>90.063336106116438</v>
      </c>
      <c r="F69" s="52">
        <v>0.143109689367793</v>
      </c>
      <c r="G69" s="52">
        <v>88.336139921231918</v>
      </c>
      <c r="H69" s="52">
        <v>0.18135355700270583</v>
      </c>
      <c r="I69" s="52">
        <v>88.102628477506187</v>
      </c>
      <c r="J69" s="52">
        <v>8.2358754735634143E-2</v>
      </c>
      <c r="K69" s="52">
        <v>87.419328321377321</v>
      </c>
      <c r="L69" s="52">
        <v>0.24955723715986977</v>
      </c>
    </row>
    <row r="70" spans="1:12">
      <c r="A70" s="89"/>
      <c r="B70" s="90" t="s">
        <v>14</v>
      </c>
      <c r="C70" s="91">
        <v>88.995038148328092</v>
      </c>
      <c r="D70" s="52">
        <v>9.105206522639353E-2</v>
      </c>
      <c r="E70" s="52">
        <v>90.184470384672082</v>
      </c>
      <c r="F70" s="52">
        <v>0.13449899125757003</v>
      </c>
      <c r="G70" s="52">
        <v>88.365214599063307</v>
      </c>
      <c r="H70" s="52">
        <v>3.2913683864066456E-2</v>
      </c>
      <c r="I70" s="52">
        <v>88.095378425788169</v>
      </c>
      <c r="J70" s="52">
        <v>-8.2290980908394928E-3</v>
      </c>
      <c r="K70" s="52">
        <v>87.587806911252287</v>
      </c>
      <c r="L70" s="52">
        <v>0.19272464466393302</v>
      </c>
    </row>
    <row r="71" spans="1:12">
      <c r="A71" s="89"/>
      <c r="B71" s="90"/>
      <c r="C71" s="91"/>
      <c r="D71" s="52"/>
      <c r="E71" s="52"/>
      <c r="F71" s="52"/>
      <c r="G71" s="52"/>
      <c r="H71" s="52"/>
      <c r="I71" s="52"/>
      <c r="J71" s="52"/>
      <c r="K71" s="52"/>
      <c r="L71" s="52"/>
    </row>
    <row r="72" spans="1:12">
      <c r="A72" s="89">
        <v>2016</v>
      </c>
      <c r="B72" s="90" t="s">
        <v>50</v>
      </c>
      <c r="C72" s="91">
        <v>88.987678320495775</v>
      </c>
      <c r="D72" s="52">
        <v>-8.2699305325895089E-3</v>
      </c>
      <c r="E72" s="52">
        <v>90.055765213706721</v>
      </c>
      <c r="F72" s="52">
        <v>-0.14271323035593975</v>
      </c>
      <c r="G72" s="52">
        <v>88.416095285268256</v>
      </c>
      <c r="H72" s="52">
        <v>5.7579995064571676E-2</v>
      </c>
      <c r="I72" s="52">
        <v>88.204129201558615</v>
      </c>
      <c r="J72" s="52">
        <v>0.12344662990699806</v>
      </c>
      <c r="K72" s="52">
        <v>87.714165853658528</v>
      </c>
      <c r="L72" s="52">
        <v>0.14426544842511824</v>
      </c>
    </row>
    <row r="73" spans="1:12">
      <c r="A73" s="89"/>
      <c r="B73" s="90" t="s">
        <v>4</v>
      </c>
      <c r="C73" s="91">
        <v>88.487210027898499</v>
      </c>
      <c r="D73" s="52">
        <v>-0.56240178645272643</v>
      </c>
      <c r="E73" s="52">
        <v>89.737787732498163</v>
      </c>
      <c r="F73" s="52">
        <v>-0.35308953341741667</v>
      </c>
      <c r="G73" s="52">
        <v>87.798258381351147</v>
      </c>
      <c r="H73" s="52">
        <v>-0.69878329496875224</v>
      </c>
      <c r="I73" s="52">
        <v>87.674875426142407</v>
      </c>
      <c r="J73" s="52">
        <v>-0.60003287851387865</v>
      </c>
      <c r="K73" s="52">
        <v>86.970052081710719</v>
      </c>
      <c r="L73" s="52">
        <v>-0.84833933573430498</v>
      </c>
    </row>
    <row r="74" spans="1:12">
      <c r="A74" s="89"/>
      <c r="B74" s="90" t="s">
        <v>5</v>
      </c>
      <c r="C74" s="91">
        <v>88.479850200066181</v>
      </c>
      <c r="D74" s="52">
        <v>-8.3173916659795566E-3</v>
      </c>
      <c r="E74" s="52">
        <v>89.821067549005164</v>
      </c>
      <c r="F74" s="52">
        <v>9.2803509660011052E-2</v>
      </c>
      <c r="G74" s="52">
        <v>87.725571686772653</v>
      </c>
      <c r="H74" s="52">
        <v>-8.2788310290593525E-2</v>
      </c>
      <c r="I74" s="52">
        <v>87.602374908962091</v>
      </c>
      <c r="J74" s="52">
        <v>-8.2692466716294266E-2</v>
      </c>
      <c r="K74" s="52">
        <v>86.892832728018021</v>
      </c>
      <c r="L74" s="52">
        <v>-8.8788441359266557E-2</v>
      </c>
    </row>
    <row r="75" spans="1:12">
      <c r="A75" s="89"/>
      <c r="B75" s="90" t="s">
        <v>6</v>
      </c>
      <c r="C75" s="91">
        <v>88.398892093910732</v>
      </c>
      <c r="D75" s="52">
        <v>-9.149891864914661E-2</v>
      </c>
      <c r="E75" s="52">
        <v>89.730216840088431</v>
      </c>
      <c r="F75" s="52">
        <v>-0.10114632501686538</v>
      </c>
      <c r="G75" s="52">
        <v>87.638347653278473</v>
      </c>
      <c r="H75" s="52">
        <v>-9.9428287347747002E-2</v>
      </c>
      <c r="I75" s="52">
        <v>87.580624753807996</v>
      </c>
      <c r="J75" s="52">
        <v>-2.4828271124721635E-2</v>
      </c>
      <c r="K75" s="52">
        <v>86.82263331557013</v>
      </c>
      <c r="L75" s="52">
        <v>-8.0788495718198128E-2</v>
      </c>
    </row>
    <row r="76" spans="1:12">
      <c r="A76" s="89"/>
      <c r="B76" s="90" t="s">
        <v>7</v>
      </c>
      <c r="C76" s="91">
        <v>88.619686928880128</v>
      </c>
      <c r="D76" s="52">
        <v>0.24977104321040056</v>
      </c>
      <c r="E76" s="52">
        <v>90.025481644067796</v>
      </c>
      <c r="F76" s="52">
        <v>0.32905838677015353</v>
      </c>
      <c r="G76" s="52">
        <v>87.812795720266834</v>
      </c>
      <c r="H76" s="52">
        <v>0.19905449116695006</v>
      </c>
      <c r="I76" s="52">
        <v>87.841626615657091</v>
      </c>
      <c r="J76" s="52">
        <v>0.29801324503311299</v>
      </c>
      <c r="K76" s="52">
        <v>86.892832728018021</v>
      </c>
      <c r="L76" s="52">
        <v>8.0853816300119341E-2</v>
      </c>
    </row>
    <row r="77" spans="1:12">
      <c r="A77" s="89"/>
      <c r="B77" s="90" t="s">
        <v>8</v>
      </c>
      <c r="C77" s="91">
        <v>89.14959453280666</v>
      </c>
      <c r="D77" s="52">
        <v>0.59795698031726019</v>
      </c>
      <c r="E77" s="52">
        <v>90.517589650700089</v>
      </c>
      <c r="F77" s="52">
        <v>0.54663190648391868</v>
      </c>
      <c r="G77" s="52">
        <v>88.365214599063307</v>
      </c>
      <c r="H77" s="52">
        <v>0.62908699610959573</v>
      </c>
      <c r="I77" s="52">
        <v>88.407130649663472</v>
      </c>
      <c r="J77" s="52">
        <v>0.64377682403433667</v>
      </c>
      <c r="K77" s="52">
        <v>87.419328321377321</v>
      </c>
      <c r="L77" s="52">
        <v>0.60591371788658588</v>
      </c>
    </row>
    <row r="78" spans="1:12">
      <c r="A78" s="89"/>
      <c r="B78" s="90" t="s">
        <v>9</v>
      </c>
      <c r="C78" s="91">
        <v>89.318870572949862</v>
      </c>
      <c r="D78" s="52">
        <v>0.18987864278048328</v>
      </c>
      <c r="E78" s="52">
        <v>90.585727682387628</v>
      </c>
      <c r="F78" s="52">
        <v>7.527601204415646E-2</v>
      </c>
      <c r="G78" s="52">
        <v>88.612349360630162</v>
      </c>
      <c r="H78" s="52">
        <v>0.27967426174222432</v>
      </c>
      <c r="I78" s="52">
        <v>88.588381942614234</v>
      </c>
      <c r="J78" s="52">
        <v>0.20501886173527328</v>
      </c>
      <c r="K78" s="52">
        <v>87.714165853658528</v>
      </c>
      <c r="L78" s="52">
        <v>0.33726812816188279</v>
      </c>
    </row>
    <row r="79" spans="1:12">
      <c r="A79" s="89"/>
      <c r="B79" s="90" t="s">
        <v>10</v>
      </c>
      <c r="C79" s="91">
        <v>89.267351778123668</v>
      </c>
      <c r="D79" s="52">
        <v>-5.7679630850371311E-2</v>
      </c>
      <c r="E79" s="52">
        <v>90.578156789977896</v>
      </c>
      <c r="F79" s="52">
        <v>-8.357709987472095E-3</v>
      </c>
      <c r="G79" s="52">
        <v>88.539662666051683</v>
      </c>
      <c r="H79" s="52">
        <v>-8.2027725371169868E-2</v>
      </c>
      <c r="I79" s="52">
        <v>88.573881839178171</v>
      </c>
      <c r="J79" s="52">
        <v>-1.6367951550866344E-2</v>
      </c>
      <c r="K79" s="52">
        <v>87.559727146273133</v>
      </c>
      <c r="L79" s="52">
        <v>-0.17607042817127105</v>
      </c>
    </row>
    <row r="80" spans="1:12">
      <c r="A80" s="89"/>
      <c r="B80" s="90" t="s">
        <v>11</v>
      </c>
      <c r="C80" s="91">
        <v>89.304150917285227</v>
      </c>
      <c r="D80" s="52">
        <v>4.1223513892307828E-2</v>
      </c>
      <c r="E80" s="52">
        <v>90.684149283714078</v>
      </c>
      <c r="F80" s="52">
        <v>0.11701771982615128</v>
      </c>
      <c r="G80" s="52">
        <v>88.51058798822028</v>
      </c>
      <c r="H80" s="52">
        <v>-3.2838026434622858E-2</v>
      </c>
      <c r="I80" s="52">
        <v>88.566631787460139</v>
      </c>
      <c r="J80" s="52">
        <v>-8.1853155439182146E-3</v>
      </c>
      <c r="K80" s="52">
        <v>87.594826852497079</v>
      </c>
      <c r="L80" s="52">
        <v>4.0086587027965415E-2</v>
      </c>
    </row>
    <row r="81" spans="1:12">
      <c r="A81" s="89"/>
      <c r="B81" s="90" t="s">
        <v>12</v>
      </c>
      <c r="C81" s="91">
        <v>89.576464547080803</v>
      </c>
      <c r="D81" s="52">
        <v>0.30492830064281495</v>
      </c>
      <c r="E81" s="52">
        <v>90.994555872512905</v>
      </c>
      <c r="F81" s="52">
        <v>0.34229420604441341</v>
      </c>
      <c r="G81" s="52">
        <v>88.692304724666485</v>
      </c>
      <c r="H81" s="52">
        <v>0.20530508335385722</v>
      </c>
      <c r="I81" s="52">
        <v>88.813133545873185</v>
      </c>
      <c r="J81" s="52">
        <v>0.27832351015062429</v>
      </c>
      <c r="K81" s="52">
        <v>87.987943562205359</v>
      </c>
      <c r="L81" s="52">
        <v>0.44878987017151761</v>
      </c>
    </row>
    <row r="82" spans="1:12">
      <c r="A82" s="89"/>
      <c r="B82" s="90" t="s">
        <v>13</v>
      </c>
      <c r="C82" s="91">
        <v>89.694221792397826</v>
      </c>
      <c r="D82" s="52">
        <v>0.13146002793527067</v>
      </c>
      <c r="E82" s="52">
        <v>91.161115505526908</v>
      </c>
      <c r="F82" s="52">
        <v>0.18304351443547695</v>
      </c>
      <c r="G82" s="52">
        <v>88.786797427618524</v>
      </c>
      <c r="H82" s="52">
        <v>0.10653991148992237</v>
      </c>
      <c r="I82" s="52">
        <v>88.892884114771519</v>
      </c>
      <c r="J82" s="52">
        <v>8.9795918367352456E-2</v>
      </c>
      <c r="K82" s="52">
        <v>88.065162915898057</v>
      </c>
      <c r="L82" s="52">
        <v>8.7761289293131206E-2</v>
      </c>
    </row>
    <row r="83" spans="1:12">
      <c r="A83" s="89"/>
      <c r="B83" s="90" t="s">
        <v>14</v>
      </c>
      <c r="C83" s="91">
        <v>90.503802853952237</v>
      </c>
      <c r="D83" s="52">
        <v>0.90260113235414163</v>
      </c>
      <c r="E83" s="52">
        <v>91.887921176860729</v>
      </c>
      <c r="F83" s="52">
        <v>0.79727597375633952</v>
      </c>
      <c r="G83" s="52">
        <v>89.702649779307421</v>
      </c>
      <c r="H83" s="52">
        <v>1.0315186246418362</v>
      </c>
      <c r="I83" s="52">
        <v>89.625139338292598</v>
      </c>
      <c r="J83" s="52">
        <v>0.82375010194928322</v>
      </c>
      <c r="K83" s="52">
        <v>88.914575806517718</v>
      </c>
      <c r="L83" s="52">
        <v>0.96452770027899426</v>
      </c>
    </row>
    <row r="84" spans="1:12">
      <c r="A84" s="89"/>
      <c r="B84" s="90"/>
      <c r="C84" s="91"/>
      <c r="D84" s="52"/>
      <c r="E84" s="52"/>
      <c r="F84" s="52"/>
      <c r="G84" s="52"/>
      <c r="H84" s="52"/>
      <c r="I84" s="52"/>
      <c r="J84" s="52"/>
      <c r="K84" s="52"/>
      <c r="L84" s="52"/>
    </row>
    <row r="85" spans="1:12">
      <c r="A85" s="89">
        <v>2017</v>
      </c>
      <c r="B85" s="90" t="s">
        <v>50</v>
      </c>
      <c r="C85" s="91">
        <v>91.063149769208025</v>
      </c>
      <c r="D85" s="52">
        <v>0.61803691957389439</v>
      </c>
      <c r="E85" s="52">
        <v>92.319462044215186</v>
      </c>
      <c r="F85" s="52">
        <v>0.4696382961193013</v>
      </c>
      <c r="G85" s="52">
        <v>90.34229269159809</v>
      </c>
      <c r="H85" s="52">
        <v>0.71307025362612464</v>
      </c>
      <c r="I85" s="52">
        <v>90.27764399291533</v>
      </c>
      <c r="J85" s="52">
        <v>0.72803753437953311</v>
      </c>
      <c r="K85" s="52">
        <v>89.595510107262399</v>
      </c>
      <c r="L85" s="52">
        <v>0.76582978051475958</v>
      </c>
    </row>
    <row r="86" spans="1:12">
      <c r="A86" s="89"/>
      <c r="B86" s="90" t="s">
        <v>4</v>
      </c>
      <c r="C86" s="91">
        <v>91.445860816488292</v>
      </c>
      <c r="D86" s="52">
        <v>0.42026994261699091</v>
      </c>
      <c r="E86" s="52">
        <v>92.720719341930732</v>
      </c>
      <c r="F86" s="52">
        <v>0.43463998687878203</v>
      </c>
      <c r="G86" s="52">
        <v>90.698457495032656</v>
      </c>
      <c r="H86" s="52">
        <v>0.39423927910531287</v>
      </c>
      <c r="I86" s="52">
        <v>90.611146371944741</v>
      </c>
      <c r="J86" s="52">
        <v>0.36941856729844069</v>
      </c>
      <c r="K86" s="52">
        <v>90.009686640705056</v>
      </c>
      <c r="L86" s="52">
        <v>0.46227376008776133</v>
      </c>
    </row>
    <row r="87" spans="1:12">
      <c r="A87" s="89"/>
      <c r="B87" s="90" t="s">
        <v>5</v>
      </c>
      <c r="C87" s="91">
        <v>91.261865120680469</v>
      </c>
      <c r="D87" s="52">
        <v>-0.20120724346076591</v>
      </c>
      <c r="E87" s="52">
        <v>92.546588816507011</v>
      </c>
      <c r="F87" s="52">
        <v>-0.18780109414550106</v>
      </c>
      <c r="G87" s="52">
        <v>90.574890114249243</v>
      </c>
      <c r="H87" s="52">
        <v>-0.13623978201633413</v>
      </c>
      <c r="I87" s="52">
        <v>90.357394561813663</v>
      </c>
      <c r="J87" s="52">
        <v>-0.28004480716915525</v>
      </c>
      <c r="K87" s="52">
        <v>89.658689578465513</v>
      </c>
      <c r="L87" s="52">
        <v>-0.38995476524724682</v>
      </c>
    </row>
    <row r="88" spans="1:12">
      <c r="A88" s="89"/>
      <c r="B88" s="90" t="s">
        <v>6</v>
      </c>
      <c r="C88" s="91">
        <v>91.504739439146803</v>
      </c>
      <c r="D88" s="52">
        <v>0.26612903225806672</v>
      </c>
      <c r="E88" s="52">
        <v>92.751002911569657</v>
      </c>
      <c r="F88" s="52">
        <v>0.22087696335080231</v>
      </c>
      <c r="G88" s="52">
        <v>90.822024875816084</v>
      </c>
      <c r="H88" s="52">
        <v>0.27285129604364133</v>
      </c>
      <c r="I88" s="52">
        <v>90.640146578816854</v>
      </c>
      <c r="J88" s="52">
        <v>0.31292626173473614</v>
      </c>
      <c r="K88" s="52">
        <v>90.02372652319464</v>
      </c>
      <c r="L88" s="52">
        <v>0.40714062010649421</v>
      </c>
    </row>
    <row r="89" spans="1:12">
      <c r="A89" s="89"/>
      <c r="B89" s="90" t="s">
        <v>7</v>
      </c>
      <c r="C89" s="91">
        <v>91.372262538165174</v>
      </c>
      <c r="D89" s="52">
        <v>-0.14477599935655006</v>
      </c>
      <c r="E89" s="52">
        <v>92.63743952542373</v>
      </c>
      <c r="F89" s="52">
        <v>-0.12243898457270364</v>
      </c>
      <c r="G89" s="52">
        <v>90.727532172864045</v>
      </c>
      <c r="H89" s="52">
        <v>-0.10404161664666622</v>
      </c>
      <c r="I89" s="52">
        <v>90.451645234148074</v>
      </c>
      <c r="J89" s="52">
        <v>-0.20796672532393812</v>
      </c>
      <c r="K89" s="52">
        <v>89.77100863838217</v>
      </c>
      <c r="L89" s="52">
        <v>-0.28072364316906739</v>
      </c>
    </row>
    <row r="90" spans="1:12">
      <c r="A90" s="89"/>
      <c r="B90" s="90" t="s">
        <v>8</v>
      </c>
      <c r="C90" s="91">
        <v>91.423781332991354</v>
      </c>
      <c r="D90" s="52">
        <v>5.6383407168736355E-2</v>
      </c>
      <c r="E90" s="52">
        <v>92.675293987472372</v>
      </c>
      <c r="F90" s="52">
        <v>4.0863027133064556E-2</v>
      </c>
      <c r="G90" s="52">
        <v>90.727532172864045</v>
      </c>
      <c r="H90" s="52">
        <v>0</v>
      </c>
      <c r="I90" s="52">
        <v>90.495145544456236</v>
      </c>
      <c r="J90" s="52">
        <v>4.8092337287575226E-2</v>
      </c>
      <c r="K90" s="52">
        <v>89.974586934481081</v>
      </c>
      <c r="L90" s="52">
        <v>0.22677510165778347</v>
      </c>
    </row>
    <row r="91" spans="1:12">
      <c r="A91" s="89"/>
      <c r="B91" s="90" t="s">
        <v>9</v>
      </c>
      <c r="C91" s="91">
        <v>91.585697545302239</v>
      </c>
      <c r="D91" s="52">
        <v>0.17710513604893841</v>
      </c>
      <c r="E91" s="52">
        <v>92.758573803979374</v>
      </c>
      <c r="F91" s="52">
        <v>8.9861939384028311E-2</v>
      </c>
      <c r="G91" s="52">
        <v>90.967398264973056</v>
      </c>
      <c r="H91" s="52">
        <v>0.26438070821985793</v>
      </c>
      <c r="I91" s="52">
        <v>90.66914678568898</v>
      </c>
      <c r="J91" s="52">
        <v>0.19227687870535526</v>
      </c>
      <c r="K91" s="52">
        <v>90.185185171824813</v>
      </c>
      <c r="L91" s="52">
        <v>0.23406413357260902</v>
      </c>
    </row>
    <row r="92" spans="1:12">
      <c r="A92" s="89"/>
      <c r="B92" s="90" t="s">
        <v>10</v>
      </c>
      <c r="C92" s="91">
        <v>92.108245321396467</v>
      </c>
      <c r="D92" s="52">
        <v>0.57055609128897622</v>
      </c>
      <c r="E92" s="52">
        <v>93.212827348563025</v>
      </c>
      <c r="F92" s="52">
        <v>0.48971596474045587</v>
      </c>
      <c r="G92" s="52">
        <v>91.599772507805866</v>
      </c>
      <c r="H92" s="52">
        <v>0.69516580103874404</v>
      </c>
      <c r="I92" s="52">
        <v>91.241900871413378</v>
      </c>
      <c r="J92" s="52">
        <v>0.63169678554293451</v>
      </c>
      <c r="K92" s="52">
        <v>90.613401587757053</v>
      </c>
      <c r="L92" s="52">
        <v>0.47481902389665542</v>
      </c>
    </row>
    <row r="93" spans="1:12">
      <c r="A93" s="89"/>
      <c r="B93" s="90" t="s">
        <v>11</v>
      </c>
      <c r="C93" s="91">
        <v>92.697031547981496</v>
      </c>
      <c r="D93" s="52">
        <v>0.63923292049539171</v>
      </c>
      <c r="E93" s="52">
        <v>93.773073386882842</v>
      </c>
      <c r="F93" s="52">
        <v>0.6010396361273429</v>
      </c>
      <c r="G93" s="52">
        <v>92.15219138660234</v>
      </c>
      <c r="H93" s="52">
        <v>0.60307887636881219</v>
      </c>
      <c r="I93" s="52">
        <v>91.908905629472187</v>
      </c>
      <c r="J93" s="52">
        <v>0.73102900278110283</v>
      </c>
      <c r="K93" s="52">
        <v>91.301355829746527</v>
      </c>
      <c r="L93" s="52">
        <v>0.75921908893707979</v>
      </c>
    </row>
    <row r="94" spans="1:12">
      <c r="A94" s="89"/>
      <c r="B94" s="90" t="s">
        <v>12</v>
      </c>
      <c r="C94" s="91">
        <v>92.697031547981496</v>
      </c>
      <c r="D94" s="52">
        <v>0</v>
      </c>
      <c r="E94" s="52">
        <v>93.765502494473111</v>
      </c>
      <c r="F94" s="52">
        <v>-8.0736315194562813E-3</v>
      </c>
      <c r="G94" s="52">
        <v>92.159460056060198</v>
      </c>
      <c r="H94" s="52">
        <v>7.8876794447069187E-3</v>
      </c>
      <c r="I94" s="52">
        <v>91.843655164009917</v>
      </c>
      <c r="J94" s="52">
        <v>-7.0994714837890882E-2</v>
      </c>
      <c r="K94" s="52">
        <v>91.336455535970487</v>
      </c>
      <c r="L94" s="52">
        <v>3.8443795171461126E-2</v>
      </c>
    </row>
    <row r="95" spans="1:12">
      <c r="A95" s="89"/>
      <c r="B95" s="90" t="s">
        <v>13</v>
      </c>
      <c r="C95" s="91">
        <v>93.403575019883533</v>
      </c>
      <c r="D95" s="52">
        <v>0.76220722508930638</v>
      </c>
      <c r="E95" s="52">
        <v>94.378744779661019</v>
      </c>
      <c r="F95" s="52">
        <v>0.65401695599514031</v>
      </c>
      <c r="G95" s="52">
        <v>93.075312407749109</v>
      </c>
      <c r="H95" s="52">
        <v>0.99376922470226781</v>
      </c>
      <c r="I95" s="52">
        <v>92.452659508324473</v>
      </c>
      <c r="J95" s="52">
        <v>0.66308809598989438</v>
      </c>
      <c r="K95" s="52">
        <v>91.876991011819342</v>
      </c>
      <c r="L95" s="52">
        <v>0.59180693259548445</v>
      </c>
    </row>
    <row r="96" spans="1:12">
      <c r="A96" s="89"/>
      <c r="B96" s="90" t="s">
        <v>14</v>
      </c>
      <c r="C96" s="91">
        <v>94.308833843258014</v>
      </c>
      <c r="D96" s="52">
        <v>0.96919076510912916</v>
      </c>
      <c r="E96" s="52">
        <v>95.309964546057486</v>
      </c>
      <c r="F96" s="52">
        <v>0.98668377988129219</v>
      </c>
      <c r="G96" s="52">
        <v>93.983896089980163</v>
      </c>
      <c r="H96" s="52">
        <v>0.97618117922686487</v>
      </c>
      <c r="I96" s="52">
        <v>93.30091555933403</v>
      </c>
      <c r="J96" s="52">
        <v>0.91750313676284279</v>
      </c>
      <c r="K96" s="52">
        <v>92.775543491152547</v>
      </c>
      <c r="L96" s="52">
        <v>0.97799511002445438</v>
      </c>
    </row>
    <row r="97" spans="1:12">
      <c r="A97" s="89"/>
      <c r="B97" s="90"/>
      <c r="C97" s="91"/>
      <c r="D97" s="52"/>
      <c r="E97" s="52"/>
      <c r="F97" s="52"/>
      <c r="G97" s="52"/>
      <c r="H97" s="52"/>
      <c r="I97" s="52"/>
      <c r="J97" s="52"/>
      <c r="K97" s="52"/>
      <c r="L97" s="52"/>
    </row>
    <row r="98" spans="1:12">
      <c r="A98" s="89">
        <v>2018</v>
      </c>
      <c r="B98" s="90" t="s">
        <v>50</v>
      </c>
      <c r="C98" s="91">
        <v>94.581147473053605</v>
      </c>
      <c r="D98" s="52">
        <v>0.28874668331513309</v>
      </c>
      <c r="E98" s="52">
        <v>95.461382394252041</v>
      </c>
      <c r="F98" s="52">
        <v>0.15886885376121818</v>
      </c>
      <c r="G98" s="52">
        <v>94.289180207209782</v>
      </c>
      <c r="H98" s="52">
        <v>0.32482598607888047</v>
      </c>
      <c r="I98" s="52">
        <v>93.772168921006013</v>
      </c>
      <c r="J98" s="52">
        <v>0.50508975056338112</v>
      </c>
      <c r="K98" s="52">
        <v>93.133560494636853</v>
      </c>
      <c r="L98" s="52">
        <v>0.38589588377722084</v>
      </c>
    </row>
    <row r="99" spans="1:12">
      <c r="A99" s="89"/>
      <c r="B99" s="90" t="s">
        <v>4</v>
      </c>
      <c r="C99" s="91">
        <v>94.478109883401231</v>
      </c>
      <c r="D99" s="52">
        <v>-0.10894093844836528</v>
      </c>
      <c r="E99" s="52">
        <v>95.461382394252041</v>
      </c>
      <c r="F99" s="52">
        <v>0</v>
      </c>
      <c r="G99" s="52">
        <v>93.991164759437993</v>
      </c>
      <c r="H99" s="52">
        <v>-0.31606537156954051</v>
      </c>
      <c r="I99" s="52">
        <v>93.786669024442091</v>
      </c>
      <c r="J99" s="52">
        <v>1.5463120457726021E-2</v>
      </c>
      <c r="K99" s="52">
        <v>93.168660200860813</v>
      </c>
      <c r="L99" s="52">
        <v>3.768749528907378E-2</v>
      </c>
    </row>
    <row r="100" spans="1:12">
      <c r="A100" s="89"/>
      <c r="B100" s="90" t="s">
        <v>5</v>
      </c>
      <c r="C100" s="91">
        <v>94.831381619352243</v>
      </c>
      <c r="D100" s="52">
        <v>0.3739191399859676</v>
      </c>
      <c r="E100" s="52">
        <v>95.839927014738407</v>
      </c>
      <c r="F100" s="52">
        <v>0.39654215243081214</v>
      </c>
      <c r="G100" s="52">
        <v>94.340060893414716</v>
      </c>
      <c r="H100" s="52">
        <v>0.3712009898693136</v>
      </c>
      <c r="I100" s="52">
        <v>94.062170989727235</v>
      </c>
      <c r="J100" s="52">
        <v>0.2937538651824223</v>
      </c>
      <c r="K100" s="52">
        <v>93.512637321855564</v>
      </c>
      <c r="L100" s="52">
        <v>0.36919831223629629</v>
      </c>
    </row>
    <row r="101" spans="1:12">
      <c r="A101" s="89"/>
      <c r="B101" s="90" t="s">
        <v>6</v>
      </c>
      <c r="C101" s="91">
        <v>95.206732838800221</v>
      </c>
      <c r="D101" s="52">
        <v>0.39580908032597062</v>
      </c>
      <c r="E101" s="52">
        <v>96.165475388356668</v>
      </c>
      <c r="F101" s="52">
        <v>0.3396792795639314</v>
      </c>
      <c r="G101" s="52">
        <v>94.710763035764998</v>
      </c>
      <c r="H101" s="52">
        <v>0.39294244548888635</v>
      </c>
      <c r="I101" s="52">
        <v>94.707425592631949</v>
      </c>
      <c r="J101" s="52">
        <v>0.68598735933405042</v>
      </c>
      <c r="K101" s="52">
        <v>93.800454912891979</v>
      </c>
      <c r="L101" s="52">
        <v>0.30778470084829035</v>
      </c>
    </row>
    <row r="102" spans="1:12">
      <c r="A102" s="89"/>
      <c r="B102" s="90" t="s">
        <v>7</v>
      </c>
      <c r="C102" s="91">
        <v>95.456966985098845</v>
      </c>
      <c r="D102" s="52">
        <v>0.26283240568953925</v>
      </c>
      <c r="E102" s="52">
        <v>96.377460375829045</v>
      </c>
      <c r="F102" s="52">
        <v>0.22043772634232628</v>
      </c>
      <c r="G102" s="52">
        <v>95.030584491910332</v>
      </c>
      <c r="H102" s="52">
        <v>0.33768227168073928</v>
      </c>
      <c r="I102" s="52">
        <v>94.99017760963514</v>
      </c>
      <c r="J102" s="52">
        <v>0.29855316542908295</v>
      </c>
      <c r="K102" s="52">
        <v>93.968933502766959</v>
      </c>
      <c r="L102" s="52">
        <v>0.17961383026494637</v>
      </c>
    </row>
    <row r="103" spans="1:12">
      <c r="A103" s="89"/>
      <c r="B103" s="90" t="s">
        <v>8</v>
      </c>
      <c r="C103" s="91">
        <v>95.655682336571303</v>
      </c>
      <c r="D103" s="52">
        <v>0.20817270624517992</v>
      </c>
      <c r="E103" s="52">
        <v>96.47588197715551</v>
      </c>
      <c r="F103" s="52">
        <v>0.10212097407700238</v>
      </c>
      <c r="G103" s="52">
        <v>95.314062600766405</v>
      </c>
      <c r="H103" s="52">
        <v>0.2983019733822756</v>
      </c>
      <c r="I103" s="52">
        <v>95.178678954303933</v>
      </c>
      <c r="J103" s="52">
        <v>0.19844298580369291</v>
      </c>
      <c r="K103" s="52">
        <v>94.270790976292943</v>
      </c>
      <c r="L103" s="52">
        <v>0.3212311370087928</v>
      </c>
    </row>
    <row r="104" spans="1:12">
      <c r="A104" s="89"/>
      <c r="B104" s="90" t="s">
        <v>9</v>
      </c>
      <c r="C104" s="91">
        <v>95.640962680906668</v>
      </c>
      <c r="D104" s="52">
        <v>-1.5388166499974432E-2</v>
      </c>
      <c r="E104" s="52">
        <v>96.422885730287405</v>
      </c>
      <c r="F104" s="52">
        <v>-5.4932119595085815E-2</v>
      </c>
      <c r="G104" s="52">
        <v>95.321331270224249</v>
      </c>
      <c r="H104" s="52">
        <v>7.626019980166987E-3</v>
      </c>
      <c r="I104" s="52">
        <v>95.243929419766204</v>
      </c>
      <c r="J104" s="52">
        <v>6.8555758683719326E-2</v>
      </c>
      <c r="K104" s="52">
        <v>94.284830858782527</v>
      </c>
      <c r="L104" s="52">
        <v>1.4893141708238744E-2</v>
      </c>
    </row>
    <row r="105" spans="1:12">
      <c r="A105" s="89"/>
      <c r="B105" s="90" t="s">
        <v>10</v>
      </c>
      <c r="C105" s="91">
        <v>95.670401992235938</v>
      </c>
      <c r="D105" s="52">
        <v>3.0781069642182857E-2</v>
      </c>
      <c r="E105" s="52">
        <v>96.460740192336047</v>
      </c>
      <c r="F105" s="52">
        <v>3.9258793969865202E-2</v>
      </c>
      <c r="G105" s="52">
        <v>95.335868609139951</v>
      </c>
      <c r="H105" s="52">
        <v>1.5250876925421153E-2</v>
      </c>
      <c r="I105" s="52">
        <v>95.417930660998948</v>
      </c>
      <c r="J105" s="52">
        <v>0.18269011189770978</v>
      </c>
      <c r="K105" s="52">
        <v>94.193571622600246</v>
      </c>
      <c r="L105" s="52">
        <v>-9.6791005881924352E-2</v>
      </c>
    </row>
    <row r="106" spans="1:12">
      <c r="A106" s="89"/>
      <c r="B106" s="90" t="s">
        <v>11</v>
      </c>
      <c r="C106" s="91">
        <v>95.744000270559056</v>
      </c>
      <c r="D106" s="52">
        <v>7.6928994538039142E-2</v>
      </c>
      <c r="E106" s="52">
        <v>96.581874470891677</v>
      </c>
      <c r="F106" s="52">
        <v>0.12557883996546781</v>
      </c>
      <c r="G106" s="52">
        <v>95.430361312091975</v>
      </c>
      <c r="H106" s="52">
        <v>9.9115584019515701E-2</v>
      </c>
      <c r="I106" s="52">
        <v>95.287429730074393</v>
      </c>
      <c r="J106" s="52">
        <v>-0.13676772281742133</v>
      </c>
      <c r="K106" s="52">
        <v>94.235691270068997</v>
      </c>
      <c r="L106" s="52">
        <v>4.4716053063065253E-2</v>
      </c>
    </row>
    <row r="107" spans="1:12">
      <c r="A107" s="89"/>
      <c r="B107" s="90" t="s">
        <v>12</v>
      </c>
      <c r="C107" s="91">
        <v>95.957435277696121</v>
      </c>
      <c r="D107" s="52">
        <v>0.22292259205165532</v>
      </c>
      <c r="E107" s="52">
        <v>96.74843410390568</v>
      </c>
      <c r="F107" s="52">
        <v>0.1724543387943811</v>
      </c>
      <c r="G107" s="52">
        <v>95.575734701248962</v>
      </c>
      <c r="H107" s="52">
        <v>0.15233452662046787</v>
      </c>
      <c r="I107" s="52">
        <v>95.584681850513633</v>
      </c>
      <c r="J107" s="52">
        <v>0.31195313094420918</v>
      </c>
      <c r="K107" s="52">
        <v>94.677947568490808</v>
      </c>
      <c r="L107" s="52">
        <v>0.46930870083432552</v>
      </c>
    </row>
    <row r="108" spans="1:12">
      <c r="A108" s="89"/>
      <c r="B108" s="90" t="s">
        <v>13</v>
      </c>
      <c r="C108" s="91">
        <v>95.61888319740973</v>
      </c>
      <c r="D108" s="52">
        <v>-0.35281484890320458</v>
      </c>
      <c r="E108" s="52">
        <v>96.430456622697136</v>
      </c>
      <c r="F108" s="52">
        <v>-0.32866421472728113</v>
      </c>
      <c r="G108" s="52">
        <v>95.205032558898679</v>
      </c>
      <c r="H108" s="52">
        <v>-0.38786219484372442</v>
      </c>
      <c r="I108" s="52">
        <v>95.309179885228474</v>
      </c>
      <c r="J108" s="52">
        <v>-0.28822815533980917</v>
      </c>
      <c r="K108" s="52">
        <v>94.312910623761681</v>
      </c>
      <c r="L108" s="52">
        <v>-0.38555646177802494</v>
      </c>
    </row>
    <row r="109" spans="1:12">
      <c r="A109" s="89"/>
      <c r="B109" s="90" t="s">
        <v>14</v>
      </c>
      <c r="C109" s="91">
        <v>95.412808018104968</v>
      </c>
      <c r="D109" s="52">
        <v>-0.21551724137931494</v>
      </c>
      <c r="E109" s="52">
        <v>96.233613420044222</v>
      </c>
      <c r="F109" s="52">
        <v>-0.20412970087148041</v>
      </c>
      <c r="G109" s="52">
        <v>94.994241144621085</v>
      </c>
      <c r="H109" s="52">
        <v>-0.2214078485264781</v>
      </c>
      <c r="I109" s="52">
        <v>95.084428281969537</v>
      </c>
      <c r="J109" s="52">
        <v>-0.23581317511028876</v>
      </c>
      <c r="K109" s="52">
        <v>94.123372210152354</v>
      </c>
      <c r="L109" s="52">
        <v>-0.20096762188311912</v>
      </c>
    </row>
    <row r="110" spans="1:12" ht="5.25" customHeight="1">
      <c r="A110" s="92"/>
      <c r="B110" s="93"/>
      <c r="C110" s="94"/>
      <c r="D110" s="58"/>
      <c r="E110" s="58"/>
      <c r="F110" s="58"/>
      <c r="G110" s="58"/>
      <c r="H110" s="58"/>
      <c r="I110" s="58"/>
      <c r="J110" s="58"/>
      <c r="K110" s="58"/>
      <c r="L110" s="58"/>
    </row>
    <row r="111" spans="1:12">
      <c r="A111" s="89">
        <v>2019</v>
      </c>
      <c r="B111" s="90" t="s">
        <v>50</v>
      </c>
      <c r="C111" s="91">
        <v>95.250891805794083</v>
      </c>
      <c r="D111" s="52">
        <v>-0.16970070965751649</v>
      </c>
      <c r="E111" s="52">
        <v>95.998915755342679</v>
      </c>
      <c r="F111" s="52">
        <v>-0.24388325072770556</v>
      </c>
      <c r="G111" s="52">
        <v>94.81979307763271</v>
      </c>
      <c r="H111" s="52">
        <v>-0.18364067640983528</v>
      </c>
      <c r="I111" s="52">
        <v>95.084428281969537</v>
      </c>
      <c r="J111" s="52">
        <v>0</v>
      </c>
      <c r="K111" s="52">
        <v>94.102312386417978</v>
      </c>
      <c r="L111" s="52">
        <v>-2.2374701670646591E-2</v>
      </c>
    </row>
    <row r="112" spans="1:12">
      <c r="A112" s="89"/>
      <c r="B112" s="90" t="s">
        <v>4</v>
      </c>
      <c r="C112" s="91">
        <v>95.604163541745109</v>
      </c>
      <c r="D112" s="52">
        <v>0.37088548910524377</v>
      </c>
      <c r="E112" s="52">
        <v>96.316893236551223</v>
      </c>
      <c r="F112" s="52">
        <v>0.33123028391166542</v>
      </c>
      <c r="G112" s="52">
        <v>95.197763889440836</v>
      </c>
      <c r="H112" s="52">
        <v>0.39862016098122233</v>
      </c>
      <c r="I112" s="52">
        <v>95.403430557562871</v>
      </c>
      <c r="J112" s="52">
        <v>0.3354937094929511</v>
      </c>
      <c r="K112" s="52">
        <v>94.537548743594982</v>
      </c>
      <c r="L112" s="52">
        <v>0.46251398731815829</v>
      </c>
    </row>
    <row r="113" spans="1:12">
      <c r="A113" s="89"/>
      <c r="B113" s="90" t="s">
        <v>5</v>
      </c>
      <c r="C113" s="91">
        <v>96.229748907491711</v>
      </c>
      <c r="D113" s="52">
        <v>0.65434949961509226</v>
      </c>
      <c r="E113" s="52">
        <v>96.899851952100221</v>
      </c>
      <c r="F113" s="52">
        <v>0.60525074673791757</v>
      </c>
      <c r="G113" s="52">
        <v>95.873750149020751</v>
      </c>
      <c r="H113" s="52">
        <v>0.71008627930062573</v>
      </c>
      <c r="I113" s="52">
        <v>95.96168453985122</v>
      </c>
      <c r="J113" s="52">
        <v>0.58515084732881917</v>
      </c>
      <c r="K113" s="52">
        <v>95.183383338115718</v>
      </c>
      <c r="L113" s="52">
        <v>0.68315140714338973</v>
      </c>
    </row>
    <row r="114" spans="1:12">
      <c r="A114" s="89"/>
      <c r="B114" s="90" t="s">
        <v>6</v>
      </c>
      <c r="C114" s="91">
        <v>96.737577027921304</v>
      </c>
      <c r="D114" s="52">
        <v>0.52772466539197094</v>
      </c>
      <c r="E114" s="52">
        <v>97.460097990420039</v>
      </c>
      <c r="F114" s="52">
        <v>0.57817016954448963</v>
      </c>
      <c r="G114" s="52">
        <v>96.368019672154446</v>
      </c>
      <c r="H114" s="52">
        <v>0.51554207733131019</v>
      </c>
      <c r="I114" s="52">
        <v>96.345937280906824</v>
      </c>
      <c r="J114" s="52">
        <v>0.40042308854637554</v>
      </c>
      <c r="K114" s="52">
        <v>95.653719401516682</v>
      </c>
      <c r="L114" s="52">
        <v>0.49413673574747463</v>
      </c>
    </row>
    <row r="115" spans="1:12">
      <c r="A115" s="89"/>
      <c r="B115" s="90" t="s">
        <v>7</v>
      </c>
      <c r="C115" s="91">
        <v>96.708137716592049</v>
      </c>
      <c r="D115" s="52">
        <v>-3.0432136335978299E-2</v>
      </c>
      <c r="E115" s="52">
        <v>97.323821927044975</v>
      </c>
      <c r="F115" s="52">
        <v>-0.13982754602653857</v>
      </c>
      <c r="G115" s="52">
        <v>96.433437697275053</v>
      </c>
      <c r="H115" s="52">
        <v>6.788354201234803E-2</v>
      </c>
      <c r="I115" s="52">
        <v>96.432937901523189</v>
      </c>
      <c r="J115" s="52">
        <v>9.0300248325680954E-2</v>
      </c>
      <c r="K115" s="52">
        <v>95.639679519027112</v>
      </c>
      <c r="L115" s="52">
        <v>-1.4677821811226455E-2</v>
      </c>
    </row>
    <row r="116" spans="1:12">
      <c r="A116" s="89"/>
      <c r="B116" s="90" t="s">
        <v>8</v>
      </c>
      <c r="C116" s="91">
        <v>96.531501848616543</v>
      </c>
      <c r="D116" s="52">
        <v>-0.18264840182647957</v>
      </c>
      <c r="E116" s="52">
        <v>97.089124262343418</v>
      </c>
      <c r="F116" s="52">
        <v>-0.24115130299495746</v>
      </c>
      <c r="G116" s="52">
        <v>96.346213663780901</v>
      </c>
      <c r="H116" s="52">
        <v>-9.0449988693719341E-2</v>
      </c>
      <c r="I116" s="52">
        <v>96.128435729365918</v>
      </c>
      <c r="J116" s="52">
        <v>-0.31576573189985302</v>
      </c>
      <c r="K116" s="52">
        <v>95.506300635376093</v>
      </c>
      <c r="L116" s="52">
        <v>-0.13945977686435906</v>
      </c>
    </row>
    <row r="117" spans="1:12">
      <c r="A117" s="89"/>
      <c r="B117" s="90" t="s">
        <v>9</v>
      </c>
      <c r="C117" s="91">
        <v>96.980451346387639</v>
      </c>
      <c r="D117" s="52">
        <v>0.46508081732237194</v>
      </c>
      <c r="E117" s="52">
        <v>97.422243528371425</v>
      </c>
      <c r="F117" s="52">
        <v>0.34310667498440584</v>
      </c>
      <c r="G117" s="52">
        <v>96.884095203661659</v>
      </c>
      <c r="H117" s="52">
        <v>0.55827989437944314</v>
      </c>
      <c r="I117" s="52">
        <v>96.621439246191997</v>
      </c>
      <c r="J117" s="52">
        <v>0.51285918998416058</v>
      </c>
      <c r="K117" s="52">
        <v>96.067895934959338</v>
      </c>
      <c r="L117" s="52">
        <v>0.58801911062109635</v>
      </c>
    </row>
    <row r="118" spans="1:12">
      <c r="A118" s="89"/>
      <c r="B118" s="90" t="s">
        <v>10</v>
      </c>
      <c r="C118" s="91">
        <v>97.311643598841712</v>
      </c>
      <c r="D118" s="52">
        <v>0.34150413599451923</v>
      </c>
      <c r="E118" s="52">
        <v>97.619086731024325</v>
      </c>
      <c r="F118" s="52">
        <v>0.20205160087036766</v>
      </c>
      <c r="G118" s="52">
        <v>97.320215371132562</v>
      </c>
      <c r="H118" s="52">
        <v>0.45014629754669411</v>
      </c>
      <c r="I118" s="52">
        <v>97.034692194119728</v>
      </c>
      <c r="J118" s="52">
        <v>0.42770315900051425</v>
      </c>
      <c r="K118" s="52">
        <v>96.468032585912397</v>
      </c>
      <c r="L118" s="52">
        <v>0.41651443185970471</v>
      </c>
    </row>
    <row r="119" spans="1:12">
      <c r="A119" s="89"/>
      <c r="B119" s="90" t="s">
        <v>11</v>
      </c>
      <c r="C119" s="91">
        <v>97.679634990457359</v>
      </c>
      <c r="D119" s="52">
        <v>0.37815761609438781</v>
      </c>
      <c r="E119" s="52">
        <v>97.9446351046426</v>
      </c>
      <c r="F119" s="52">
        <v>0.33348844423763957</v>
      </c>
      <c r="G119" s="52">
        <v>97.661842835651456</v>
      </c>
      <c r="H119" s="52">
        <v>0.3510344312495528</v>
      </c>
      <c r="I119" s="52">
        <v>97.455195193765476</v>
      </c>
      <c r="J119" s="52">
        <v>0.4333532576210164</v>
      </c>
      <c r="K119" s="52">
        <v>96.959428473047751</v>
      </c>
      <c r="L119" s="52">
        <v>0.50938727987193122</v>
      </c>
    </row>
    <row r="120" spans="1:12">
      <c r="A120" s="89"/>
      <c r="B120" s="90" t="s">
        <v>12</v>
      </c>
      <c r="C120" s="91">
        <v>98.334659667533217</v>
      </c>
      <c r="D120" s="52">
        <v>0.6705846895720402</v>
      </c>
      <c r="E120" s="52">
        <v>98.535164712601343</v>
      </c>
      <c r="F120" s="52">
        <v>0.60292185205226279</v>
      </c>
      <c r="G120" s="52">
        <v>98.279679739568579</v>
      </c>
      <c r="H120" s="52">
        <v>0.63262875855909506</v>
      </c>
      <c r="I120" s="52">
        <v>98.071449589798092</v>
      </c>
      <c r="J120" s="52">
        <v>0.63234637702724861</v>
      </c>
      <c r="K120" s="52">
        <v>97.949240188563223</v>
      </c>
      <c r="L120" s="52">
        <v>1.0208514335360519</v>
      </c>
    </row>
    <row r="121" spans="1:12">
      <c r="A121" s="89"/>
      <c r="B121" s="90" t="s">
        <v>13</v>
      </c>
      <c r="C121" s="91">
        <v>98.702651059148863</v>
      </c>
      <c r="D121" s="52">
        <v>0.37422348626598989</v>
      </c>
      <c r="E121" s="52">
        <v>98.906138440677964</v>
      </c>
      <c r="F121" s="52">
        <v>0.37648866692276961</v>
      </c>
      <c r="G121" s="52">
        <v>98.628575873545287</v>
      </c>
      <c r="H121" s="52">
        <v>0.35500332815618929</v>
      </c>
      <c r="I121" s="52">
        <v>98.383201813673381</v>
      </c>
      <c r="J121" s="52">
        <v>0.31788275301247726</v>
      </c>
      <c r="K121" s="52">
        <v>98.391496486985019</v>
      </c>
      <c r="L121" s="52">
        <v>0.45151580305309302</v>
      </c>
    </row>
    <row r="122" spans="1:12">
      <c r="A122" s="89"/>
      <c r="B122" s="90" t="s">
        <v>14</v>
      </c>
      <c r="C122" s="91">
        <v>98.901366410621307</v>
      </c>
      <c r="D122" s="52">
        <v>0.20132726866004536</v>
      </c>
      <c r="E122" s="52">
        <v>99.18626145983788</v>
      </c>
      <c r="F122" s="52">
        <v>0.28322106552358672</v>
      </c>
      <c r="G122" s="52">
        <v>98.839367287822895</v>
      </c>
      <c r="H122" s="52">
        <v>0.2137224555973205</v>
      </c>
      <c r="I122" s="52">
        <v>98.528202848033999</v>
      </c>
      <c r="J122" s="52">
        <v>0.14738393515107973</v>
      </c>
      <c r="K122" s="52">
        <v>98.370436663250644</v>
      </c>
      <c r="L122" s="52">
        <v>-2.1404109589040488E-2</v>
      </c>
    </row>
    <row r="123" spans="1:12" ht="7.5" customHeight="1">
      <c r="A123" s="89"/>
      <c r="B123" s="90"/>
      <c r="C123" s="91"/>
      <c r="D123" s="52"/>
      <c r="E123" s="52"/>
      <c r="F123" s="52"/>
      <c r="G123" s="52"/>
      <c r="H123" s="52"/>
      <c r="I123" s="52"/>
      <c r="J123" s="52"/>
      <c r="K123" s="52"/>
      <c r="L123" s="52"/>
    </row>
    <row r="124" spans="1:12" ht="13.5" customHeight="1">
      <c r="A124" s="95">
        <v>2020</v>
      </c>
      <c r="B124" s="64" t="s">
        <v>50</v>
      </c>
      <c r="C124" s="77">
        <v>99.225198835243077</v>
      </c>
      <c r="D124" s="77">
        <v>0.32742967703527359</v>
      </c>
      <c r="E124" s="77">
        <v>99.405817339719988</v>
      </c>
      <c r="F124" s="77">
        <v>0.22135714830930908</v>
      </c>
      <c r="G124" s="77">
        <v>99.239144108004567</v>
      </c>
      <c r="H124" s="77">
        <v>0.40447124577145388</v>
      </c>
      <c r="I124" s="77">
        <v>98.897955485653554</v>
      </c>
      <c r="J124" s="77">
        <v>0.37527593818984517</v>
      </c>
      <c r="K124" s="77">
        <v>98.742493549224548</v>
      </c>
      <c r="L124" s="77">
        <v>0.37822022407765221</v>
      </c>
    </row>
    <row r="125" spans="1:12">
      <c r="B125" s="64" t="s">
        <v>4</v>
      </c>
      <c r="C125" s="77">
        <v>99.100081762093765</v>
      </c>
      <c r="D125" s="77">
        <v>-0.12609405132768536</v>
      </c>
      <c r="E125" s="77">
        <v>99.269541276344896</v>
      </c>
      <c r="F125" s="77">
        <v>-0.1370906321401355</v>
      </c>
      <c r="G125" s="77">
        <v>99.130114066136827</v>
      </c>
      <c r="H125" s="77">
        <v>-0.10986596352451361</v>
      </c>
      <c r="I125" s="77">
        <v>98.789204709883094</v>
      </c>
      <c r="J125" s="77">
        <v>-0.10996261271167818</v>
      </c>
      <c r="K125" s="77">
        <v>98.630174489307905</v>
      </c>
      <c r="L125" s="77">
        <v>-0.11374946679937326</v>
      </c>
    </row>
    <row r="126" spans="1:12">
      <c r="B126" s="64" t="s">
        <v>5</v>
      </c>
      <c r="C126" s="77">
        <v>98.58489381383184</v>
      </c>
      <c r="D126" s="77">
        <v>-0.51986632008913514</v>
      </c>
      <c r="E126" s="77">
        <v>98.73957880766396</v>
      </c>
      <c r="F126" s="77">
        <v>-0.53386211104333725</v>
      </c>
      <c r="G126" s="77">
        <v>98.475933814930471</v>
      </c>
      <c r="H126" s="77">
        <v>-0.65992080950285636</v>
      </c>
      <c r="I126" s="77">
        <v>98.477452486007792</v>
      </c>
      <c r="J126" s="77">
        <v>-0.3155731689417185</v>
      </c>
      <c r="K126" s="77">
        <v>98.363416722005866</v>
      </c>
      <c r="L126" s="77">
        <v>-0.2704626334519511</v>
      </c>
    </row>
    <row r="127" spans="1:12">
      <c r="B127" s="64" t="s">
        <v>6</v>
      </c>
      <c r="C127" s="77">
        <v>97.775312752277415</v>
      </c>
      <c r="D127" s="77">
        <v>-0.82120194102277555</v>
      </c>
      <c r="E127" s="77">
        <v>97.906780642593958</v>
      </c>
      <c r="F127" s="77">
        <v>-0.84342892194447794</v>
      </c>
      <c r="G127" s="77">
        <v>97.625499488362209</v>
      </c>
      <c r="H127" s="77">
        <v>-0.86359610274578946</v>
      </c>
      <c r="I127" s="77">
        <v>97.643696538434284</v>
      </c>
      <c r="J127" s="77">
        <v>-0.84664654347346158</v>
      </c>
      <c r="K127" s="77">
        <v>97.766721716198674</v>
      </c>
      <c r="L127" s="77">
        <v>-0.60662289466171249</v>
      </c>
    </row>
    <row r="128" spans="1:12">
      <c r="B128" s="64" t="s">
        <v>7</v>
      </c>
      <c r="C128" s="77">
        <v>97.664915334792724</v>
      </c>
      <c r="D128" s="77">
        <v>-0.11290929619871548</v>
      </c>
      <c r="E128" s="77">
        <v>97.937064212232883</v>
      </c>
      <c r="F128" s="77">
        <v>3.0931023816904712E-2</v>
      </c>
      <c r="G128" s="77">
        <v>97.55281279378373</v>
      </c>
      <c r="H128" s="77">
        <v>-7.4454619909158914E-2</v>
      </c>
      <c r="I128" s="77">
        <v>97.056442349273823</v>
      </c>
      <c r="J128" s="77">
        <v>-0.60142560142559809</v>
      </c>
      <c r="K128" s="77">
        <v>97.549103537610165</v>
      </c>
      <c r="L128" s="77">
        <v>-0.22258921519351382</v>
      </c>
    </row>
    <row r="129" spans="1:12">
      <c r="B129" s="64" t="s">
        <v>8</v>
      </c>
      <c r="C129" s="77">
        <v>99.328236424895465</v>
      </c>
      <c r="D129" s="77">
        <v>1.7030896759608227</v>
      </c>
      <c r="E129" s="77">
        <v>99.360391985261629</v>
      </c>
      <c r="F129" s="77">
        <v>1.4533085961657477</v>
      </c>
      <c r="G129" s="77">
        <v>99.326368141498747</v>
      </c>
      <c r="H129" s="77">
        <v>1.8180463452797779</v>
      </c>
      <c r="I129" s="77">
        <v>98.745704399574905</v>
      </c>
      <c r="J129" s="77">
        <v>1.7404945095988555</v>
      </c>
      <c r="K129" s="77">
        <v>99.605946322333793</v>
      </c>
      <c r="L129" s="77">
        <v>2.1085204375359545</v>
      </c>
    </row>
    <row r="130" spans="1:12">
      <c r="B130" s="64" t="s">
        <v>9</v>
      </c>
      <c r="C130" s="77">
        <v>101.19763269430294</v>
      </c>
      <c r="D130" s="77">
        <v>1.8820391227030164</v>
      </c>
      <c r="E130" s="77">
        <v>101.23040241046428</v>
      </c>
      <c r="F130" s="77">
        <v>1.8820481560499758</v>
      </c>
      <c r="G130" s="77">
        <v>101.19441619216579</v>
      </c>
      <c r="H130" s="77">
        <v>1.8807171606293416</v>
      </c>
      <c r="I130" s="77">
        <v>100.71771846687919</v>
      </c>
      <c r="J130" s="77">
        <v>1.997063142437594</v>
      </c>
      <c r="K130" s="77">
        <v>101.43113104597936</v>
      </c>
      <c r="L130" s="77">
        <v>1.832405384452751</v>
      </c>
    </row>
    <row r="131" spans="1:12">
      <c r="B131" s="64" t="s">
        <v>10</v>
      </c>
      <c r="C131" s="77">
        <v>101.98513427236043</v>
      </c>
      <c r="D131" s="77">
        <v>0.7781818181818112</v>
      </c>
      <c r="E131" s="77">
        <v>102.070771467944</v>
      </c>
      <c r="F131" s="77">
        <v>0.83015481265422686</v>
      </c>
      <c r="G131" s="77">
        <v>102.00850717144482</v>
      </c>
      <c r="H131" s="77">
        <v>0.80448211463870489</v>
      </c>
      <c r="I131" s="77">
        <v>101.73997575912151</v>
      </c>
      <c r="J131" s="77">
        <v>1.0149726461272879</v>
      </c>
      <c r="K131" s="77">
        <v>101.76106828448452</v>
      </c>
      <c r="L131" s="77">
        <v>0.32528202643782311</v>
      </c>
    </row>
    <row r="132" spans="1:12">
      <c r="B132" s="64" t="s">
        <v>11</v>
      </c>
      <c r="C132" s="77">
        <v>102.59599998244241</v>
      </c>
      <c r="D132" s="77">
        <v>0.59897524716749917</v>
      </c>
      <c r="E132" s="77">
        <v>102.73701</v>
      </c>
      <c r="F132" s="77">
        <v>0.65272214804923401</v>
      </c>
      <c r="G132" s="77">
        <v>102.43009000000001</v>
      </c>
      <c r="H132" s="77">
        <v>0.41328202935726477</v>
      </c>
      <c r="I132" s="77">
        <v>102.33448</v>
      </c>
      <c r="J132" s="77">
        <v>0.58433692011685689</v>
      </c>
      <c r="K132" s="77">
        <v>102.75088</v>
      </c>
      <c r="L132" s="77">
        <v>0.97268211920529257</v>
      </c>
    </row>
    <row r="133" spans="1:12">
      <c r="B133" s="64" t="s">
        <v>12</v>
      </c>
      <c r="C133" s="77">
        <v>103.276</v>
      </c>
      <c r="D133" s="77">
        <v>0.66279388833283548</v>
      </c>
      <c r="E133" s="77">
        <v>103.37430999999999</v>
      </c>
      <c r="F133" s="77">
        <v>0.62032173215864628</v>
      </c>
      <c r="G133" s="77">
        <v>102.98927</v>
      </c>
      <c r="H133" s="77">
        <v>0.54591380325839101</v>
      </c>
      <c r="I133" s="77">
        <v>103.09059999999999</v>
      </c>
      <c r="J133" s="77">
        <v>0.73887119961912884</v>
      </c>
      <c r="K133" s="77">
        <v>103.81328999999999</v>
      </c>
      <c r="L133" s="77">
        <v>1.0339668137148816</v>
      </c>
    </row>
    <row r="134" spans="1:12">
      <c r="B134" s="64" t="s">
        <v>13</v>
      </c>
      <c r="C134" s="77">
        <v>103.893</v>
      </c>
      <c r="D134" s="77">
        <v>0.59742825051318782</v>
      </c>
      <c r="E134" s="77">
        <v>103.98399999999999</v>
      </c>
      <c r="F134" s="77">
        <v>0.58978870088710611</v>
      </c>
      <c r="G134" s="77">
        <v>103.607</v>
      </c>
      <c r="H134" s="77">
        <v>0.59980034813333916</v>
      </c>
      <c r="I134" s="77">
        <v>103.506</v>
      </c>
      <c r="J134" s="77">
        <v>0.40294653440759998</v>
      </c>
      <c r="K134" s="77">
        <v>104.639</v>
      </c>
      <c r="L134" s="77">
        <v>0.79537985936097844</v>
      </c>
    </row>
    <row r="135" spans="1:12">
      <c r="B135" s="64" t="s">
        <v>14</v>
      </c>
      <c r="C135" s="77">
        <v>104.39400000000001</v>
      </c>
      <c r="D135" s="77">
        <v>0.4822269065288376</v>
      </c>
      <c r="E135" s="77">
        <v>104.45099999999999</v>
      </c>
      <c r="F135" s="77">
        <v>0.44910755500846555</v>
      </c>
      <c r="G135" s="77">
        <v>104.134</v>
      </c>
      <c r="H135" s="77">
        <v>0.50865289024872862</v>
      </c>
      <c r="I135" s="77">
        <v>104.071</v>
      </c>
      <c r="J135" s="77">
        <v>0.54586207562845601</v>
      </c>
      <c r="K135" s="77">
        <v>105.139</v>
      </c>
      <c r="L135" s="77">
        <v>0.47783331262722939</v>
      </c>
    </row>
    <row r="136" spans="1:12">
      <c r="C136" s="77"/>
      <c r="D136" s="77"/>
      <c r="E136" s="77"/>
      <c r="F136" s="77"/>
      <c r="G136" s="77"/>
      <c r="H136" s="77"/>
      <c r="I136" s="77"/>
      <c r="J136" s="77"/>
      <c r="K136" s="77"/>
      <c r="L136" s="77"/>
    </row>
    <row r="137" spans="1:12">
      <c r="A137" s="95">
        <v>2021</v>
      </c>
      <c r="B137" s="64" t="s">
        <v>50</v>
      </c>
      <c r="C137" s="77">
        <v>105.404</v>
      </c>
      <c r="D137" s="77">
        <v>0.96748855298196546</v>
      </c>
      <c r="E137" s="77">
        <v>105.358</v>
      </c>
      <c r="F137" s="77">
        <v>0.86834975251555147</v>
      </c>
      <c r="G137" s="77">
        <v>105.173</v>
      </c>
      <c r="H137" s="77">
        <v>0.9977528953079684</v>
      </c>
      <c r="I137" s="77">
        <v>105.108</v>
      </c>
      <c r="J137" s="77">
        <v>0.99643512601974571</v>
      </c>
      <c r="K137" s="77">
        <v>106.419</v>
      </c>
      <c r="L137" s="77">
        <v>1.2174359657215694</v>
      </c>
    </row>
    <row r="138" spans="1:12">
      <c r="B138" s="64" t="s">
        <v>4</v>
      </c>
      <c r="C138" s="77">
        <v>106.124</v>
      </c>
      <c r="D138" s="77">
        <v>0.68308603089066722</v>
      </c>
      <c r="E138" s="77">
        <v>106.032</v>
      </c>
      <c r="F138" s="77">
        <v>0.63972360902826431</v>
      </c>
      <c r="G138" s="77">
        <v>105.85599999999999</v>
      </c>
      <c r="H138" s="77">
        <v>0.64940621642435303</v>
      </c>
      <c r="I138" s="77">
        <v>106.004</v>
      </c>
      <c r="J138" s="77">
        <v>0.85245652091181512</v>
      </c>
      <c r="K138" s="77">
        <v>107.227</v>
      </c>
      <c r="L138" s="77">
        <v>0.75926291357746312</v>
      </c>
    </row>
    <row r="139" spans="1:12">
      <c r="B139" s="64" t="s">
        <v>5</v>
      </c>
      <c r="C139" s="77">
        <v>106.764</v>
      </c>
      <c r="D139" s="77">
        <v>0.60306810900456753</v>
      </c>
      <c r="E139" s="77">
        <v>106.544</v>
      </c>
      <c r="F139" s="77">
        <v>0.48287309491474861</v>
      </c>
      <c r="G139" s="77">
        <v>106.639</v>
      </c>
      <c r="H139" s="77">
        <v>0.73968409915357025</v>
      </c>
      <c r="I139" s="77">
        <v>106.629</v>
      </c>
      <c r="J139" s="77">
        <v>0.58960039243802775</v>
      </c>
      <c r="K139" s="77">
        <v>107.977</v>
      </c>
      <c r="L139" s="77">
        <v>0.69945069805179561</v>
      </c>
    </row>
    <row r="140" spans="1:12">
      <c r="B140" s="64" t="s">
        <v>6</v>
      </c>
      <c r="C140" s="77">
        <v>107.206</v>
      </c>
      <c r="D140" s="77">
        <v>0.41399722752988311</v>
      </c>
      <c r="E140" s="77">
        <v>106.913</v>
      </c>
      <c r="F140" s="77">
        <v>0.34633578615408389</v>
      </c>
      <c r="G140" s="77">
        <v>107.16200000000001</v>
      </c>
      <c r="H140" s="77">
        <v>0.49043970779922841</v>
      </c>
      <c r="I140" s="77">
        <v>107.074</v>
      </c>
      <c r="J140" s="77">
        <v>0.41733487137645131</v>
      </c>
      <c r="K140" s="77">
        <v>108.482</v>
      </c>
      <c r="L140" s="77">
        <v>0.46769219370792481</v>
      </c>
    </row>
    <row r="141" spans="1:12">
      <c r="B141" s="64" t="s">
        <v>7</v>
      </c>
      <c r="C141" s="77">
        <v>107.901</v>
      </c>
      <c r="D141" s="77">
        <v>0.64828461093595635</v>
      </c>
      <c r="E141" s="77">
        <v>107.48099999999999</v>
      </c>
      <c r="F141" s="77">
        <v>0.53127309120499788</v>
      </c>
      <c r="G141" s="77">
        <v>107.88500000000001</v>
      </c>
      <c r="H141" s="77">
        <v>0.67467945727031076</v>
      </c>
      <c r="I141" s="77">
        <v>107.881</v>
      </c>
      <c r="J141" s="77">
        <v>0.75368436782039527</v>
      </c>
      <c r="K141" s="77">
        <v>109.46</v>
      </c>
      <c r="L141" s="77">
        <v>0.9015320514002223</v>
      </c>
    </row>
    <row r="142" spans="1:12">
      <c r="B142" s="64" t="s">
        <v>8</v>
      </c>
      <c r="C142" s="77">
        <v>108.58499999999999</v>
      </c>
      <c r="D142" s="77">
        <v>0.63391442155309452</v>
      </c>
      <c r="E142" s="77">
        <v>108.032</v>
      </c>
      <c r="F142" s="77">
        <v>0.51264874722043441</v>
      </c>
      <c r="G142" s="77">
        <v>108.687</v>
      </c>
      <c r="H142" s="77">
        <v>0.74338415905825794</v>
      </c>
      <c r="I142" s="77">
        <v>108.554</v>
      </c>
      <c r="J142" s="77">
        <v>0.62383552247384788</v>
      </c>
      <c r="K142" s="77">
        <v>110.339</v>
      </c>
      <c r="L142" s="77">
        <v>0.80303307144162783</v>
      </c>
    </row>
    <row r="143" spans="1:12">
      <c r="B143" s="64" t="s">
        <v>9</v>
      </c>
      <c r="C143" s="77">
        <v>109.16800000000001</v>
      </c>
      <c r="D143" s="77">
        <v>0.53690657088918403</v>
      </c>
      <c r="E143" s="77">
        <v>108.52500000000001</v>
      </c>
      <c r="F143" s="77">
        <v>0.45634626777251164</v>
      </c>
      <c r="G143" s="77">
        <v>109.34099999999999</v>
      </c>
      <c r="H143" s="77">
        <v>0.60172789754064926</v>
      </c>
      <c r="I143" s="77">
        <v>109.175</v>
      </c>
      <c r="J143" s="77">
        <v>0.5720655157801513</v>
      </c>
      <c r="K143" s="77">
        <v>111.027</v>
      </c>
      <c r="L143" s="77">
        <v>0.62353293033288182</v>
      </c>
    </row>
    <row r="144" spans="1:12">
      <c r="B144" s="64" t="s">
        <v>10</v>
      </c>
      <c r="C144" s="77">
        <v>110.039</v>
      </c>
      <c r="D144" s="77">
        <v>0.79785285065219202</v>
      </c>
      <c r="E144" s="77">
        <v>109.283</v>
      </c>
      <c r="F144" s="77">
        <v>0.69845657682561235</v>
      </c>
      <c r="G144" s="77">
        <v>110.294</v>
      </c>
      <c r="H144" s="77">
        <v>0.87158522420685003</v>
      </c>
      <c r="I144" s="77">
        <v>110.008</v>
      </c>
      <c r="J144" s="77">
        <v>0.76299519120677228</v>
      </c>
      <c r="K144" s="77">
        <v>112.136</v>
      </c>
      <c r="L144" s="77">
        <v>0.99885613409349538</v>
      </c>
    </row>
    <row r="145" spans="1:36">
      <c r="B145" s="64" t="s">
        <v>11</v>
      </c>
      <c r="C145" s="77">
        <v>110.535</v>
      </c>
      <c r="D145" s="77">
        <v>0.45074927980079948</v>
      </c>
      <c r="E145" s="77">
        <v>109.736</v>
      </c>
      <c r="F145" s="77">
        <v>0.41452009919200616</v>
      </c>
      <c r="G145" s="77">
        <v>110.797</v>
      </c>
      <c r="H145" s="77">
        <v>0.45605381979074711</v>
      </c>
      <c r="I145" s="77">
        <v>110.59399999999999</v>
      </c>
      <c r="J145" s="77">
        <v>0.53268853174315289</v>
      </c>
      <c r="K145" s="77">
        <v>112.68899999999999</v>
      </c>
      <c r="L145" s="77">
        <v>0.49315117357493499</v>
      </c>
    </row>
    <row r="146" spans="1:36">
      <c r="B146" s="64" t="s">
        <v>12</v>
      </c>
      <c r="C146" s="77">
        <v>111.244</v>
      </c>
      <c r="D146" s="77">
        <v>0.64142579273533951</v>
      </c>
      <c r="E146" s="77">
        <v>110.414</v>
      </c>
      <c r="F146" s="77">
        <v>0.6178464678865625</v>
      </c>
      <c r="G146" s="77">
        <v>111.54300000000001</v>
      </c>
      <c r="H146" s="77">
        <v>0.67330342879321492</v>
      </c>
      <c r="I146" s="77">
        <v>111.27800000000001</v>
      </c>
      <c r="J146" s="77">
        <v>0.61847839846647101</v>
      </c>
      <c r="K146" s="77">
        <v>113.432</v>
      </c>
      <c r="L146" s="77">
        <v>0.65933675868985464</v>
      </c>
    </row>
    <row r="147" spans="1:36">
      <c r="B147" s="64" t="s">
        <v>13</v>
      </c>
      <c r="C147" s="77">
        <v>112.446</v>
      </c>
      <c r="D147" s="77">
        <v>1.0805077127755247</v>
      </c>
      <c r="E147" s="77">
        <v>111.535</v>
      </c>
      <c r="F147" s="77">
        <v>1.0152698027424023</v>
      </c>
      <c r="G147" s="77">
        <v>112.869</v>
      </c>
      <c r="H147" s="77">
        <v>1.1887792151905385</v>
      </c>
      <c r="I147" s="77">
        <v>112.361</v>
      </c>
      <c r="J147" s="77">
        <v>0.97323819622925356</v>
      </c>
      <c r="K147" s="77">
        <v>114.72499999999999</v>
      </c>
      <c r="L147" s="77">
        <v>1.1398899781366767</v>
      </c>
    </row>
    <row r="148" spans="1:36">
      <c r="B148" s="64" t="s">
        <v>14</v>
      </c>
      <c r="C148" s="77">
        <v>113.26300000000001</v>
      </c>
      <c r="D148" s="77">
        <v>0.72657097629085232</v>
      </c>
      <c r="E148" s="77">
        <v>112.417</v>
      </c>
      <c r="F148" s="77">
        <v>0.79078316223606393</v>
      </c>
      <c r="G148" s="77">
        <v>113.59399999999999</v>
      </c>
      <c r="H148" s="77">
        <v>0.64233757719125428</v>
      </c>
      <c r="I148" s="77">
        <v>113.08199999999999</v>
      </c>
      <c r="J148" s="77">
        <v>0.6416817223057647</v>
      </c>
      <c r="K148" s="77">
        <v>115.633</v>
      </c>
      <c r="L148" s="77">
        <v>0.79145783395075942</v>
      </c>
    </row>
    <row r="149" spans="1:36">
      <c r="C149" s="77"/>
      <c r="D149" s="77"/>
      <c r="E149" s="77"/>
      <c r="F149" s="77"/>
      <c r="G149" s="77"/>
      <c r="H149" s="77"/>
      <c r="I149" s="77"/>
      <c r="J149" s="77"/>
      <c r="K149" s="77"/>
      <c r="L149" s="77"/>
    </row>
    <row r="150" spans="1:36">
      <c r="A150" s="95">
        <v>2022</v>
      </c>
      <c r="B150" s="64" t="s">
        <v>50</v>
      </c>
      <c r="C150" s="77">
        <v>114.602</v>
      </c>
      <c r="D150" s="77">
        <v>1.1822042502847241</v>
      </c>
      <c r="E150" s="77">
        <v>113.48399999999999</v>
      </c>
      <c r="F150" s="77">
        <v>0.94914470231370895</v>
      </c>
      <c r="G150" s="77">
        <v>115.301</v>
      </c>
      <c r="H150" s="77">
        <v>1.5027202140958318</v>
      </c>
      <c r="I150" s="77">
        <v>114.437</v>
      </c>
      <c r="J150" s="77">
        <v>1.1982455209494036</v>
      </c>
      <c r="K150" s="77">
        <v>117.006</v>
      </c>
      <c r="L150" s="77">
        <v>1.187377305786419</v>
      </c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</row>
    <row r="151" spans="1:36">
      <c r="B151" s="64" t="s">
        <v>4</v>
      </c>
      <c r="C151" s="77">
        <v>115.658</v>
      </c>
      <c r="D151" s="77">
        <v>0.92144988743652068</v>
      </c>
      <c r="E151" s="77">
        <v>114.404</v>
      </c>
      <c r="F151" s="77">
        <v>0.81068696908814797</v>
      </c>
      <c r="G151" s="77">
        <v>116.49</v>
      </c>
      <c r="H151" s="77">
        <v>1.0312139530446407</v>
      </c>
      <c r="I151" s="77">
        <v>115.553</v>
      </c>
      <c r="J151" s="77">
        <v>0.97520906699755106</v>
      </c>
      <c r="K151" s="77">
        <v>118.164</v>
      </c>
      <c r="L151" s="77">
        <v>0.98969283626479942</v>
      </c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</row>
    <row r="152" spans="1:36">
      <c r="B152" s="64" t="s">
        <v>5</v>
      </c>
      <c r="C152" s="77">
        <v>116.431</v>
      </c>
      <c r="D152" s="77">
        <v>0.66834978989780414</v>
      </c>
      <c r="E152" s="77">
        <v>115.09099999999999</v>
      </c>
      <c r="F152" s="77">
        <v>0.60050347889932798</v>
      </c>
      <c r="G152" s="77">
        <v>117.32899999999999</v>
      </c>
      <c r="H152" s="77">
        <v>0.72023349643746126</v>
      </c>
      <c r="I152" s="77">
        <v>116.35599999999999</v>
      </c>
      <c r="J152" s="77">
        <v>0.69491921455955286</v>
      </c>
      <c r="K152" s="77">
        <v>119.053</v>
      </c>
      <c r="L152" s="77">
        <v>0.75234419958700727</v>
      </c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  <c r="AD152" s="244"/>
      <c r="AE152" s="244"/>
      <c r="AF152" s="244"/>
      <c r="AG152" s="244"/>
      <c r="AH152" s="244"/>
      <c r="AI152" s="244"/>
      <c r="AJ152" s="244"/>
    </row>
    <row r="153" spans="1:36">
      <c r="B153" s="64" t="s">
        <v>6</v>
      </c>
      <c r="C153" s="77">
        <v>117.544</v>
      </c>
      <c r="D153" s="77">
        <v>0.95593098058077697</v>
      </c>
      <c r="E153" s="77">
        <v>116.04600000000001</v>
      </c>
      <c r="F153" s="77">
        <v>0.82977817553067101</v>
      </c>
      <c r="G153" s="77">
        <v>118.57299999999999</v>
      </c>
      <c r="H153" s="77">
        <v>1.0602664302943099</v>
      </c>
      <c r="I153" s="77">
        <v>117.587</v>
      </c>
      <c r="J153" s="77">
        <v>1.0579600536285261</v>
      </c>
      <c r="K153" s="77">
        <v>120.292</v>
      </c>
      <c r="L153" s="77">
        <v>1.0407129597742149</v>
      </c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  <c r="AD153" s="244"/>
      <c r="AE153" s="244"/>
      <c r="AF153" s="244"/>
      <c r="AG153" s="244"/>
      <c r="AH153" s="244"/>
      <c r="AI153" s="244"/>
      <c r="AJ153" s="244"/>
    </row>
    <row r="154" spans="1:36">
      <c r="B154" s="64" t="s">
        <v>7</v>
      </c>
      <c r="C154" s="77">
        <v>118.123</v>
      </c>
      <c r="D154" s="77">
        <v>0.49258150139523948</v>
      </c>
      <c r="E154" s="77">
        <v>116.46299999999999</v>
      </c>
      <c r="F154" s="77">
        <v>0.3593402616203889</v>
      </c>
      <c r="G154" s="77">
        <v>119.273</v>
      </c>
      <c r="H154" s="77">
        <v>0.59035362181947271</v>
      </c>
      <c r="I154" s="77">
        <v>118.251</v>
      </c>
      <c r="J154" s="77">
        <v>0.56468827336355609</v>
      </c>
      <c r="K154" s="77">
        <v>121.068</v>
      </c>
      <c r="L154" s="77">
        <v>0.64509693080170294</v>
      </c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244"/>
      <c r="AH154" s="244"/>
      <c r="AI154" s="244"/>
      <c r="AJ154" s="244"/>
    </row>
    <row r="155" spans="1:36">
      <c r="B155" s="64" t="s">
        <v>8</v>
      </c>
      <c r="C155" s="77">
        <v>118.877</v>
      </c>
      <c r="D155" s="77">
        <v>0.63831768580207005</v>
      </c>
      <c r="E155" s="77">
        <v>117.07</v>
      </c>
      <c r="F155" s="77">
        <v>0.52119557284286966</v>
      </c>
      <c r="G155" s="77">
        <v>120.18600000000001</v>
      </c>
      <c r="H155" s="77">
        <v>0.76547081066127287</v>
      </c>
      <c r="I155" s="77">
        <v>118.991</v>
      </c>
      <c r="J155" s="77">
        <v>0.62578751976727354</v>
      </c>
      <c r="K155" s="77">
        <v>121.973</v>
      </c>
      <c r="L155" s="77">
        <v>0.74751379390094463</v>
      </c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244"/>
      <c r="AH155" s="244"/>
      <c r="AI155" s="244"/>
      <c r="AJ155" s="244"/>
    </row>
    <row r="156" spans="1:36">
      <c r="B156" s="64" t="s">
        <v>9</v>
      </c>
      <c r="C156" s="77">
        <v>119.468</v>
      </c>
      <c r="D156" s="77">
        <v>0.49715251899022928</v>
      </c>
      <c r="E156" s="77">
        <v>117.687</v>
      </c>
      <c r="F156" s="77">
        <v>0.52703510720082392</v>
      </c>
      <c r="G156" s="77">
        <v>120.843</v>
      </c>
      <c r="H156" s="77">
        <v>0.54665268833307135</v>
      </c>
      <c r="I156" s="77">
        <v>119.444</v>
      </c>
      <c r="J156" s="77">
        <v>0.38070106142482629</v>
      </c>
      <c r="K156" s="77">
        <v>122.434</v>
      </c>
      <c r="L156" s="77">
        <v>0.37795249768390882</v>
      </c>
      <c r="M156" s="244"/>
      <c r="N156" s="244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  <c r="AD156" s="244"/>
      <c r="AE156" s="244"/>
      <c r="AF156" s="244"/>
      <c r="AG156" s="244"/>
      <c r="AH156" s="244"/>
      <c r="AI156" s="244"/>
      <c r="AJ156" s="244"/>
    </row>
    <row r="157" spans="1:36">
      <c r="B157" s="64" t="s">
        <v>10</v>
      </c>
      <c r="C157" s="77">
        <v>119.718</v>
      </c>
      <c r="D157" s="77">
        <v>0.20926105735425971</v>
      </c>
      <c r="E157" s="77">
        <v>117.874</v>
      </c>
      <c r="F157" s="77">
        <v>0.15889605478940361</v>
      </c>
      <c r="G157" s="77">
        <v>121.209</v>
      </c>
      <c r="H157" s="77">
        <v>0.30287232193837443</v>
      </c>
      <c r="I157" s="77">
        <v>119.67</v>
      </c>
      <c r="J157" s="77">
        <v>0.18921000636280549</v>
      </c>
      <c r="K157" s="77">
        <v>122.643</v>
      </c>
      <c r="L157" s="77">
        <v>0.17070421614910902</v>
      </c>
      <c r="M157" s="244"/>
      <c r="N157" s="244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4"/>
      <c r="AH157" s="244"/>
      <c r="AI157" s="244"/>
      <c r="AJ157" s="244"/>
    </row>
    <row r="158" spans="1:36">
      <c r="B158" s="64" t="s">
        <v>11</v>
      </c>
      <c r="C158" s="77">
        <v>120.07</v>
      </c>
      <c r="D158" s="77">
        <v>0.29402429041580636</v>
      </c>
      <c r="E158" s="77">
        <v>118.242</v>
      </c>
      <c r="F158" s="77">
        <v>0.31219777050071063</v>
      </c>
      <c r="G158" s="77">
        <v>121.51600000000001</v>
      </c>
      <c r="H158" s="77">
        <v>0.25328152199919352</v>
      </c>
      <c r="I158" s="77">
        <v>120.13</v>
      </c>
      <c r="J158" s="77">
        <v>0.38439040695243953</v>
      </c>
      <c r="K158" s="77">
        <v>122.961</v>
      </c>
      <c r="L158" s="77">
        <v>0.25928915633179894</v>
      </c>
      <c r="M158" s="244"/>
      <c r="N158" s="244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  <c r="AD158" s="244"/>
      <c r="AE158" s="244"/>
      <c r="AF158" s="244"/>
      <c r="AG158" s="244"/>
      <c r="AH158" s="244"/>
      <c r="AI158" s="244"/>
      <c r="AJ158" s="244"/>
    </row>
    <row r="159" spans="1:36">
      <c r="B159" s="64" t="s">
        <v>12</v>
      </c>
      <c r="C159" s="77">
        <v>120.405</v>
      </c>
      <c r="D159" s="77">
        <v>0.2790039143832912</v>
      </c>
      <c r="E159" s="77">
        <v>118.467</v>
      </c>
      <c r="F159" s="77">
        <v>0.19028771502511699</v>
      </c>
      <c r="G159" s="77">
        <v>121.95399999999999</v>
      </c>
      <c r="H159" s="77">
        <v>0.3604463609730324</v>
      </c>
      <c r="I159" s="77">
        <v>120.64</v>
      </c>
      <c r="J159" s="77">
        <v>0.42454008157828405</v>
      </c>
      <c r="K159" s="77">
        <v>123.268</v>
      </c>
      <c r="L159" s="77">
        <v>0.24967266043705028</v>
      </c>
      <c r="M159" s="244"/>
      <c r="N159" s="244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  <c r="AD159" s="244"/>
      <c r="AE159" s="244"/>
      <c r="AF159" s="244"/>
      <c r="AG159" s="244"/>
      <c r="AH159" s="244"/>
      <c r="AI159" s="244"/>
      <c r="AJ159" s="244"/>
    </row>
    <row r="160" spans="1:36">
      <c r="B160" s="64" t="s">
        <v>13</v>
      </c>
      <c r="C160" s="77">
        <v>120.96599999999999</v>
      </c>
      <c r="D160" s="77">
        <v>0.46592749470535377</v>
      </c>
      <c r="E160" s="77">
        <v>118.916</v>
      </c>
      <c r="F160" s="77">
        <v>0.37900850025744948</v>
      </c>
      <c r="G160" s="77">
        <v>122.65</v>
      </c>
      <c r="H160" s="77">
        <v>0.57070698788068697</v>
      </c>
      <c r="I160" s="77">
        <v>121.241</v>
      </c>
      <c r="J160" s="77">
        <v>0.49817639257294655</v>
      </c>
      <c r="K160" s="77">
        <v>123.86</v>
      </c>
      <c r="L160" s="77">
        <v>0.48025440503618455</v>
      </c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</row>
    <row r="161" spans="1:36">
      <c r="B161" s="64" t="s">
        <v>14</v>
      </c>
      <c r="C161" s="77">
        <v>122.128</v>
      </c>
      <c r="D161" s="77">
        <v>0.96060049931385727</v>
      </c>
      <c r="E161" s="77">
        <v>120.125</v>
      </c>
      <c r="F161" s="77">
        <v>1.0166840458811333</v>
      </c>
      <c r="G161" s="77">
        <v>123.76900000000001</v>
      </c>
      <c r="H161" s="77">
        <v>0.91235222176926367</v>
      </c>
      <c r="I161" s="77">
        <v>122.27800000000001</v>
      </c>
      <c r="J161" s="77">
        <v>0.85532121971940711</v>
      </c>
      <c r="K161" s="77">
        <v>125.08199999999999</v>
      </c>
      <c r="L161" s="77">
        <v>0.98659777167768858</v>
      </c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</row>
    <row r="162" spans="1:36">
      <c r="C162" s="77"/>
      <c r="D162" s="77"/>
      <c r="E162" s="77"/>
      <c r="F162" s="77"/>
      <c r="G162" s="77"/>
      <c r="H162" s="77"/>
      <c r="I162" s="77"/>
      <c r="J162" s="77"/>
      <c r="K162" s="77"/>
      <c r="L162" s="77"/>
    </row>
    <row r="163" spans="1:36">
      <c r="A163" s="95">
        <v>2023</v>
      </c>
      <c r="B163" s="64" t="s">
        <v>50</v>
      </c>
      <c r="C163" s="77">
        <v>122.90300000000001</v>
      </c>
      <c r="D163" s="77">
        <v>0.6345801126686812</v>
      </c>
      <c r="E163" s="77">
        <v>120.866</v>
      </c>
      <c r="F163" s="77">
        <v>0.61685744016648503</v>
      </c>
      <c r="G163" s="77">
        <v>124.367</v>
      </c>
      <c r="H163" s="77">
        <v>0.483158141376272</v>
      </c>
      <c r="I163" s="77">
        <v>123.23</v>
      </c>
      <c r="J163" s="77">
        <v>0.77855378727162972</v>
      </c>
      <c r="K163" s="77">
        <v>126.247</v>
      </c>
      <c r="L163" s="77">
        <v>0.93138900881022391</v>
      </c>
      <c r="M163" s="244"/>
      <c r="N163" s="244"/>
      <c r="O163" s="244"/>
      <c r="P163" s="244"/>
      <c r="Q163" s="244"/>
      <c r="R163" s="244"/>
      <c r="S163" s="244"/>
      <c r="T163" s="244"/>
      <c r="U163" s="244"/>
      <c r="V163" s="244"/>
      <c r="AA163" s="244"/>
      <c r="AB163" s="244"/>
      <c r="AC163" s="244"/>
      <c r="AD163" s="244"/>
      <c r="AE163" s="244"/>
      <c r="AF163" s="244"/>
      <c r="AG163" s="244"/>
      <c r="AH163" s="244"/>
      <c r="AI163" s="244"/>
      <c r="AJ163" s="244"/>
    </row>
    <row r="164" spans="1:36">
      <c r="B164" s="64" t="s">
        <v>4</v>
      </c>
      <c r="C164" s="77">
        <v>123.035</v>
      </c>
      <c r="D164" s="77">
        <v>0.10740177212922308</v>
      </c>
      <c r="E164" s="77">
        <v>121.074</v>
      </c>
      <c r="F164" s="77">
        <v>0.17209140701273107</v>
      </c>
      <c r="G164" s="77">
        <v>124.33199999999999</v>
      </c>
      <c r="H164" s="77">
        <v>-2.8142513689333182E-2</v>
      </c>
      <c r="I164" s="77">
        <v>123.60299999999999</v>
      </c>
      <c r="J164" s="77">
        <v>0.30268603424490337</v>
      </c>
      <c r="K164" s="77">
        <v>126.3</v>
      </c>
      <c r="L164" s="77">
        <v>4.1981195592755149E-2</v>
      </c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</row>
    <row r="165" spans="1:36">
      <c r="B165" s="64" t="s">
        <v>5</v>
      </c>
      <c r="C165" s="272">
        <v>123.29949999999999</v>
      </c>
      <c r="D165" s="272">
        <f>(C165/C164-1)*100</f>
        <v>0.21497947738449152</v>
      </c>
      <c r="E165" s="77">
        <v>121.313</v>
      </c>
      <c r="F165" s="77">
        <v>0.19739993722847071</v>
      </c>
      <c r="G165" s="77">
        <v>124.61</v>
      </c>
      <c r="H165" s="77">
        <v>0.22359489109802233</v>
      </c>
      <c r="I165" s="77">
        <v>123.999</v>
      </c>
      <c r="J165" s="77">
        <v>0.32038057328704905</v>
      </c>
      <c r="K165" s="77">
        <v>126.505</v>
      </c>
      <c r="L165" s="77">
        <v>0.16231195566112078</v>
      </c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AA165" s="244"/>
      <c r="AB165" s="244"/>
      <c r="AC165" s="244"/>
      <c r="AD165" s="244"/>
      <c r="AE165" s="244"/>
      <c r="AF165" s="244"/>
      <c r="AG165" s="244"/>
      <c r="AH165" s="244"/>
      <c r="AI165" s="244"/>
      <c r="AJ165" s="244"/>
    </row>
    <row r="166" spans="1:36">
      <c r="B166" s="64" t="s">
        <v>6</v>
      </c>
      <c r="C166" s="272">
        <v>123.6</v>
      </c>
      <c r="D166" s="272">
        <f>(C166/C165-1)*100</f>
        <v>0.24371550574009415</v>
      </c>
      <c r="E166" s="77">
        <v>121.601</v>
      </c>
      <c r="F166" s="77">
        <v>0.23740242183443172</v>
      </c>
      <c r="G166" s="77">
        <v>124.946</v>
      </c>
      <c r="H166" s="77">
        <v>0.26964128079607352</v>
      </c>
      <c r="I166" s="77">
        <v>124.34099999999999</v>
      </c>
      <c r="J166" s="77">
        <v>0.27580867587642111</v>
      </c>
      <c r="K166" s="77">
        <v>126.724</v>
      </c>
      <c r="L166" s="77">
        <v>0.1731156871269901</v>
      </c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AA166" s="244"/>
      <c r="AB166" s="244"/>
      <c r="AC166" s="244"/>
      <c r="AD166" s="244"/>
      <c r="AE166" s="244"/>
      <c r="AF166" s="244"/>
      <c r="AG166" s="244"/>
      <c r="AH166" s="244"/>
      <c r="AI166" s="244"/>
      <c r="AJ166" s="244"/>
    </row>
    <row r="167" spans="1:36">
      <c r="B167" s="64" t="s">
        <v>7</v>
      </c>
      <c r="C167" s="77">
        <v>123.35599999999999</v>
      </c>
      <c r="D167" s="77">
        <v>-0.1974110032362475</v>
      </c>
      <c r="E167" s="77">
        <v>121.289</v>
      </c>
      <c r="F167" s="77">
        <v>-0.25657683736153292</v>
      </c>
      <c r="G167" s="77">
        <v>124.768</v>
      </c>
      <c r="H167" s="77">
        <v>-0.14246154338674044</v>
      </c>
      <c r="I167" s="77">
        <v>124.254</v>
      </c>
      <c r="J167" s="77">
        <v>-6.9968875913806183E-2</v>
      </c>
      <c r="K167" s="77">
        <v>126.41800000000001</v>
      </c>
      <c r="L167" s="77">
        <v>-0.24146965057920688</v>
      </c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AA167" s="244"/>
      <c r="AB167" s="244"/>
      <c r="AC167" s="244"/>
      <c r="AD167" s="244"/>
      <c r="AE167" s="244"/>
      <c r="AF167" s="244"/>
      <c r="AG167" s="244"/>
      <c r="AH167" s="244"/>
      <c r="AI167" s="244"/>
      <c r="AJ167" s="244"/>
    </row>
    <row r="168" spans="1:36">
      <c r="B168" s="64" t="s">
        <v>8</v>
      </c>
      <c r="C168" s="77">
        <v>123.627</v>
      </c>
      <c r="D168" s="77">
        <v>0.2196893543889189</v>
      </c>
      <c r="E168" s="77">
        <v>121.563</v>
      </c>
      <c r="F168" s="77">
        <v>0.22590671866369316</v>
      </c>
      <c r="G168" s="77">
        <v>125.001</v>
      </c>
      <c r="H168" s="77">
        <v>0.18674660169275548</v>
      </c>
      <c r="I168" s="77">
        <v>124.50700000000001</v>
      </c>
      <c r="J168" s="77">
        <v>0.20361517536657825</v>
      </c>
      <c r="K168" s="77">
        <v>126.801</v>
      </c>
      <c r="L168" s="77">
        <v>0.30296318562230695</v>
      </c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AA168" s="244"/>
      <c r="AB168" s="244"/>
      <c r="AC168" s="244"/>
      <c r="AD168" s="244"/>
      <c r="AE168" s="244"/>
      <c r="AF168" s="244"/>
      <c r="AG168" s="244"/>
      <c r="AH168" s="244"/>
      <c r="AI168" s="244"/>
      <c r="AJ168" s="244"/>
    </row>
    <row r="169" spans="1:36">
      <c r="B169" s="64" t="s">
        <v>9</v>
      </c>
      <c r="C169" s="77">
        <v>124.1884</v>
      </c>
      <c r="D169" s="77">
        <v>0.45410792140876399</v>
      </c>
      <c r="E169" s="77">
        <v>122.11839999999999</v>
      </c>
      <c r="F169" s="77">
        <v>0.45688243955808172</v>
      </c>
      <c r="G169" s="77">
        <v>125.5748</v>
      </c>
      <c r="H169" s="77">
        <v>0.4590363277093612</v>
      </c>
      <c r="I169" s="77">
        <v>124.92919999999999</v>
      </c>
      <c r="J169" s="77">
        <v>0.33909740014617107</v>
      </c>
      <c r="K169" s="77">
        <v>127.4794</v>
      </c>
      <c r="L169" s="77">
        <v>0.5350115535366351</v>
      </c>
      <c r="M169" s="244"/>
      <c r="N169" s="244"/>
      <c r="O169" s="244"/>
      <c r="P169" s="244"/>
      <c r="Q169" s="244"/>
      <c r="R169" s="244"/>
      <c r="S169" s="244"/>
      <c r="T169" s="244"/>
      <c r="U169" s="244"/>
      <c r="V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</row>
    <row r="170" spans="1:36">
      <c r="B170" s="64" t="s">
        <v>10</v>
      </c>
      <c r="C170" s="77">
        <v>124.8282</v>
      </c>
      <c r="D170" s="77">
        <v>0.51518499312335209</v>
      </c>
      <c r="E170" s="77">
        <v>122.6782</v>
      </c>
      <c r="F170" s="77">
        <v>0.45840757821917766</v>
      </c>
      <c r="G170" s="77">
        <v>126.3698</v>
      </c>
      <c r="H170" s="77">
        <v>0.6330888044416616</v>
      </c>
      <c r="I170" s="77">
        <v>125.39</v>
      </c>
      <c r="J170" s="77">
        <v>0.36884891602604331</v>
      </c>
      <c r="K170" s="77">
        <v>128.1841</v>
      </c>
      <c r="L170" s="77">
        <v>0.55279519671413979</v>
      </c>
      <c r="M170" s="244"/>
      <c r="N170" s="244"/>
      <c r="O170" s="244"/>
      <c r="P170" s="244"/>
      <c r="Q170" s="244"/>
      <c r="R170" s="244"/>
      <c r="S170" s="244"/>
      <c r="T170" s="244"/>
      <c r="U170" s="244"/>
      <c r="V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</row>
    <row r="171" spans="1:36">
      <c r="B171" s="64" t="s">
        <v>11</v>
      </c>
      <c r="C171" s="77">
        <v>125.36539999999999</v>
      </c>
      <c r="D171" s="77">
        <v>0.43035147506733651</v>
      </c>
      <c r="E171" s="77">
        <v>123.1994</v>
      </c>
      <c r="F171" s="77">
        <v>0.42485135908416627</v>
      </c>
      <c r="G171" s="77">
        <v>126.9248</v>
      </c>
      <c r="H171" s="77">
        <v>0.43918721086841916</v>
      </c>
      <c r="I171" s="77">
        <v>125.9902</v>
      </c>
      <c r="J171" s="77">
        <v>0.47866656033177524</v>
      </c>
      <c r="K171" s="77">
        <v>128.6764</v>
      </c>
      <c r="L171" s="77">
        <v>0.38405699302799245</v>
      </c>
      <c r="M171" s="244"/>
      <c r="N171" s="244"/>
      <c r="O171" s="244"/>
      <c r="P171" s="244"/>
      <c r="Q171" s="244"/>
      <c r="R171" s="244"/>
      <c r="S171" s="244"/>
      <c r="T171" s="244"/>
      <c r="U171" s="244"/>
      <c r="V171" s="244"/>
      <c r="AA171" s="244"/>
      <c r="AB171" s="244"/>
      <c r="AC171" s="244"/>
      <c r="AD171" s="244"/>
      <c r="AE171" s="244"/>
      <c r="AF171" s="244"/>
      <c r="AG171" s="244"/>
      <c r="AH171" s="244"/>
      <c r="AI171" s="244"/>
      <c r="AJ171" s="244"/>
    </row>
    <row r="172" spans="1:36">
      <c r="B172" s="64" t="s">
        <v>12</v>
      </c>
      <c r="C172" s="77">
        <v>125.63760000000001</v>
      </c>
      <c r="D172" s="77">
        <v>0.21712529932502722</v>
      </c>
      <c r="E172" s="77">
        <v>123.4922</v>
      </c>
      <c r="F172" s="77">
        <v>0.2376634951144263</v>
      </c>
      <c r="G172" s="77">
        <v>127.20099999999999</v>
      </c>
      <c r="H172" s="77">
        <v>0.21760916700281907</v>
      </c>
      <c r="I172" s="77">
        <v>126.2869</v>
      </c>
      <c r="J172" s="77">
        <v>0.23549450671560557</v>
      </c>
      <c r="K172" s="77">
        <v>128.8443</v>
      </c>
      <c r="L172" s="77">
        <v>0.13048235729318236</v>
      </c>
      <c r="M172" s="244"/>
      <c r="N172" s="244"/>
      <c r="O172" s="244"/>
      <c r="P172" s="244"/>
      <c r="Q172" s="244"/>
      <c r="R172" s="244"/>
      <c r="S172" s="244"/>
      <c r="T172" s="244"/>
      <c r="U172" s="244"/>
      <c r="V172" s="244"/>
      <c r="AA172" s="244"/>
      <c r="AB172" s="244"/>
      <c r="AC172" s="244"/>
      <c r="AD172" s="244"/>
      <c r="AE172" s="244"/>
      <c r="AF172" s="244"/>
      <c r="AG172" s="244"/>
      <c r="AH172" s="244"/>
      <c r="AI172" s="244"/>
      <c r="AJ172" s="244"/>
    </row>
    <row r="173" spans="1:36">
      <c r="B173" s="64" t="s">
        <v>13</v>
      </c>
      <c r="C173" s="77">
        <v>125.8094</v>
      </c>
      <c r="D173" s="77">
        <v>0.13674250383641784</v>
      </c>
      <c r="E173" s="77">
        <v>123.6339</v>
      </c>
      <c r="F173" s="77">
        <v>0.11474408910037148</v>
      </c>
      <c r="G173" s="77">
        <v>127.4036</v>
      </c>
      <c r="H173" s="77">
        <v>0.15927547739404968</v>
      </c>
      <c r="I173" s="77">
        <v>126.51430000000001</v>
      </c>
      <c r="J173" s="77">
        <v>0.18006618263652907</v>
      </c>
      <c r="K173" s="77">
        <v>128.9973</v>
      </c>
      <c r="L173" s="77">
        <v>0.11874797720969887</v>
      </c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AA173" s="244"/>
      <c r="AB173" s="244"/>
      <c r="AC173" s="244"/>
      <c r="AD173" s="244"/>
      <c r="AE173" s="244"/>
      <c r="AF173" s="244"/>
      <c r="AG173" s="244"/>
      <c r="AH173" s="244"/>
      <c r="AI173" s="244"/>
      <c r="AJ173" s="244"/>
    </row>
    <row r="174" spans="1:36">
      <c r="B174" s="64" t="s">
        <v>14</v>
      </c>
      <c r="C174" s="77">
        <v>126.4866</v>
      </c>
      <c r="D174" s="77">
        <v>0.53827456453969802</v>
      </c>
      <c r="E174" s="77">
        <v>124.36750000000001</v>
      </c>
      <c r="F174" s="77">
        <v>0.59336476484201928</v>
      </c>
      <c r="G174" s="77">
        <v>127.97490000000001</v>
      </c>
      <c r="H174" s="77">
        <v>0.44841747014998656</v>
      </c>
      <c r="I174" s="77">
        <v>127.08459999999999</v>
      </c>
      <c r="J174" s="77">
        <v>0.450779081890329</v>
      </c>
      <c r="K174" s="77">
        <v>129.83959999999999</v>
      </c>
      <c r="L174" s="77">
        <v>0.65295940302625421</v>
      </c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AA174" s="244"/>
      <c r="AB174" s="244"/>
      <c r="AC174" s="244"/>
      <c r="AD174" s="244"/>
      <c r="AE174" s="244"/>
      <c r="AF174" s="244"/>
      <c r="AG174" s="244"/>
      <c r="AH174" s="244"/>
      <c r="AI174" s="244"/>
      <c r="AJ174" s="244"/>
    </row>
    <row r="175" spans="1:36"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244"/>
      <c r="N175" s="244"/>
      <c r="O175" s="244"/>
      <c r="P175" s="244"/>
      <c r="Q175" s="244"/>
      <c r="R175" s="244"/>
      <c r="S175" s="244"/>
      <c r="T175" s="244"/>
      <c r="U175" s="244"/>
      <c r="V175" s="244"/>
    </row>
    <row r="176" spans="1:36">
      <c r="A176" s="95">
        <v>2024</v>
      </c>
      <c r="B176" s="64" t="s">
        <v>50</v>
      </c>
      <c r="C176" s="77">
        <v>126.9796</v>
      </c>
      <c r="D176" s="77">
        <v>0.38976460747621733</v>
      </c>
      <c r="E176" s="77">
        <v>124.90900000000001</v>
      </c>
      <c r="F176" s="77">
        <v>0.43540313988783552</v>
      </c>
      <c r="G176" s="77">
        <v>128.3424</v>
      </c>
      <c r="H176" s="77">
        <v>0.2871656863963068</v>
      </c>
      <c r="I176" s="77">
        <v>127.5819</v>
      </c>
      <c r="J176" s="77">
        <v>0.39131413247552871</v>
      </c>
      <c r="K176" s="77">
        <v>130.46520000000001</v>
      </c>
      <c r="L176" s="77">
        <v>0.48182526748390408</v>
      </c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AA176" s="244"/>
      <c r="AB176" s="244"/>
      <c r="AC176" s="244"/>
      <c r="AD176" s="244"/>
      <c r="AE176" s="244"/>
      <c r="AF176" s="244"/>
      <c r="AG176" s="244"/>
      <c r="AH176" s="244"/>
      <c r="AI176" s="244"/>
      <c r="AJ176" s="244"/>
    </row>
    <row r="177" spans="1:36">
      <c r="B177" s="64" t="s">
        <v>4</v>
      </c>
      <c r="C177" s="77">
        <v>127.0946</v>
      </c>
      <c r="D177" s="77">
        <v>9.0565728668212664E-2</v>
      </c>
      <c r="E177" s="77">
        <v>125.0342</v>
      </c>
      <c r="F177" s="77">
        <v>0.10023296960186556</v>
      </c>
      <c r="G177" s="77">
        <v>128.3801</v>
      </c>
      <c r="H177" s="77">
        <v>2.937454808387141E-2</v>
      </c>
      <c r="I177" s="77">
        <v>127.813</v>
      </c>
      <c r="J177" s="77">
        <v>0.18113854708230459</v>
      </c>
      <c r="K177" s="77">
        <v>130.6266</v>
      </c>
      <c r="L177" s="77">
        <v>0.12371115055966886</v>
      </c>
      <c r="M177" s="244"/>
      <c r="N177" s="244"/>
      <c r="O177" s="244"/>
      <c r="P177" s="244"/>
      <c r="Q177" s="244"/>
      <c r="R177" s="244"/>
      <c r="S177" s="244"/>
      <c r="T177" s="244"/>
      <c r="U177" s="244"/>
      <c r="V177" s="244"/>
      <c r="AA177" s="244"/>
      <c r="AB177" s="244"/>
      <c r="AC177" s="244"/>
      <c r="AD177" s="244"/>
      <c r="AE177" s="244"/>
      <c r="AF177" s="244"/>
      <c r="AG177" s="244"/>
      <c r="AH177" s="244"/>
      <c r="AI177" s="244"/>
      <c r="AJ177" s="244"/>
    </row>
    <row r="178" spans="1:36">
      <c r="B178" s="64" t="s">
        <v>5</v>
      </c>
      <c r="C178" s="77">
        <v>127.47280000000001</v>
      </c>
      <c r="D178" s="77">
        <v>0.29757361839135577</v>
      </c>
      <c r="E178" s="77">
        <v>125.4401</v>
      </c>
      <c r="F178" s="77">
        <v>0.32463118090890752</v>
      </c>
      <c r="G178" s="77">
        <v>128.6978</v>
      </c>
      <c r="H178" s="77">
        <v>0.24746826026775803</v>
      </c>
      <c r="I178" s="77">
        <v>128.11359999999999</v>
      </c>
      <c r="J178" s="77">
        <v>0.23518734401037911</v>
      </c>
      <c r="K178" s="77">
        <v>131.12889999999999</v>
      </c>
      <c r="L178" s="77">
        <v>0.38453117512051715</v>
      </c>
      <c r="M178" s="244"/>
      <c r="N178" s="244"/>
      <c r="O178" s="244"/>
      <c r="P178" s="244"/>
      <c r="Q178" s="244"/>
      <c r="R178" s="244"/>
      <c r="S178" s="244"/>
      <c r="T178" s="244"/>
      <c r="U178" s="244"/>
      <c r="V178" s="244"/>
      <c r="AA178" s="244"/>
      <c r="AB178" s="244"/>
      <c r="AC178" s="244"/>
      <c r="AD178" s="244"/>
      <c r="AE178" s="244"/>
      <c r="AF178" s="244"/>
      <c r="AG178" s="244"/>
      <c r="AH178" s="244"/>
      <c r="AI178" s="244"/>
      <c r="AJ178" s="244"/>
    </row>
    <row r="179" spans="1:36">
      <c r="B179" s="64" t="s">
        <v>6</v>
      </c>
      <c r="C179" s="77">
        <v>127.34780000000001</v>
      </c>
      <c r="D179" s="77">
        <v>-9.8060135181776698E-2</v>
      </c>
      <c r="E179" s="77">
        <v>125.2659</v>
      </c>
      <c r="F179" s="77">
        <v>-0.13887106276222472</v>
      </c>
      <c r="G179" s="77">
        <v>128.5565</v>
      </c>
      <c r="H179" s="77">
        <v>-0.10979208657801998</v>
      </c>
      <c r="I179" s="77">
        <v>128.13650000000001</v>
      </c>
      <c r="J179" s="77">
        <v>1.7874761149494489E-2</v>
      </c>
      <c r="K179" s="77">
        <v>131.08519999999999</v>
      </c>
      <c r="L179" s="77">
        <v>-3.3325986872456692E-2</v>
      </c>
      <c r="M179" s="244"/>
      <c r="N179" s="244"/>
      <c r="O179" s="244"/>
      <c r="P179" s="244"/>
      <c r="Q179" s="244"/>
      <c r="R179" s="244"/>
      <c r="S179" s="244"/>
      <c r="T179" s="244"/>
      <c r="U179" s="244"/>
      <c r="V179" s="244"/>
      <c r="AA179" s="244"/>
      <c r="AB179" s="244"/>
      <c r="AC179" s="244"/>
      <c r="AD179" s="244"/>
      <c r="AE179" s="244"/>
      <c r="AF179" s="244"/>
      <c r="AG179" s="244"/>
      <c r="AH179" s="244"/>
      <c r="AI179" s="244"/>
      <c r="AJ179" s="244"/>
    </row>
    <row r="180" spans="1:36">
      <c r="B180" s="64" t="s">
        <v>7</v>
      </c>
      <c r="C180" s="77">
        <v>127.2987</v>
      </c>
      <c r="D180" s="77">
        <v>-3.8555828997444141E-2</v>
      </c>
      <c r="E180" s="77">
        <v>125.2458</v>
      </c>
      <c r="F180" s="77">
        <v>-1.6045867231229138E-2</v>
      </c>
      <c r="G180" s="77">
        <v>128.46729999999999</v>
      </c>
      <c r="H180" s="77">
        <v>-6.9385834244095612E-2</v>
      </c>
      <c r="I180" s="77">
        <v>128.10509999999999</v>
      </c>
      <c r="J180" s="77">
        <v>-2.4505117589457281E-2</v>
      </c>
      <c r="K180" s="77">
        <v>131.0197</v>
      </c>
      <c r="L180" s="77">
        <v>-4.9967502052095103E-2</v>
      </c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AA180" s="244"/>
      <c r="AB180" s="244"/>
      <c r="AC180" s="244"/>
      <c r="AD180" s="244"/>
      <c r="AE180" s="244"/>
      <c r="AF180" s="244"/>
      <c r="AG180" s="244"/>
      <c r="AH180" s="244"/>
      <c r="AI180" s="244"/>
      <c r="AJ180" s="244"/>
    </row>
    <row r="181" spans="1:36">
      <c r="B181" s="64" t="s">
        <v>8</v>
      </c>
      <c r="C181" s="77">
        <v>127.9079</v>
      </c>
      <c r="D181" s="77">
        <v>0.47855948253987535</v>
      </c>
      <c r="E181" s="77">
        <v>125.8655</v>
      </c>
      <c r="F181" s="77">
        <v>0.49478705074341711</v>
      </c>
      <c r="G181" s="77">
        <v>129.02090000000001</v>
      </c>
      <c r="H181" s="77">
        <v>0.43092678058931355</v>
      </c>
      <c r="I181" s="77">
        <v>128.6874</v>
      </c>
      <c r="J181" s="77">
        <v>0.45454864794609584</v>
      </c>
      <c r="K181" s="77">
        <v>131.75909999999999</v>
      </c>
      <c r="L181" s="77">
        <v>0.56434261412596776</v>
      </c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AA181" s="244"/>
      <c r="AB181" s="244"/>
      <c r="AC181" s="244"/>
      <c r="AD181" s="244"/>
      <c r="AE181" s="244"/>
      <c r="AF181" s="244"/>
      <c r="AG181" s="244"/>
      <c r="AH181" s="244"/>
      <c r="AI181" s="244"/>
      <c r="AJ181" s="244"/>
    </row>
    <row r="182" spans="1:36">
      <c r="B182" s="64" t="s">
        <v>9</v>
      </c>
      <c r="C182" s="77">
        <v>128.5831</v>
      </c>
      <c r="D182" s="77">
        <v>0.52787982603108574</v>
      </c>
      <c r="E182" s="77">
        <v>126.36960000000001</v>
      </c>
      <c r="F182" s="77">
        <v>0.40050689029162978</v>
      </c>
      <c r="G182" s="77">
        <v>129.7944</v>
      </c>
      <c r="H182" s="77">
        <v>0.59951527233184088</v>
      </c>
      <c r="I182" s="77">
        <v>129.44730000000001</v>
      </c>
      <c r="J182" s="77">
        <v>0.5905007017004138</v>
      </c>
      <c r="K182" s="77">
        <v>132.7236</v>
      </c>
      <c r="L182" s="77">
        <v>0.7320177505766301</v>
      </c>
      <c r="M182" s="244"/>
      <c r="N182" s="244"/>
      <c r="O182" s="244"/>
      <c r="P182" s="244"/>
      <c r="Q182" s="244"/>
      <c r="R182" s="244"/>
      <c r="S182" s="244"/>
      <c r="T182" s="244"/>
      <c r="U182" s="244"/>
      <c r="V182" s="244"/>
      <c r="AA182" s="244"/>
      <c r="AB182" s="244"/>
      <c r="AC182" s="244"/>
      <c r="AD182" s="244"/>
      <c r="AE182" s="244"/>
      <c r="AF182" s="244"/>
      <c r="AG182" s="244"/>
      <c r="AH182" s="244"/>
      <c r="AI182" s="244"/>
      <c r="AJ182" s="244"/>
    </row>
    <row r="183" spans="1:36">
      <c r="B183" s="64" t="s">
        <v>10</v>
      </c>
      <c r="C183" s="77">
        <v>129.10210000000001</v>
      </c>
      <c r="D183" s="77">
        <v>0.40363002602985532</v>
      </c>
      <c r="E183" s="77">
        <v>126.8081</v>
      </c>
      <c r="F183" s="77">
        <v>0.34699801218014414</v>
      </c>
      <c r="G183" s="77">
        <v>130.47329999999999</v>
      </c>
      <c r="H183" s="77">
        <v>0.52305800558420934</v>
      </c>
      <c r="I183" s="77">
        <v>129.87710000000001</v>
      </c>
      <c r="J183" s="77">
        <v>0.33202701021959324</v>
      </c>
      <c r="K183" s="77">
        <v>133.2183</v>
      </c>
      <c r="L183" s="77">
        <v>0.37272949196676119</v>
      </c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AA183" s="244"/>
      <c r="AB183" s="244"/>
      <c r="AC183" s="244"/>
      <c r="AD183" s="244"/>
      <c r="AE183" s="244"/>
      <c r="AF183" s="244"/>
      <c r="AG183" s="244"/>
      <c r="AH183" s="244"/>
      <c r="AI183" s="244"/>
      <c r="AJ183" s="244"/>
    </row>
    <row r="184" spans="1:36">
      <c r="B184" s="64" t="s">
        <v>11</v>
      </c>
      <c r="C184" s="77">
        <v>129.4854</v>
      </c>
      <c r="D184" s="77">
        <v>0.29689679718609696</v>
      </c>
      <c r="E184" s="77">
        <v>127.2076</v>
      </c>
      <c r="F184" s="77">
        <v>0.3150429664982024</v>
      </c>
      <c r="G184" s="77">
        <v>130.80719999999999</v>
      </c>
      <c r="H184" s="77">
        <v>0.25591442846928381</v>
      </c>
      <c r="I184" s="77">
        <v>130.2242</v>
      </c>
      <c r="J184" s="77">
        <v>0.26725265654992114</v>
      </c>
      <c r="K184" s="77">
        <v>133.7021</v>
      </c>
      <c r="L184" s="77">
        <v>0.36316331915360323</v>
      </c>
      <c r="M184" s="244"/>
      <c r="N184" s="244"/>
      <c r="O184" s="244"/>
      <c r="P184" s="244"/>
      <c r="Q184" s="244"/>
      <c r="R184" s="244"/>
      <c r="S184" s="244"/>
      <c r="T184" s="244"/>
      <c r="U184" s="244"/>
      <c r="V184" s="244"/>
      <c r="AA184" s="244"/>
      <c r="AB184" s="244"/>
      <c r="AC184" s="244"/>
      <c r="AD184" s="244"/>
      <c r="AE184" s="244"/>
      <c r="AF184" s="244"/>
      <c r="AG184" s="244"/>
      <c r="AH184" s="244"/>
      <c r="AI184" s="244"/>
      <c r="AJ184" s="244"/>
    </row>
    <row r="185" spans="1:36">
      <c r="B185" s="64" t="s">
        <v>12</v>
      </c>
      <c r="C185" s="77">
        <v>129.60560000000001</v>
      </c>
      <c r="D185" s="77">
        <v>9.2828998481686575E-2</v>
      </c>
      <c r="E185" s="77">
        <v>127.43210000000001</v>
      </c>
      <c r="F185" s="77">
        <v>0.1764831661001498</v>
      </c>
      <c r="G185" s="77">
        <v>130.8503</v>
      </c>
      <c r="H185" s="77">
        <v>3.2949256615855127E-2</v>
      </c>
      <c r="I185" s="77">
        <v>130.2568</v>
      </c>
      <c r="J185" s="77">
        <v>2.5033749487413104E-2</v>
      </c>
      <c r="K185" s="77">
        <v>133.7217</v>
      </c>
      <c r="L185" s="77">
        <v>1.4659455610632754E-2</v>
      </c>
      <c r="M185" s="244"/>
      <c r="N185" s="244"/>
      <c r="O185" s="244"/>
      <c r="P185" s="244"/>
      <c r="Q185" s="244"/>
      <c r="R185" s="244"/>
      <c r="S185" s="244"/>
      <c r="T185" s="244"/>
      <c r="U185" s="244"/>
      <c r="V185" s="244"/>
      <c r="AA185" s="244"/>
      <c r="AB185" s="244"/>
      <c r="AC185" s="244"/>
      <c r="AD185" s="244"/>
      <c r="AE185" s="244"/>
      <c r="AF185" s="244"/>
      <c r="AG185" s="244"/>
      <c r="AH185" s="244"/>
      <c r="AI185" s="244"/>
      <c r="AJ185" s="244"/>
    </row>
    <row r="186" spans="1:36">
      <c r="B186" s="64" t="s">
        <v>13</v>
      </c>
      <c r="C186" s="77">
        <v>129.8098</v>
      </c>
      <c r="D186" s="77">
        <v>0.15755492046638508</v>
      </c>
      <c r="E186" s="77">
        <v>127.639</v>
      </c>
      <c r="F186" s="77">
        <v>0.16236097498196767</v>
      </c>
      <c r="G186" s="77">
        <v>131.1523</v>
      </c>
      <c r="H186" s="77">
        <v>0.23079809522790207</v>
      </c>
      <c r="I186" s="77">
        <v>130.33680000000001</v>
      </c>
      <c r="J186" s="77">
        <v>6.1417139066843873E-2</v>
      </c>
      <c r="K186" s="77">
        <v>133.78899999999999</v>
      </c>
      <c r="L186" s="77">
        <v>5.0328405935595733E-2</v>
      </c>
      <c r="M186" s="244"/>
      <c r="N186" s="244"/>
      <c r="O186" s="244"/>
      <c r="P186" s="244"/>
      <c r="Q186" s="244"/>
      <c r="R186" s="244"/>
      <c r="S186" s="244"/>
      <c r="T186" s="244"/>
      <c r="U186" s="244"/>
      <c r="V186" s="244"/>
      <c r="AA186" s="244"/>
      <c r="AB186" s="244"/>
      <c r="AC186" s="244"/>
      <c r="AD186" s="244"/>
      <c r="AE186" s="244"/>
      <c r="AF186" s="244"/>
      <c r="AG186" s="244"/>
      <c r="AH186" s="244"/>
      <c r="AI186" s="244"/>
      <c r="AJ186" s="244"/>
    </row>
    <row r="187" spans="1:36">
      <c r="B187" s="64" t="s">
        <v>14</v>
      </c>
      <c r="C187" s="77">
        <v>130.72200000000001</v>
      </c>
      <c r="D187" s="77">
        <v>0.70272044175401227</v>
      </c>
      <c r="E187" s="77">
        <v>128.5866</v>
      </c>
      <c r="F187" s="77">
        <v>0.74240631781823385</v>
      </c>
      <c r="G187" s="77">
        <v>132.04990000000001</v>
      </c>
      <c r="H187" s="77">
        <v>0.68439516501046516</v>
      </c>
      <c r="I187" s="77">
        <v>131.18559999999999</v>
      </c>
      <c r="J187" s="77">
        <v>0.65123587505599989</v>
      </c>
      <c r="K187" s="77">
        <v>134.67009999999999</v>
      </c>
      <c r="L187" s="77">
        <v>0.65857432225369106</v>
      </c>
      <c r="M187" s="244"/>
      <c r="N187" s="244"/>
      <c r="O187" s="244"/>
      <c r="P187" s="244"/>
      <c r="Q187" s="244"/>
      <c r="R187" s="244"/>
      <c r="S187" s="244"/>
      <c r="T187" s="244"/>
      <c r="U187" s="244"/>
      <c r="V187" s="244"/>
      <c r="AA187" s="244"/>
      <c r="AB187" s="244"/>
      <c r="AC187" s="244"/>
      <c r="AD187" s="244"/>
      <c r="AE187" s="244"/>
      <c r="AF187" s="244"/>
      <c r="AG187" s="244"/>
      <c r="AH187" s="244"/>
      <c r="AI187" s="244"/>
      <c r="AJ187" s="244"/>
    </row>
    <row r="188" spans="1:36"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AA188" s="244"/>
      <c r="AB188" s="244"/>
      <c r="AC188" s="244"/>
      <c r="AD188" s="244"/>
      <c r="AE188" s="244"/>
      <c r="AF188" s="244"/>
      <c r="AG188" s="244"/>
      <c r="AH188" s="244"/>
      <c r="AI188" s="244"/>
      <c r="AJ188" s="244"/>
    </row>
    <row r="189" spans="1:36">
      <c r="A189" s="95">
        <v>2025</v>
      </c>
      <c r="B189" s="64" t="s">
        <v>50</v>
      </c>
      <c r="C189" s="77">
        <v>131.2004</v>
      </c>
      <c r="D189" s="77">
        <v>0.36596747295787324</v>
      </c>
      <c r="E189" s="77">
        <v>128.9186</v>
      </c>
      <c r="F189" s="77">
        <v>0.2581917555950497</v>
      </c>
      <c r="G189" s="77">
        <v>132.6901</v>
      </c>
      <c r="H189" s="77">
        <v>0.48481672458668967</v>
      </c>
      <c r="I189" s="77">
        <v>131.6832</v>
      </c>
      <c r="J189" s="77">
        <v>0.37930992425998511</v>
      </c>
      <c r="K189" s="77">
        <v>135.24539999999999</v>
      </c>
      <c r="L189" s="77">
        <v>0.42719207901382727</v>
      </c>
      <c r="M189" s="244"/>
      <c r="N189" s="244"/>
      <c r="O189" s="244"/>
      <c r="P189" s="244"/>
      <c r="Q189" s="244"/>
      <c r="R189" s="244"/>
      <c r="S189" s="244"/>
      <c r="T189" s="244"/>
      <c r="U189" s="244"/>
      <c r="V189" s="244"/>
      <c r="AA189" s="244"/>
      <c r="AB189" s="244"/>
      <c r="AC189" s="244"/>
      <c r="AD189" s="244"/>
      <c r="AE189" s="244"/>
      <c r="AF189" s="244"/>
      <c r="AG189" s="244"/>
      <c r="AH189" s="244"/>
      <c r="AI189" s="244"/>
      <c r="AJ189" s="244"/>
    </row>
    <row r="190" spans="1:36">
      <c r="B190" s="64" t="s">
        <v>4</v>
      </c>
      <c r="C190" s="77">
        <v>131.62440000000001</v>
      </c>
      <c r="D190" s="77">
        <v>0.32316974643371577</v>
      </c>
      <c r="E190" s="77">
        <v>129.42439999999999</v>
      </c>
      <c r="F190" s="77">
        <v>0.39234059321151538</v>
      </c>
      <c r="G190" s="77">
        <v>133.03559999999999</v>
      </c>
      <c r="H190" s="77">
        <v>0.26038114373263532</v>
      </c>
      <c r="I190" s="77">
        <v>132.1679</v>
      </c>
      <c r="J190" s="77">
        <v>0.36808036256712473</v>
      </c>
      <c r="K190" s="77">
        <v>135.51560000000001</v>
      </c>
      <c r="L190" s="77">
        <v>0.19978498344492834</v>
      </c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AA190" s="244"/>
      <c r="AB190" s="244"/>
      <c r="AC190" s="244"/>
      <c r="AD190" s="244"/>
      <c r="AE190" s="244"/>
      <c r="AF190" s="244"/>
      <c r="AG190" s="244"/>
      <c r="AH190" s="244"/>
      <c r="AI190" s="244"/>
      <c r="AJ190" s="244"/>
    </row>
    <row r="191" spans="1:36">
      <c r="B191" s="64" t="s">
        <v>5</v>
      </c>
      <c r="C191" s="77">
        <v>132.03729999999999</v>
      </c>
      <c r="D191" s="77">
        <v>0.31369563697913883</v>
      </c>
      <c r="E191" s="77">
        <v>129.8836</v>
      </c>
      <c r="F191" s="77">
        <v>0.35480172208641747</v>
      </c>
      <c r="G191" s="77">
        <v>133.36609999999999</v>
      </c>
      <c r="H191" s="77">
        <v>0.24842974361749537</v>
      </c>
      <c r="I191" s="77">
        <v>132.61879999999999</v>
      </c>
      <c r="J191" s="77">
        <v>0.34115696776599869</v>
      </c>
      <c r="K191" s="77">
        <v>135.93369999999999</v>
      </c>
      <c r="L191" s="77">
        <v>0.30852536534538011</v>
      </c>
      <c r="M191" s="244"/>
      <c r="N191" s="244"/>
      <c r="O191" s="244"/>
      <c r="P191" s="244"/>
      <c r="Q191" s="244"/>
      <c r="R191" s="244"/>
      <c r="S191" s="244"/>
      <c r="T191" s="244"/>
      <c r="U191" s="244"/>
      <c r="V191" s="244"/>
      <c r="AA191" s="244"/>
      <c r="AB191" s="244"/>
      <c r="AC191" s="244"/>
      <c r="AD191" s="244"/>
      <c r="AE191" s="244"/>
      <c r="AF191" s="244"/>
      <c r="AG191" s="244"/>
      <c r="AH191" s="244"/>
      <c r="AI191" s="244"/>
      <c r="AJ191" s="244"/>
    </row>
    <row r="192" spans="1:36">
      <c r="B192" s="64" t="s">
        <v>6</v>
      </c>
      <c r="C192" s="77">
        <v>132.07040000000001</v>
      </c>
      <c r="D192" s="77">
        <v>2.506867377629618E-2</v>
      </c>
      <c r="E192" s="77">
        <v>129.7722</v>
      </c>
      <c r="F192" s="77">
        <v>-8.5769104028532439E-2</v>
      </c>
      <c r="G192" s="77">
        <v>133.53309999999999</v>
      </c>
      <c r="H192" s="77">
        <v>0.12521922737487312</v>
      </c>
      <c r="I192" s="77">
        <v>132.99090000000001</v>
      </c>
      <c r="J192" s="77">
        <v>0.28057862082904172</v>
      </c>
      <c r="K192" s="77">
        <v>135.83770000000001</v>
      </c>
      <c r="L192" s="77">
        <v>-7.0622663842723199E-2</v>
      </c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AA192" s="244"/>
      <c r="AB192" s="244"/>
      <c r="AC192" s="244"/>
      <c r="AD192" s="244"/>
      <c r="AE192" s="244"/>
      <c r="AF192" s="244"/>
      <c r="AG192" s="244"/>
      <c r="AH192" s="244"/>
      <c r="AI192" s="244"/>
      <c r="AJ192" s="244"/>
    </row>
    <row r="193" spans="1:36">
      <c r="B193" s="64" t="s">
        <v>7</v>
      </c>
      <c r="C193" s="77">
        <v>132.1823</v>
      </c>
      <c r="D193" s="77">
        <v>8.4727539251794326E-2</v>
      </c>
      <c r="E193" s="77">
        <v>129.86859999999999</v>
      </c>
      <c r="F193" s="77">
        <v>7.4284014604053539E-2</v>
      </c>
      <c r="G193" s="77">
        <v>133.5933</v>
      </c>
      <c r="H193" s="77">
        <v>4.5082455211487016E-2</v>
      </c>
      <c r="I193" s="77">
        <v>133.34829999999999</v>
      </c>
      <c r="J193" s="77">
        <v>0.26874019199809585</v>
      </c>
      <c r="K193" s="77">
        <v>135.911</v>
      </c>
      <c r="L193" s="77">
        <v>5.396145547222897E-2</v>
      </c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AA193" s="244"/>
      <c r="AB193" s="244"/>
      <c r="AC193" s="244"/>
      <c r="AD193" s="244"/>
      <c r="AE193" s="244"/>
      <c r="AF193" s="244"/>
      <c r="AG193" s="244"/>
      <c r="AH193" s="244"/>
      <c r="AI193" s="244"/>
      <c r="AJ193" s="244"/>
    </row>
    <row r="194" spans="1:36">
      <c r="B194" s="64" t="s">
        <v>8</v>
      </c>
      <c r="C194" s="77">
        <v>132.45519999999999</v>
      </c>
      <c r="D194" s="77">
        <v>0.20645729420656345</v>
      </c>
      <c r="E194" s="77">
        <v>130.14760000000001</v>
      </c>
      <c r="F194" s="77">
        <v>0.21483253072722697</v>
      </c>
      <c r="G194" s="77">
        <v>133.78450000000001</v>
      </c>
      <c r="H194" s="77">
        <v>0.14312094992787738</v>
      </c>
      <c r="I194" s="77">
        <v>133.62970000000001</v>
      </c>
      <c r="J194" s="77">
        <v>0.21102631229645841</v>
      </c>
      <c r="K194" s="77">
        <v>136.35919999999999</v>
      </c>
      <c r="L194" s="77">
        <v>0.32977463192822576</v>
      </c>
      <c r="M194" s="244"/>
      <c r="N194" s="244"/>
      <c r="O194" s="244"/>
      <c r="P194" s="244"/>
      <c r="Q194" s="244"/>
      <c r="R194" s="244"/>
      <c r="S194" s="244"/>
      <c r="T194" s="244"/>
      <c r="U194" s="244"/>
      <c r="V194" s="244"/>
      <c r="AA194" s="244"/>
      <c r="AB194" s="244"/>
      <c r="AC194" s="244"/>
      <c r="AD194" s="244"/>
      <c r="AE194" s="244"/>
      <c r="AF194" s="244"/>
      <c r="AG194" s="244"/>
      <c r="AH194" s="244"/>
      <c r="AI194" s="244"/>
      <c r="AJ194" s="244"/>
    </row>
    <row r="195" spans="1:36">
      <c r="B195" s="64" t="s">
        <v>9</v>
      </c>
      <c r="C195" s="77">
        <v>132.95480000000001</v>
      </c>
      <c r="D195" s="77">
        <v>0.37718413471121703</v>
      </c>
      <c r="E195" s="77">
        <v>130.55529999999999</v>
      </c>
      <c r="F195" s="77">
        <v>0.31325971435507416</v>
      </c>
      <c r="G195" s="77">
        <v>134.3398</v>
      </c>
      <c r="H195" s="77">
        <v>0.41507050517810562</v>
      </c>
      <c r="I195" s="77">
        <v>134.18170000000001</v>
      </c>
      <c r="J195" s="77">
        <v>0.41308182237929092</v>
      </c>
      <c r="K195" s="77">
        <v>136.9999</v>
      </c>
      <c r="L195" s="77">
        <v>0.46986195284219878</v>
      </c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AA195" s="244"/>
      <c r="AB195" s="244"/>
      <c r="AC195" s="244"/>
      <c r="AD195" s="244"/>
      <c r="AE195" s="244"/>
      <c r="AF195" s="244"/>
      <c r="AG195" s="244"/>
      <c r="AH195" s="244"/>
      <c r="AI195" s="244"/>
      <c r="AJ195" s="244"/>
    </row>
    <row r="196" spans="1:36">
      <c r="B196" s="64" t="s">
        <v>10</v>
      </c>
      <c r="C196" s="77">
        <v>133.8965</v>
      </c>
      <c r="D196" s="77">
        <v>0.70828582345277002</v>
      </c>
      <c r="E196" s="77">
        <v>131.42699999999999</v>
      </c>
      <c r="F196" s="77">
        <v>0.66768641334362666</v>
      </c>
      <c r="G196" s="77">
        <v>135.47130000000001</v>
      </c>
      <c r="H196" s="77">
        <v>0.84226714644506373</v>
      </c>
      <c r="I196" s="77">
        <v>134.98849999999999</v>
      </c>
      <c r="J196" s="77">
        <v>0.60127424231470883</v>
      </c>
      <c r="K196" s="77">
        <v>137.84639999999999</v>
      </c>
      <c r="L196" s="77">
        <v>0.61788366268880068</v>
      </c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</row>
    <row r="197" spans="1:36">
      <c r="B197" s="64" t="s">
        <v>11</v>
      </c>
      <c r="C197" s="77">
        <v>134.34829999999999</v>
      </c>
      <c r="D197" s="77">
        <v>0.33742480199256963</v>
      </c>
      <c r="E197" s="77">
        <v>131.80950000000001</v>
      </c>
      <c r="F197" s="77">
        <v>0.29103608847498297</v>
      </c>
      <c r="G197" s="77">
        <v>136.06720000000001</v>
      </c>
      <c r="H197" s="77">
        <v>0.43987176619697532</v>
      </c>
      <c r="I197" s="77">
        <v>135.42160000000001</v>
      </c>
      <c r="J197" s="77">
        <v>0.32084214581244996</v>
      </c>
      <c r="K197" s="77">
        <v>138.20429999999999</v>
      </c>
      <c r="L197" s="77">
        <v>0.25963681314855602</v>
      </c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AA197" s="244"/>
      <c r="AB197" s="244"/>
      <c r="AC197" s="244"/>
      <c r="AD197" s="244"/>
      <c r="AE197" s="244"/>
      <c r="AF197" s="244"/>
      <c r="AG197" s="244"/>
      <c r="AH197" s="244"/>
      <c r="AI197" s="244"/>
      <c r="AJ197" s="244"/>
    </row>
    <row r="198" spans="1:36">
      <c r="B198" s="64" t="s">
        <v>12</v>
      </c>
      <c r="C198" s="77">
        <v>135.0898</v>
      </c>
      <c r="D198" s="77">
        <v>0.5519236194280186</v>
      </c>
      <c r="E198" s="77">
        <v>132.6019</v>
      </c>
      <c r="F198" s="77">
        <v>0.60117062882416583</v>
      </c>
      <c r="G198" s="77">
        <v>136.7664</v>
      </c>
      <c r="H198" s="77">
        <v>0.51386373791773021</v>
      </c>
      <c r="I198" s="77">
        <v>136.06639999999999</v>
      </c>
      <c r="J198" s="77">
        <v>0.47614265375683917</v>
      </c>
      <c r="K198" s="77">
        <v>138.959</v>
      </c>
      <c r="L198" s="77">
        <v>0.54607562861648251</v>
      </c>
      <c r="M198" s="244"/>
      <c r="N198" s="244"/>
      <c r="O198" s="244"/>
      <c r="P198" s="244"/>
      <c r="Q198" s="244"/>
      <c r="R198" s="244"/>
      <c r="S198" s="244"/>
      <c r="T198" s="244"/>
      <c r="U198" s="244"/>
      <c r="V198" s="244"/>
      <c r="AA198" s="244"/>
      <c r="AB198" s="244"/>
      <c r="AC198" s="244"/>
      <c r="AD198" s="244"/>
      <c r="AE198" s="244"/>
      <c r="AF198" s="244"/>
      <c r="AG198" s="244"/>
      <c r="AH198" s="244"/>
      <c r="AI198" s="244"/>
      <c r="AJ198" s="244"/>
    </row>
    <row r="199" spans="1:36">
      <c r="B199" s="64" t="s">
        <v>13</v>
      </c>
      <c r="C199" s="77">
        <v>136.05510000000001</v>
      </c>
      <c r="D199" s="77">
        <v>0.71456172116621808</v>
      </c>
      <c r="E199" s="77">
        <v>133.5548</v>
      </c>
      <c r="F199" s="77">
        <v>0.71861715405283633</v>
      </c>
      <c r="G199" s="77">
        <v>137.72999999999999</v>
      </c>
      <c r="H199" s="77">
        <v>0.70455901449477665</v>
      </c>
      <c r="I199" s="77">
        <v>136.97470000000001</v>
      </c>
      <c r="J199" s="77">
        <v>0.66754172962615321</v>
      </c>
      <c r="K199" s="77">
        <v>140.02610000000001</v>
      </c>
      <c r="L199" s="77">
        <v>0.76792435178723029</v>
      </c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AA199" s="244"/>
      <c r="AB199" s="244"/>
      <c r="AC199" s="244"/>
      <c r="AD199" s="244"/>
      <c r="AE199" s="244"/>
      <c r="AF199" s="244"/>
      <c r="AG199" s="244"/>
      <c r="AH199" s="244"/>
      <c r="AI199" s="244"/>
      <c r="AJ199" s="244"/>
    </row>
    <row r="200" spans="1:36">
      <c r="B200" s="64" t="s">
        <v>14</v>
      </c>
      <c r="C200" s="77">
        <v>137.19550000000001</v>
      </c>
      <c r="D200" s="77">
        <v>0.83818982162373601</v>
      </c>
      <c r="E200" s="77">
        <v>134.62049999999999</v>
      </c>
      <c r="F200" s="77">
        <v>0.79794960570491735</v>
      </c>
      <c r="G200" s="77">
        <v>138.9247</v>
      </c>
      <c r="H200" s="77">
        <v>0.86742176722574005</v>
      </c>
      <c r="I200" s="77">
        <v>137.8963</v>
      </c>
      <c r="J200" s="77">
        <v>0.67282498154768167</v>
      </c>
      <c r="K200" s="77">
        <v>141.5016</v>
      </c>
      <c r="L200" s="77">
        <v>1.0537321256536947</v>
      </c>
      <c r="M200" s="244"/>
      <c r="N200" s="244"/>
      <c r="O200" s="244"/>
      <c r="P200" s="244"/>
      <c r="Q200" s="244"/>
      <c r="R200" s="244"/>
      <c r="S200" s="244"/>
      <c r="T200" s="244"/>
      <c r="U200" s="244"/>
      <c r="V200" s="244"/>
      <c r="AA200" s="244"/>
      <c r="AB200" s="244"/>
      <c r="AC200" s="244"/>
      <c r="AD200" s="244"/>
      <c r="AE200" s="244"/>
      <c r="AF200" s="244"/>
      <c r="AG200" s="244"/>
      <c r="AH200" s="244"/>
      <c r="AI200" s="244"/>
      <c r="AJ200" s="244"/>
    </row>
    <row r="201" spans="1:36" ht="4.5" customHeight="1">
      <c r="A201" s="96"/>
      <c r="B201" s="93"/>
      <c r="C201" s="94"/>
      <c r="D201" s="58"/>
      <c r="E201" s="58"/>
      <c r="F201" s="58"/>
      <c r="G201" s="58"/>
      <c r="H201" s="58"/>
      <c r="I201" s="58"/>
      <c r="J201" s="58"/>
      <c r="K201" s="58"/>
      <c r="L201" s="58"/>
    </row>
    <row r="202" spans="1:36">
      <c r="A202" s="223" t="s">
        <v>310</v>
      </c>
    </row>
    <row r="203" spans="1:36">
      <c r="A203" s="220" t="s">
        <v>308</v>
      </c>
    </row>
  </sheetData>
  <mergeCells count="9">
    <mergeCell ref="A1:L1"/>
    <mergeCell ref="A2:L2"/>
    <mergeCell ref="A3:L3"/>
    <mergeCell ref="C5:D5"/>
    <mergeCell ref="E5:F5"/>
    <mergeCell ref="G5:H5"/>
    <mergeCell ref="I5:J5"/>
    <mergeCell ref="K5:L5"/>
    <mergeCell ref="A5:B6"/>
  </mergeCells>
  <printOptions horizontalCentered="1"/>
  <pageMargins left="0.20866141699999999" right="0.20866141699999999" top="0.74803149606299202" bottom="0.74803149606299202" header="0.31496062992126" footer="0.31496062992126"/>
  <pageSetup scale="49" fitToHeight="2" orientation="portrait" r:id="rId1"/>
  <rowBreaks count="2" manualBreakCount="2">
    <brk id="58" max="11" man="1"/>
    <brk id="110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V355"/>
  <sheetViews>
    <sheetView showGridLines="0" view="pageBreakPreview" zoomScaleNormal="100" zoomScaleSheetLayoutView="100" workbookViewId="0">
      <pane ySplit="6" topLeftCell="A293" activePane="bottomLeft" state="frozen"/>
      <selection activeCell="B31" sqref="B31"/>
      <selection pane="bottomLeft" activeCell="A2" sqref="A2:K2"/>
    </sheetView>
  </sheetViews>
  <sheetFormatPr defaultRowHeight="14.25"/>
  <cols>
    <col min="1" max="1" width="8.42578125" style="97" customWidth="1"/>
    <col min="2" max="2" width="13.140625" style="97" customWidth="1"/>
    <col min="3" max="5" width="11" style="97" customWidth="1"/>
    <col min="6" max="6" width="15.85546875" style="97" customWidth="1"/>
    <col min="7" max="8" width="11" style="97" customWidth="1"/>
    <col min="9" max="9" width="14.85546875" style="97" customWidth="1"/>
    <col min="10" max="11" width="11" style="97" customWidth="1"/>
    <col min="12" max="16384" width="9.140625" style="97"/>
  </cols>
  <sheetData>
    <row r="1" spans="1:11" ht="15" customHeight="1">
      <c r="A1" s="338" t="s">
        <v>163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</row>
    <row r="2" spans="1:11" ht="13.5" customHeight="1">
      <c r="A2" s="339" t="s">
        <v>363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</row>
    <row r="3" spans="1:11" ht="14.25" customHeight="1">
      <c r="A3" s="339" t="s">
        <v>281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</row>
    <row r="4" spans="1:11" ht="12" customHeight="1" thickBot="1">
      <c r="A4" s="98"/>
      <c r="B4" s="98"/>
      <c r="C4" s="98"/>
      <c r="D4" s="98"/>
      <c r="E4" s="98"/>
      <c r="F4" s="98"/>
      <c r="G4" s="98"/>
      <c r="H4" s="98"/>
      <c r="I4" s="98"/>
      <c r="J4" s="99"/>
      <c r="K4" s="100"/>
    </row>
    <row r="5" spans="1:11" ht="16.5" customHeight="1" thickTop="1" thickBot="1">
      <c r="A5" s="340" t="s">
        <v>22</v>
      </c>
      <c r="B5" s="340"/>
      <c r="C5" s="340" t="s">
        <v>264</v>
      </c>
      <c r="D5" s="337" t="s">
        <v>172</v>
      </c>
      <c r="E5" s="337"/>
      <c r="F5" s="342" t="s">
        <v>25</v>
      </c>
      <c r="G5" s="337" t="s">
        <v>172</v>
      </c>
      <c r="H5" s="337"/>
      <c r="I5" s="342" t="s">
        <v>354</v>
      </c>
      <c r="J5" s="337" t="s">
        <v>172</v>
      </c>
      <c r="K5" s="337"/>
    </row>
    <row r="6" spans="1:11" ht="18.75" customHeight="1" thickTop="1" thickBot="1">
      <c r="A6" s="341"/>
      <c r="B6" s="341"/>
      <c r="C6" s="341"/>
      <c r="D6" s="101" t="s">
        <v>26</v>
      </c>
      <c r="E6" s="101" t="s">
        <v>277</v>
      </c>
      <c r="F6" s="343"/>
      <c r="G6" s="101" t="s">
        <v>26</v>
      </c>
      <c r="H6" s="101" t="s">
        <v>277</v>
      </c>
      <c r="I6" s="343"/>
      <c r="J6" s="101" t="s">
        <v>26</v>
      </c>
      <c r="K6" s="101" t="s">
        <v>277</v>
      </c>
    </row>
    <row r="7" spans="1:11" ht="4.5" customHeight="1" thickTop="1">
      <c r="A7" s="102"/>
      <c r="B7" s="102"/>
      <c r="C7" s="103"/>
      <c r="D7" s="104"/>
      <c r="E7" s="104"/>
      <c r="F7" s="104"/>
      <c r="G7" s="104"/>
      <c r="H7" s="104"/>
      <c r="I7" s="104"/>
      <c r="J7" s="104"/>
      <c r="K7" s="104"/>
    </row>
    <row r="8" spans="1:11" ht="12.75" customHeight="1">
      <c r="A8" s="71">
        <v>2004</v>
      </c>
      <c r="B8" s="69" t="s">
        <v>280</v>
      </c>
      <c r="C8" s="105">
        <v>51.023902289850326</v>
      </c>
      <c r="D8" s="239" t="s">
        <v>2</v>
      </c>
      <c r="E8" s="105">
        <v>28.738970553518996</v>
      </c>
      <c r="F8" s="105">
        <v>50.724887459382437</v>
      </c>
      <c r="G8" s="239" t="s">
        <v>2</v>
      </c>
      <c r="H8" s="105">
        <v>29.00021764635774</v>
      </c>
      <c r="I8" s="105">
        <v>51.543445629923717</v>
      </c>
      <c r="J8" s="105" t="s">
        <v>2</v>
      </c>
      <c r="K8" s="105">
        <v>28.329973887490457</v>
      </c>
    </row>
    <row r="9" spans="1:11" ht="12.75" customHeight="1">
      <c r="A9" s="71">
        <v>2005</v>
      </c>
      <c r="B9" s="69" t="s">
        <v>280</v>
      </c>
      <c r="C9" s="105">
        <v>54.818705709620794</v>
      </c>
      <c r="D9" s="239" t="s">
        <v>2</v>
      </c>
      <c r="E9" s="105">
        <v>7.4373053597770911</v>
      </c>
      <c r="F9" s="105">
        <v>54.841163746090892</v>
      </c>
      <c r="G9" s="239" t="s">
        <v>2</v>
      </c>
      <c r="H9" s="105">
        <v>8.1149047201031888</v>
      </c>
      <c r="I9" s="105">
        <v>54.838521040655387</v>
      </c>
      <c r="J9" s="105" t="s">
        <v>2</v>
      </c>
      <c r="K9" s="105">
        <v>6.3928116765610721</v>
      </c>
    </row>
    <row r="10" spans="1:11" ht="12.75" customHeight="1">
      <c r="A10" s="71">
        <v>2006</v>
      </c>
      <c r="B10" s="69" t="s">
        <v>280</v>
      </c>
      <c r="C10" s="105">
        <v>57.559745535140948</v>
      </c>
      <c r="D10" s="239" t="s">
        <v>2</v>
      </c>
      <c r="E10" s="105">
        <v>5.0001907013997426</v>
      </c>
      <c r="F10" s="105">
        <v>57.556764561494134</v>
      </c>
      <c r="G10" s="239" t="s">
        <v>2</v>
      </c>
      <c r="H10" s="105">
        <v>4.9517563631147565</v>
      </c>
      <c r="I10" s="105">
        <v>57.622978718051264</v>
      </c>
      <c r="J10" s="105" t="s">
        <v>2</v>
      </c>
      <c r="K10" s="105">
        <v>5.0775579365672119</v>
      </c>
    </row>
    <row r="11" spans="1:11" ht="12.75" customHeight="1">
      <c r="A11" s="71">
        <v>2007</v>
      </c>
      <c r="B11" s="69" t="s">
        <v>280</v>
      </c>
      <c r="C11" s="105">
        <v>62.669662646942058</v>
      </c>
      <c r="D11" s="239" t="s">
        <v>2</v>
      </c>
      <c r="E11" s="105">
        <v>8.8775880857246747</v>
      </c>
      <c r="F11" s="105">
        <v>63.836288088809027</v>
      </c>
      <c r="G11" s="239" t="s">
        <v>2</v>
      </c>
      <c r="H11" s="105">
        <v>10.910139885652882</v>
      </c>
      <c r="I11" s="105">
        <v>60.900363162695534</v>
      </c>
      <c r="J11" s="105" t="s">
        <v>2</v>
      </c>
      <c r="K11" s="105">
        <v>5.6876345471144063</v>
      </c>
    </row>
    <row r="12" spans="1:11" ht="12.75" customHeight="1">
      <c r="A12" s="71">
        <v>2008</v>
      </c>
      <c r="B12" s="69" t="s">
        <v>280</v>
      </c>
      <c r="C12" s="105">
        <v>65.500884103858809</v>
      </c>
      <c r="D12" s="239" t="s">
        <v>2</v>
      </c>
      <c r="E12" s="105">
        <v>4.5176905975492732</v>
      </c>
      <c r="F12" s="105">
        <v>65.310761142813718</v>
      </c>
      <c r="G12" s="239" t="s">
        <v>2</v>
      </c>
      <c r="H12" s="105">
        <v>2.3097725418392168</v>
      </c>
      <c r="I12" s="105">
        <v>65.86662330130217</v>
      </c>
      <c r="J12" s="105" t="s">
        <v>2</v>
      </c>
      <c r="K12" s="105">
        <v>8.1547299239238527</v>
      </c>
    </row>
    <row r="13" spans="1:11" ht="12.75" customHeight="1">
      <c r="A13" s="71">
        <v>2009</v>
      </c>
      <c r="B13" s="69" t="s">
        <v>280</v>
      </c>
      <c r="C13" s="105">
        <v>69.276593118828913</v>
      </c>
      <c r="D13" s="239" t="s">
        <v>2</v>
      </c>
      <c r="E13" s="105">
        <v>5.7643634381839837</v>
      </c>
      <c r="F13" s="105">
        <v>69.108926884194972</v>
      </c>
      <c r="G13" s="239" t="s">
        <v>2</v>
      </c>
      <c r="H13" s="105">
        <v>5.8155282145248455</v>
      </c>
      <c r="I13" s="105">
        <v>69.611868943126495</v>
      </c>
      <c r="J13" s="105" t="s">
        <v>2</v>
      </c>
      <c r="K13" s="105">
        <v>5.6861054265556765</v>
      </c>
    </row>
    <row r="14" spans="1:11" ht="12.75" customHeight="1">
      <c r="A14" s="71">
        <v>2010</v>
      </c>
      <c r="B14" s="69" t="s">
        <v>280</v>
      </c>
      <c r="C14" s="105">
        <v>73.59827833572453</v>
      </c>
      <c r="D14" s="239" t="s">
        <v>2</v>
      </c>
      <c r="E14" s="105">
        <v>6.2383050642844218</v>
      </c>
      <c r="F14" s="105">
        <v>73.147686202253553</v>
      </c>
      <c r="G14" s="239" t="s">
        <v>2</v>
      </c>
      <c r="H14" s="105">
        <v>5.8440486636788469</v>
      </c>
      <c r="I14" s="105">
        <v>74.384944822041945</v>
      </c>
      <c r="J14" s="105" t="s">
        <v>2</v>
      </c>
      <c r="K14" s="105">
        <v>6.8566983639170687</v>
      </c>
    </row>
    <row r="15" spans="1:11" ht="12.75" customHeight="1">
      <c r="A15" s="71">
        <v>2011</v>
      </c>
      <c r="B15" s="69" t="s">
        <v>280</v>
      </c>
      <c r="C15" s="105">
        <v>79.309504734576763</v>
      </c>
      <c r="D15" s="239" t="s">
        <v>2</v>
      </c>
      <c r="E15" s="105">
        <v>7.7600000000000113</v>
      </c>
      <c r="F15" s="105">
        <v>79.525820644964924</v>
      </c>
      <c r="G15" s="239" t="s">
        <v>2</v>
      </c>
      <c r="H15" s="105">
        <v>8.7195300000000096</v>
      </c>
      <c r="I15" s="105">
        <v>79.053091050260903</v>
      </c>
      <c r="J15" s="105" t="s">
        <v>2</v>
      </c>
      <c r="K15" s="105">
        <v>6.275659999999994</v>
      </c>
    </row>
    <row r="16" spans="1:11" ht="12.75" customHeight="1">
      <c r="A16" s="71">
        <v>2012</v>
      </c>
      <c r="B16" s="69" t="s">
        <v>280</v>
      </c>
      <c r="C16" s="105">
        <v>82.407992252510752</v>
      </c>
      <c r="D16" s="239" t="s">
        <v>2</v>
      </c>
      <c r="E16" s="105">
        <v>3.9068299925760774</v>
      </c>
      <c r="F16" s="105">
        <v>82.525219573382458</v>
      </c>
      <c r="G16" s="239" t="s">
        <v>2</v>
      </c>
      <c r="H16" s="105">
        <v>3.7716038691484322</v>
      </c>
      <c r="I16" s="105">
        <v>82.329256929036035</v>
      </c>
      <c r="J16" s="105" t="s">
        <v>2</v>
      </c>
      <c r="K16" s="105">
        <v>4.144260313226944</v>
      </c>
    </row>
    <row r="17" spans="1:12" ht="12.75" customHeight="1">
      <c r="A17" s="71">
        <v>2013</v>
      </c>
      <c r="B17" s="69" t="s">
        <v>280</v>
      </c>
      <c r="C17" s="105">
        <v>85.602157532281211</v>
      </c>
      <c r="D17" s="239" t="s">
        <v>2</v>
      </c>
      <c r="E17" s="52">
        <v>3.8760382245244474</v>
      </c>
      <c r="F17" s="105">
        <v>85.868068832825458</v>
      </c>
      <c r="G17" s="239" t="s">
        <v>2</v>
      </c>
      <c r="H17" s="52">
        <v>4.0507002304556172</v>
      </c>
      <c r="I17" s="105">
        <v>85.304654721917714</v>
      </c>
      <c r="J17" s="105" t="s">
        <v>2</v>
      </c>
      <c r="K17" s="52">
        <v>3.6140224069389326</v>
      </c>
    </row>
    <row r="18" spans="1:12" ht="12.75" customHeight="1">
      <c r="A18" s="71">
        <v>2014</v>
      </c>
      <c r="B18" s="69" t="s">
        <v>280</v>
      </c>
      <c r="C18" s="105">
        <v>86.956365853658539</v>
      </c>
      <c r="D18" s="239" t="s">
        <v>2</v>
      </c>
      <c r="E18" s="52">
        <v>1.5819791935345107</v>
      </c>
      <c r="F18" s="105">
        <v>86.870192133796323</v>
      </c>
      <c r="G18" s="239" t="s">
        <v>2</v>
      </c>
      <c r="H18" s="52">
        <v>1.1670500042592957</v>
      </c>
      <c r="I18" s="105">
        <v>87.194032320397568</v>
      </c>
      <c r="J18" s="105" t="s">
        <v>2</v>
      </c>
      <c r="K18" s="52">
        <v>2.2148587373561179</v>
      </c>
    </row>
    <row r="19" spans="1:12" ht="12.75" customHeight="1">
      <c r="A19" s="71">
        <v>2015</v>
      </c>
      <c r="B19" s="69" t="s">
        <v>280</v>
      </c>
      <c r="C19" s="105">
        <v>88.995038163558107</v>
      </c>
      <c r="D19" s="239" t="s">
        <v>2</v>
      </c>
      <c r="E19" s="52">
        <v>2.3444773592890433</v>
      </c>
      <c r="F19" s="105">
        <v>89.013419339522358</v>
      </c>
      <c r="G19" s="239" t="s">
        <v>2</v>
      </c>
      <c r="H19" s="52">
        <v>2.4671606601549323</v>
      </c>
      <c r="I19" s="105">
        <v>89.090848413359637</v>
      </c>
      <c r="J19" s="105" t="s">
        <v>2</v>
      </c>
      <c r="K19" s="52">
        <v>2.1753966899846544</v>
      </c>
    </row>
    <row r="20" spans="1:12" ht="12.75" customHeight="1">
      <c r="A20" s="71">
        <v>2016</v>
      </c>
      <c r="B20" s="69" t="s">
        <v>280</v>
      </c>
      <c r="C20" s="105">
        <v>90.503802869440463</v>
      </c>
      <c r="D20" s="239" t="s">
        <v>2</v>
      </c>
      <c r="E20" s="52">
        <v>1.695335759179617</v>
      </c>
      <c r="F20" s="105">
        <v>89.913135879810071</v>
      </c>
      <c r="G20" s="239" t="s">
        <v>2</v>
      </c>
      <c r="H20" s="52">
        <v>1.0107650587558581</v>
      </c>
      <c r="I20" s="105">
        <v>91.523236109040411</v>
      </c>
      <c r="J20" s="105" t="s">
        <v>2</v>
      </c>
      <c r="K20" s="52">
        <v>2.7302329464807595</v>
      </c>
    </row>
    <row r="21" spans="1:12" ht="12.75" customHeight="1">
      <c r="A21" s="71">
        <v>2017</v>
      </c>
      <c r="B21" s="69" t="s">
        <v>280</v>
      </c>
      <c r="C21" s="105">
        <v>94.30883385939741</v>
      </c>
      <c r="D21" s="239" t="s">
        <v>2</v>
      </c>
      <c r="E21" s="52">
        <v>4.2042774660486115</v>
      </c>
      <c r="F21" s="105">
        <v>94.272737977464388</v>
      </c>
      <c r="G21" s="239" t="s">
        <v>2</v>
      </c>
      <c r="H21" s="52">
        <v>4.8486820696387989</v>
      </c>
      <c r="I21" s="105">
        <v>94.491195407439889</v>
      </c>
      <c r="J21" s="105" t="s">
        <v>2</v>
      </c>
      <c r="K21" s="52">
        <v>3.2428478543563122</v>
      </c>
    </row>
    <row r="22" spans="1:12" ht="12.75" customHeight="1">
      <c r="A22" s="71">
        <v>2018</v>
      </c>
      <c r="B22" s="69" t="s">
        <v>280</v>
      </c>
      <c r="C22" s="105">
        <v>95.412808034433269</v>
      </c>
      <c r="D22" s="239" t="s">
        <v>2</v>
      </c>
      <c r="E22" s="52">
        <v>1.1705946620883312</v>
      </c>
      <c r="F22" s="105">
        <v>94.528754879172268</v>
      </c>
      <c r="G22" s="239" t="s">
        <v>2</v>
      </c>
      <c r="H22" s="52">
        <v>0.27157045313468409</v>
      </c>
      <c r="I22" s="105">
        <v>96.893829125191829</v>
      </c>
      <c r="J22" s="105" t="s">
        <v>2</v>
      </c>
      <c r="K22" s="52">
        <v>2.542706447295906</v>
      </c>
    </row>
    <row r="23" spans="1:12" ht="12.75" customHeight="1">
      <c r="A23" s="71">
        <v>2019</v>
      </c>
      <c r="B23" s="69" t="s">
        <v>280</v>
      </c>
      <c r="C23" s="105">
        <v>98.90136642754662</v>
      </c>
      <c r="D23" s="239" t="s">
        <v>2</v>
      </c>
      <c r="E23" s="52">
        <v>3.6562789262573281</v>
      </c>
      <c r="F23" s="105">
        <v>98.851783133725448</v>
      </c>
      <c r="G23" s="239" t="s">
        <v>2</v>
      </c>
      <c r="H23" s="52">
        <v>4.5732415073899135</v>
      </c>
      <c r="I23" s="105">
        <v>99.103061986406473</v>
      </c>
      <c r="J23" s="105" t="s">
        <v>2</v>
      </c>
      <c r="K23" s="52">
        <v>2.2800552740672497</v>
      </c>
    </row>
    <row r="24" spans="1:12" ht="12.75" customHeight="1">
      <c r="A24" s="71">
        <v>2020</v>
      </c>
      <c r="B24" s="69" t="s">
        <v>280</v>
      </c>
      <c r="C24" s="105">
        <v>104.39400000000001</v>
      </c>
      <c r="D24" s="239" t="s">
        <v>2</v>
      </c>
      <c r="E24" s="52">
        <v>5.5536478118097587</v>
      </c>
      <c r="F24" s="105">
        <v>105.479</v>
      </c>
      <c r="G24" s="239" t="s">
        <v>2</v>
      </c>
      <c r="H24" s="52">
        <v>6.7041955705637868</v>
      </c>
      <c r="I24" s="105">
        <v>102.974</v>
      </c>
      <c r="J24" s="105" t="s">
        <v>2</v>
      </c>
      <c r="K24" s="52">
        <v>3.9059721627213495</v>
      </c>
    </row>
    <row r="25" spans="1:12" ht="12.75" customHeight="1">
      <c r="A25" s="71">
        <v>2021</v>
      </c>
      <c r="B25" s="69" t="s">
        <v>280</v>
      </c>
      <c r="C25" s="105">
        <v>113.26300000000001</v>
      </c>
      <c r="D25" s="239" t="s">
        <v>2</v>
      </c>
      <c r="E25" s="52">
        <v>8.4956989865317958</v>
      </c>
      <c r="F25" s="105">
        <v>116.25700000000001</v>
      </c>
      <c r="G25" s="239" t="s">
        <v>2</v>
      </c>
      <c r="H25" s="52">
        <v>10.218147688165423</v>
      </c>
      <c r="I25" s="105">
        <v>109.34399999999999</v>
      </c>
      <c r="J25" s="105" t="s">
        <v>2</v>
      </c>
      <c r="K25" s="52">
        <v>6.1860275409326482</v>
      </c>
    </row>
    <row r="26" spans="1:12" ht="12.75" customHeight="1">
      <c r="A26" s="71">
        <v>2022</v>
      </c>
      <c r="B26" s="69" t="s">
        <v>280</v>
      </c>
      <c r="C26" s="105">
        <v>122.128</v>
      </c>
      <c r="D26" s="239" t="s">
        <v>2</v>
      </c>
      <c r="E26" s="52">
        <v>7.8269161155893698</v>
      </c>
      <c r="F26" s="105">
        <v>125.76300000000001</v>
      </c>
      <c r="G26" s="239" t="s">
        <v>2</v>
      </c>
      <c r="H26" s="52">
        <v>8.1767119399262</v>
      </c>
      <c r="I26" s="105">
        <v>117.37</v>
      </c>
      <c r="J26" s="105" t="s">
        <v>2</v>
      </c>
      <c r="K26" s="52">
        <v>7.3401375475563402</v>
      </c>
      <c r="L26" s="106"/>
    </row>
    <row r="27" spans="1:12" ht="12.75" customHeight="1">
      <c r="A27" s="71">
        <v>2023</v>
      </c>
      <c r="B27" s="69" t="s">
        <v>280</v>
      </c>
      <c r="C27" s="105">
        <v>126.4866</v>
      </c>
      <c r="D27" s="239" t="s">
        <v>2</v>
      </c>
      <c r="E27" s="52">
        <v>3.5688785536486245</v>
      </c>
      <c r="F27" s="105">
        <v>129.76070000000001</v>
      </c>
      <c r="G27" s="239" t="s">
        <v>2</v>
      </c>
      <c r="H27" s="52">
        <v>3.1787568680772704</v>
      </c>
      <c r="I27" s="105">
        <v>122.20099999999999</v>
      </c>
      <c r="J27" s="105" t="s">
        <v>2</v>
      </c>
      <c r="K27" s="52">
        <v>4.1160432819289383</v>
      </c>
      <c r="L27" s="106"/>
    </row>
    <row r="28" spans="1:12" ht="12.75" customHeight="1">
      <c r="A28" s="71">
        <v>2024</v>
      </c>
      <c r="B28" s="69" t="s">
        <v>280</v>
      </c>
      <c r="C28" s="105">
        <v>130.72200000000001</v>
      </c>
      <c r="D28" s="239" t="s">
        <v>2</v>
      </c>
      <c r="E28" s="52">
        <v>3.348496994938599</v>
      </c>
      <c r="F28" s="105">
        <v>132.994</v>
      </c>
      <c r="G28" s="239" t="s">
        <v>2</v>
      </c>
      <c r="H28" s="52">
        <v>2.4917405655179081</v>
      </c>
      <c r="I28" s="105">
        <v>127.748</v>
      </c>
      <c r="J28" s="105" t="s">
        <v>2</v>
      </c>
      <c r="K28" s="52">
        <v>4.5392427230546595</v>
      </c>
      <c r="L28" s="106"/>
    </row>
    <row r="29" spans="1:12" ht="12.75" customHeight="1">
      <c r="A29" s="71">
        <v>2025</v>
      </c>
      <c r="B29" s="69" t="s">
        <v>280</v>
      </c>
      <c r="C29" s="105">
        <v>137.19550000000001</v>
      </c>
      <c r="D29" s="239" t="s">
        <v>2</v>
      </c>
      <c r="E29" s="52">
        <v>4.9521121157876991</v>
      </c>
      <c r="F29" s="105">
        <v>139.74639999999999</v>
      </c>
      <c r="G29" s="239" t="s">
        <v>2</v>
      </c>
      <c r="H29" s="52">
        <v>5.0772215287907763</v>
      </c>
      <c r="I29" s="105">
        <v>133.85669999999999</v>
      </c>
      <c r="J29" s="105" t="s">
        <v>2</v>
      </c>
      <c r="K29" s="52">
        <v>4.7818361148511013</v>
      </c>
      <c r="L29" s="106"/>
    </row>
    <row r="30" spans="1:12" ht="12.95" customHeight="1">
      <c r="A30" s="107"/>
      <c r="B30" s="107"/>
      <c r="C30" s="105"/>
      <c r="D30" s="105"/>
      <c r="E30" s="105"/>
      <c r="F30" s="105"/>
      <c r="G30" s="105"/>
      <c r="H30" s="105"/>
      <c r="I30" s="105"/>
      <c r="J30" s="105"/>
      <c r="K30" s="105"/>
    </row>
    <row r="31" spans="1:12" ht="12.95" customHeight="1">
      <c r="A31" s="107">
        <v>2004</v>
      </c>
      <c r="B31" s="107" t="s">
        <v>3</v>
      </c>
      <c r="C31" s="105">
        <v>43.292120997116903</v>
      </c>
      <c r="D31" s="105">
        <v>9.2308279085872904</v>
      </c>
      <c r="E31" s="105">
        <v>9.2308279085872904</v>
      </c>
      <c r="F31" s="105">
        <v>43.729702271339725</v>
      </c>
      <c r="G31" s="105">
        <v>11.210519986473111</v>
      </c>
      <c r="H31" s="105">
        <v>11.210519986473111</v>
      </c>
      <c r="I31" s="105">
        <v>42.648039239346808</v>
      </c>
      <c r="J31" s="105">
        <v>6.182691029888443</v>
      </c>
      <c r="K31" s="105">
        <v>6.182691029888443</v>
      </c>
    </row>
    <row r="32" spans="1:12" ht="12.95" customHeight="1">
      <c r="A32" s="107"/>
      <c r="B32" s="107" t="s">
        <v>4</v>
      </c>
      <c r="C32" s="105">
        <v>48.163686819742352</v>
      </c>
      <c r="D32" s="105">
        <v>11.252776972858136</v>
      </c>
      <c r="E32" s="105">
        <v>21.522329358747093</v>
      </c>
      <c r="F32" s="105">
        <v>50.307947975350189</v>
      </c>
      <c r="G32" s="105">
        <v>15.042969337392043</v>
      </c>
      <c r="H32" s="105">
        <v>27.939884407992487</v>
      </c>
      <c r="I32" s="105">
        <v>44.841746143000584</v>
      </c>
      <c r="J32" s="105">
        <v>5.1437462138467449</v>
      </c>
      <c r="K32" s="105">
        <v>11.644459179498924</v>
      </c>
    </row>
    <row r="33" spans="1:11" ht="12.95" customHeight="1">
      <c r="A33" s="107"/>
      <c r="B33" s="107" t="s">
        <v>5</v>
      </c>
      <c r="C33" s="105">
        <v>49.292719242153396</v>
      </c>
      <c r="D33" s="105">
        <v>2.3441569716964761</v>
      </c>
      <c r="E33" s="105">
        <v>24.371003514578106</v>
      </c>
      <c r="F33" s="105">
        <v>51.624506886929105</v>
      </c>
      <c r="G33" s="105">
        <v>2.6169998271923234</v>
      </c>
      <c r="H33" s="105">
        <v>31.288070961859702</v>
      </c>
      <c r="I33" s="105">
        <v>45.677786098483878</v>
      </c>
      <c r="J33" s="105">
        <v>1.8644232827534468</v>
      </c>
      <c r="K33" s="105">
        <v>13.725984470345654</v>
      </c>
    </row>
    <row r="34" spans="1:11" ht="12.95" customHeight="1">
      <c r="A34" s="107"/>
      <c r="B34" s="107" t="s">
        <v>6</v>
      </c>
      <c r="C34" s="105">
        <v>49.635610570441202</v>
      </c>
      <c r="D34" s="105">
        <v>0.69562266711911125</v>
      </c>
      <c r="E34" s="105">
        <v>25.236156406349043</v>
      </c>
      <c r="F34" s="105">
        <v>51.884011595905797</v>
      </c>
      <c r="G34" s="105">
        <v>0.50267736124836038</v>
      </c>
      <c r="H34" s="105">
        <v>31.948026372604655</v>
      </c>
      <c r="I34" s="105">
        <v>46.14866005027136</v>
      </c>
      <c r="J34" s="105">
        <v>1.0308598380233569</v>
      </c>
      <c r="K34" s="105">
        <v>14.898339969647111</v>
      </c>
    </row>
    <row r="35" spans="1:11" ht="12.95" customHeight="1">
      <c r="A35" s="107"/>
      <c r="B35" s="107" t="s">
        <v>7</v>
      </c>
      <c r="C35" s="105">
        <v>50.940270258560624</v>
      </c>
      <c r="D35" s="105">
        <v>2.6284751474304757</v>
      </c>
      <c r="E35" s="105">
        <v>28.527957653087089</v>
      </c>
      <c r="F35" s="105">
        <v>52.933396219284823</v>
      </c>
      <c r="G35" s="105">
        <v>2.0225587634820297</v>
      </c>
      <c r="H35" s="105">
        <v>34.616752743245357</v>
      </c>
      <c r="I35" s="105">
        <v>47.859218048653354</v>
      </c>
      <c r="J35" s="105">
        <v>3.7066254936083176</v>
      </c>
      <c r="K35" s="105">
        <v>19.157191130694805</v>
      </c>
    </row>
    <row r="36" spans="1:11" ht="12.95" customHeight="1">
      <c r="A36" s="107"/>
      <c r="B36" s="107" t="s">
        <v>8</v>
      </c>
      <c r="C36" s="105">
        <v>51.954308637948323</v>
      </c>
      <c r="D36" s="105">
        <v>1.9906419307174517</v>
      </c>
      <c r="E36" s="105">
        <v>31.086489070824207</v>
      </c>
      <c r="F36" s="105">
        <v>54.22786039546299</v>
      </c>
      <c r="G36" s="105">
        <v>2.4454583847513645</v>
      </c>
      <c r="H36" s="105">
        <v>37.908749410485079</v>
      </c>
      <c r="I36" s="105">
        <v>48.429314369964082</v>
      </c>
      <c r="J36" s="105">
        <v>1.1911943917077172</v>
      </c>
      <c r="K36" s="105">
        <v>20.576584908760086</v>
      </c>
    </row>
    <row r="37" spans="1:11" ht="12.95" customHeight="1">
      <c r="A37" s="107"/>
      <c r="B37" s="107" t="s">
        <v>9</v>
      </c>
      <c r="C37" s="105">
        <v>52.274201157631452</v>
      </c>
      <c r="D37" s="105">
        <v>0.61571894241216896</v>
      </c>
      <c r="E37" s="105">
        <v>31.893613414976318</v>
      </c>
      <c r="F37" s="105">
        <v>54.623559905475496</v>
      </c>
      <c r="G37" s="105">
        <v>0.72969781054761373</v>
      </c>
      <c r="H37" s="105">
        <v>38.91506653548695</v>
      </c>
      <c r="I37" s="105">
        <v>48.63443568150138</v>
      </c>
      <c r="J37" s="105">
        <v>0.42354783297224863</v>
      </c>
      <c r="K37" s="105">
        <v>21.087284421213081</v>
      </c>
    </row>
    <row r="38" spans="1:11" ht="12.95" customHeight="1">
      <c r="A38" s="107"/>
      <c r="B38" s="107" t="s">
        <v>10</v>
      </c>
      <c r="C38" s="105">
        <v>52.558550064016465</v>
      </c>
      <c r="D38" s="105">
        <v>0.54395648348133374</v>
      </c>
      <c r="E38" s="105">
        <v>32.611057276444889</v>
      </c>
      <c r="F38" s="105">
        <v>54.559027536955128</v>
      </c>
      <c r="G38" s="105">
        <v>-0.11814017363943607</v>
      </c>
      <c r="H38" s="105">
        <v>38.750952034670604</v>
      </c>
      <c r="I38" s="105">
        <v>49.464074260037954</v>
      </c>
      <c r="J38" s="105">
        <v>1.7058665674045015</v>
      </c>
      <c r="K38" s="105">
        <v>23.152871923532548</v>
      </c>
    </row>
    <row r="39" spans="1:11" ht="12.95" customHeight="1">
      <c r="A39" s="107"/>
      <c r="B39" s="107" t="s">
        <v>11</v>
      </c>
      <c r="C39" s="105">
        <v>51.962671841077302</v>
      </c>
      <c r="D39" s="105">
        <v>-1.1337417455644871</v>
      </c>
      <c r="E39" s="105">
        <v>31.107590360867409</v>
      </c>
      <c r="F39" s="105">
        <v>52.793831034882793</v>
      </c>
      <c r="G39" s="105">
        <v>-3.2353884989549941</v>
      </c>
      <c r="H39" s="105">
        <v>34.261819690350315</v>
      </c>
      <c r="I39" s="105">
        <v>50.707956065528556</v>
      </c>
      <c r="J39" s="105">
        <v>2.514717649321363</v>
      </c>
      <c r="K39" s="105">
        <v>26.249818929439762</v>
      </c>
    </row>
    <row r="40" spans="1:11" ht="12.95" customHeight="1">
      <c r="A40" s="107"/>
      <c r="B40" s="107" t="s">
        <v>12</v>
      </c>
      <c r="C40" s="105">
        <v>52.663090103128596</v>
      </c>
      <c r="D40" s="105">
        <v>1.3479258037258912</v>
      </c>
      <c r="E40" s="105">
        <v>32.874823401984798</v>
      </c>
      <c r="F40" s="105">
        <v>53.214350361134528</v>
      </c>
      <c r="G40" s="105">
        <v>0.79653118178502069</v>
      </c>
      <c r="H40" s="105">
        <v>35.331256949415923</v>
      </c>
      <c r="I40" s="105">
        <v>51.846982207634873</v>
      </c>
      <c r="J40" s="105">
        <v>2.2462473948553274</v>
      </c>
      <c r="K40" s="105">
        <v>29.085702198151875</v>
      </c>
    </row>
    <row r="41" spans="1:11" ht="12.95" customHeight="1">
      <c r="A41" s="107"/>
      <c r="B41" s="107" t="s">
        <v>13</v>
      </c>
      <c r="C41" s="105">
        <v>51.793316977715641</v>
      </c>
      <c r="D41" s="105">
        <v>-1.6515801175162825</v>
      </c>
      <c r="E41" s="105">
        <v>30.680289237492751</v>
      </c>
      <c r="F41" s="105">
        <v>52.061017021392928</v>
      </c>
      <c r="G41" s="105">
        <v>-2.1673351866829282</v>
      </c>
      <c r="H41" s="105">
        <v>32.398174998970951</v>
      </c>
      <c r="I41" s="105">
        <v>51.426684678711339</v>
      </c>
      <c r="J41" s="105">
        <v>-0.81064993761901238</v>
      </c>
      <c r="K41" s="105">
        <v>28.039269033807468</v>
      </c>
    </row>
    <row r="42" spans="1:11" ht="12.95" customHeight="1">
      <c r="A42" s="107"/>
      <c r="B42" s="107" t="s">
        <v>14</v>
      </c>
      <c r="C42" s="105">
        <v>51.023902289850326</v>
      </c>
      <c r="D42" s="105">
        <v>-1.4855481995801889</v>
      </c>
      <c r="E42" s="105">
        <v>28.738970553518996</v>
      </c>
      <c r="F42" s="105">
        <v>50.724887459382437</v>
      </c>
      <c r="G42" s="105">
        <v>-2.5664684219700251</v>
      </c>
      <c r="H42" s="105">
        <v>29.00021764635774</v>
      </c>
      <c r="I42" s="105">
        <v>51.543445629923717</v>
      </c>
      <c r="J42" s="105">
        <v>0.22704351241353837</v>
      </c>
      <c r="K42" s="105">
        <v>28.329973887490457</v>
      </c>
    </row>
    <row r="43" spans="1:11" ht="12.95" customHeight="1">
      <c r="A43" s="107"/>
      <c r="B43" s="107"/>
      <c r="C43" s="105"/>
      <c r="D43" s="105"/>
      <c r="E43" s="105"/>
      <c r="F43" s="105"/>
      <c r="G43" s="105"/>
      <c r="H43" s="105"/>
      <c r="I43" s="105"/>
      <c r="J43" s="105"/>
      <c r="K43" s="105"/>
    </row>
    <row r="44" spans="1:11" ht="12.95" customHeight="1">
      <c r="A44" s="107">
        <v>2005</v>
      </c>
      <c r="B44" s="107" t="s">
        <v>3</v>
      </c>
      <c r="C44" s="105">
        <v>51.425336040040932</v>
      </c>
      <c r="D44" s="105">
        <v>0.78675626946405064</v>
      </c>
      <c r="E44" s="105">
        <v>0.78675626946405064</v>
      </c>
      <c r="F44" s="105">
        <v>51.320012955165708</v>
      </c>
      <c r="G44" s="105">
        <v>1.1732416286971858</v>
      </c>
      <c r="H44" s="105">
        <v>1.1732416286971858</v>
      </c>
      <c r="I44" s="105">
        <v>51.64239896499717</v>
      </c>
      <c r="J44" s="105">
        <v>0.19198044264236991</v>
      </c>
      <c r="K44" s="105">
        <v>0.19198044264236991</v>
      </c>
    </row>
    <row r="45" spans="1:11" ht="12.95" customHeight="1">
      <c r="A45" s="107"/>
      <c r="B45" s="107" t="s">
        <v>4</v>
      </c>
      <c r="C45" s="105">
        <v>51.44624404786336</v>
      </c>
      <c r="D45" s="105">
        <v>4.0657017401213302E-2</v>
      </c>
      <c r="E45" s="105">
        <v>0.8277331584986225</v>
      </c>
      <c r="F45" s="105">
        <v>51.337166365800726</v>
      </c>
      <c r="G45" s="105">
        <v>3.3424408232329839E-2</v>
      </c>
      <c r="H45" s="105">
        <v>1.2070581860010421</v>
      </c>
      <c r="I45" s="105">
        <v>51.670414898232373</v>
      </c>
      <c r="J45" s="105">
        <v>5.4249867931566165E-2</v>
      </c>
      <c r="K45" s="105">
        <v>0.24633445971051771</v>
      </c>
    </row>
    <row r="46" spans="1:11" ht="12.95" customHeight="1">
      <c r="A46" s="107"/>
      <c r="B46" s="107" t="s">
        <v>5</v>
      </c>
      <c r="C46" s="105">
        <v>51.408609633782987</v>
      </c>
      <c r="D46" s="105">
        <v>-7.3152889539140897E-2</v>
      </c>
      <c r="E46" s="105">
        <v>0.75397475823637539</v>
      </c>
      <c r="F46" s="105">
        <v>51.179171129631726</v>
      </c>
      <c r="G46" s="105">
        <v>-0.30775994733175382</v>
      </c>
      <c r="H46" s="105">
        <v>0.89558339703179612</v>
      </c>
      <c r="I46" s="105">
        <v>51.819527139348068</v>
      </c>
      <c r="J46" s="105">
        <v>0.2885834019513478</v>
      </c>
      <c r="K46" s="105">
        <v>0.53562874202588429</v>
      </c>
    </row>
    <row r="47" spans="1:11" ht="12.95" customHeight="1">
      <c r="A47" s="107"/>
      <c r="B47" s="107" t="s">
        <v>6</v>
      </c>
      <c r="C47" s="105">
        <v>51.569601294015669</v>
      </c>
      <c r="D47" s="105">
        <v>0.31316089149178161</v>
      </c>
      <c r="E47" s="105">
        <v>1.0694968038026609</v>
      </c>
      <c r="F47" s="105">
        <v>51.393129963051067</v>
      </c>
      <c r="G47" s="105">
        <v>0.41805841848709946</v>
      </c>
      <c r="H47" s="105">
        <v>1.3173858773047442</v>
      </c>
      <c r="I47" s="105">
        <v>51.901352837720211</v>
      </c>
      <c r="J47" s="105">
        <v>0.15790514288582802</v>
      </c>
      <c r="K47" s="105">
        <v>0.69437967024212899</v>
      </c>
    </row>
    <row r="48" spans="1:11" ht="12.95" customHeight="1">
      <c r="A48" s="107"/>
      <c r="B48" s="107" t="s">
        <v>7</v>
      </c>
      <c r="C48" s="105">
        <v>51.414882036129718</v>
      </c>
      <c r="D48" s="105">
        <v>-0.30002027163996692</v>
      </c>
      <c r="E48" s="105">
        <v>0.76626782494675361</v>
      </c>
      <c r="F48" s="105">
        <v>51.063712543494802</v>
      </c>
      <c r="G48" s="105">
        <v>-0.64097559302789264</v>
      </c>
      <c r="H48" s="105">
        <v>0.66796616233733008</v>
      </c>
      <c r="I48" s="105">
        <v>52.018537877588187</v>
      </c>
      <c r="J48" s="105">
        <v>0.22578417220526781</v>
      </c>
      <c r="K48" s="105">
        <v>0.92173164183779743</v>
      </c>
    </row>
    <row r="49" spans="1:11" ht="12.95" customHeight="1">
      <c r="A49" s="107"/>
      <c r="B49" s="107" t="s">
        <v>8</v>
      </c>
      <c r="C49" s="105">
        <v>51.444153247081111</v>
      </c>
      <c r="D49" s="105">
        <v>5.6931397665804795E-2</v>
      </c>
      <c r="E49" s="105">
        <v>0.82363546959516309</v>
      </c>
      <c r="F49" s="105">
        <v>51.085719687011455</v>
      </c>
      <c r="G49" s="105">
        <v>4.3097421672788627E-2</v>
      </c>
      <c r="H49" s="105">
        <v>0.71135146020373519</v>
      </c>
      <c r="I49" s="105">
        <v>52.060839540107672</v>
      </c>
      <c r="J49" s="105">
        <v>8.1320360481940135E-2</v>
      </c>
      <c r="K49" s="105">
        <v>1.003801557813544</v>
      </c>
    </row>
    <row r="50" spans="1:11" ht="12.95" customHeight="1">
      <c r="A50" s="107"/>
      <c r="B50" s="107" t="s">
        <v>9</v>
      </c>
      <c r="C50" s="105">
        <v>51.751500962070793</v>
      </c>
      <c r="D50" s="105">
        <v>0.59743954480797612</v>
      </c>
      <c r="E50" s="105">
        <v>1.4259957384035626</v>
      </c>
      <c r="F50" s="105">
        <v>51.523829537020298</v>
      </c>
      <c r="G50" s="105">
        <v>0.85759749043965439</v>
      </c>
      <c r="H50" s="105">
        <v>1.5750494829142925</v>
      </c>
      <c r="I50" s="105">
        <v>52.161266403560738</v>
      </c>
      <c r="J50" s="105">
        <v>0.19290288888964557</v>
      </c>
      <c r="K50" s="105">
        <v>1.1986408089069256</v>
      </c>
    </row>
    <row r="51" spans="1:11" ht="12.95" customHeight="1">
      <c r="A51" s="107"/>
      <c r="B51" s="107" t="s">
        <v>10</v>
      </c>
      <c r="C51" s="105">
        <v>52.443556020993114</v>
      </c>
      <c r="D51" s="105">
        <v>1.3372656755009649</v>
      </c>
      <c r="E51" s="105">
        <v>2.7823307654483154</v>
      </c>
      <c r="F51" s="105">
        <v>52.190646451039107</v>
      </c>
      <c r="G51" s="105">
        <v>1.2941912897598051</v>
      </c>
      <c r="H51" s="105">
        <v>2.8896249258913986</v>
      </c>
      <c r="I51" s="105">
        <v>52.893952565073008</v>
      </c>
      <c r="J51" s="105">
        <v>1.4046556228977103</v>
      </c>
      <c r="K51" s="105">
        <v>2.6201332073253036</v>
      </c>
    </row>
    <row r="52" spans="1:11" ht="12.95" customHeight="1">
      <c r="A52" s="107"/>
      <c r="B52" s="107" t="s">
        <v>11</v>
      </c>
      <c r="C52" s="105">
        <v>54.153831060867624</v>
      </c>
      <c r="D52" s="105">
        <v>3.2611729059522254</v>
      </c>
      <c r="E52" s="105">
        <v>6.1342402884773106</v>
      </c>
      <c r="F52" s="105">
        <v>54.223280228538201</v>
      </c>
      <c r="G52" s="105">
        <v>3.8946323062044153</v>
      </c>
      <c r="H52" s="105">
        <v>6.8967974979877056</v>
      </c>
      <c r="I52" s="105">
        <v>54.099982250326057</v>
      </c>
      <c r="J52" s="105">
        <v>2.2800899285590814</v>
      </c>
      <c r="K52" s="105">
        <v>4.9599645292594419</v>
      </c>
    </row>
    <row r="53" spans="1:11" ht="12.95" customHeight="1">
      <c r="A53" s="107"/>
      <c r="B53" s="107" t="s">
        <v>12</v>
      </c>
      <c r="C53" s="105">
        <v>54.755981686153511</v>
      </c>
      <c r="D53" s="105">
        <v>1.1119261804563463</v>
      </c>
      <c r="E53" s="105">
        <v>7.3143746926733311</v>
      </c>
      <c r="F53" s="105">
        <v>54.982702498354833</v>
      </c>
      <c r="G53" s="105">
        <v>1.4005465302280751</v>
      </c>
      <c r="H53" s="105">
        <v>8.39393688627068</v>
      </c>
      <c r="I53" s="105">
        <v>54.454691644826518</v>
      </c>
      <c r="J53" s="105">
        <v>0.65565528812778773</v>
      </c>
      <c r="K53" s="105">
        <v>5.6481400871125853</v>
      </c>
    </row>
    <row r="54" spans="1:11" ht="12.95" customHeight="1">
      <c r="A54" s="107"/>
      <c r="B54" s="107" t="s">
        <v>13</v>
      </c>
      <c r="C54" s="105">
        <v>54.29600551406012</v>
      </c>
      <c r="D54" s="105">
        <v>-0.84004734812326287</v>
      </c>
      <c r="E54" s="105">
        <v>6.4128831339124837</v>
      </c>
      <c r="F54" s="105">
        <v>54.123050570481432</v>
      </c>
      <c r="G54" s="105">
        <v>-1.5634952245192402</v>
      </c>
      <c r="H54" s="105">
        <v>6.6992028593854336</v>
      </c>
      <c r="I54" s="105">
        <v>54.621602260439722</v>
      </c>
      <c r="J54" s="105">
        <v>0.30651282850311379</v>
      </c>
      <c r="K54" s="105">
        <v>5.9719651895545178</v>
      </c>
    </row>
    <row r="55" spans="1:11" ht="12.95" customHeight="1">
      <c r="A55" s="107"/>
      <c r="B55" s="107" t="s">
        <v>14</v>
      </c>
      <c r="C55" s="105">
        <v>54.818705709620794</v>
      </c>
      <c r="D55" s="105">
        <v>0.9626862797951441</v>
      </c>
      <c r="E55" s="105">
        <v>7.4373053597770911</v>
      </c>
      <c r="F55" s="105">
        <v>54.841163746090892</v>
      </c>
      <c r="G55" s="105">
        <v>1.3268157800423674</v>
      </c>
      <c r="H55" s="105">
        <v>8.1149047201031888</v>
      </c>
      <c r="I55" s="105">
        <v>54.838521040655387</v>
      </c>
      <c r="J55" s="105">
        <v>0.39713002042924828</v>
      </c>
      <c r="K55" s="105">
        <v>6.3928116765610721</v>
      </c>
    </row>
    <row r="56" spans="1:11" ht="12.95" customHeight="1">
      <c r="A56" s="107"/>
      <c r="B56" s="107"/>
      <c r="C56" s="105"/>
      <c r="D56" s="105"/>
      <c r="E56" s="105"/>
      <c r="F56" s="105"/>
      <c r="G56" s="105"/>
      <c r="H56" s="105"/>
      <c r="I56" s="105"/>
      <c r="J56" s="105"/>
      <c r="K56" s="105"/>
    </row>
    <row r="57" spans="1:11" ht="12.95" customHeight="1">
      <c r="A57" s="107">
        <v>2006</v>
      </c>
      <c r="B57" s="107" t="s">
        <v>3</v>
      </c>
      <c r="C57" s="105">
        <v>55.667570827211321</v>
      </c>
      <c r="D57" s="105">
        <v>1.5484953659559819</v>
      </c>
      <c r="E57" s="105">
        <v>1.5484953659559819</v>
      </c>
      <c r="F57" s="105">
        <v>55.757402993133248</v>
      </c>
      <c r="G57" s="105">
        <v>1.6707144496138859</v>
      </c>
      <c r="H57" s="105">
        <v>1.6707144496138859</v>
      </c>
      <c r="I57" s="105">
        <v>55.581874520787053</v>
      </c>
      <c r="J57" s="105">
        <v>1.3555315971788717</v>
      </c>
      <c r="K57" s="105">
        <v>1.3555315971788717</v>
      </c>
    </row>
    <row r="58" spans="1:11" ht="12.95" customHeight="1">
      <c r="A58" s="107"/>
      <c r="B58" s="107" t="s">
        <v>4</v>
      </c>
      <c r="C58" s="105">
        <v>55.600665202179563</v>
      </c>
      <c r="D58" s="105">
        <v>-0.12018779342721775</v>
      </c>
      <c r="E58" s="105">
        <v>1.4264464701171153</v>
      </c>
      <c r="F58" s="105">
        <v>55.583762026923544</v>
      </c>
      <c r="G58" s="105">
        <v>-0.31142226303310094</v>
      </c>
      <c r="H58" s="105">
        <v>1.354089209832976</v>
      </c>
      <c r="I58" s="105">
        <v>55.682250452527498</v>
      </c>
      <c r="J58" s="105">
        <v>0.18059112364572361</v>
      </c>
      <c r="K58" s="105">
        <v>1.5385706905673091</v>
      </c>
    </row>
    <row r="59" spans="1:11" ht="12.95" customHeight="1">
      <c r="A59" s="107"/>
      <c r="B59" s="107" t="s">
        <v>5</v>
      </c>
      <c r="C59" s="105">
        <v>55.652935221735632</v>
      </c>
      <c r="D59" s="105">
        <v>9.4009701801223144E-2</v>
      </c>
      <c r="E59" s="105">
        <v>1.5217971699912347</v>
      </c>
      <c r="F59" s="105">
        <v>55.651797647658476</v>
      </c>
      <c r="G59" s="105">
        <v>0.12240197182402657</v>
      </c>
      <c r="H59" s="105">
        <v>1.4781486135501121</v>
      </c>
      <c r="I59" s="105">
        <v>55.710548153140643</v>
      </c>
      <c r="J59" s="105">
        <v>5.0819965757797902E-2</v>
      </c>
      <c r="K59" s="105">
        <v>1.5901725574232195</v>
      </c>
    </row>
    <row r="60" spans="1:11" ht="12.95" customHeight="1">
      <c r="A60" s="107"/>
      <c r="B60" s="107" t="s">
        <v>6</v>
      </c>
      <c r="C60" s="105">
        <v>55.983281745329961</v>
      </c>
      <c r="D60" s="105">
        <v>0.59358328950331884</v>
      </c>
      <c r="E60" s="105">
        <v>2.1244135931957731</v>
      </c>
      <c r="F60" s="105">
        <v>56.057249688823887</v>
      </c>
      <c r="G60" s="105">
        <v>0.72855156221978135</v>
      </c>
      <c r="H60" s="105">
        <v>2.2174692505858351</v>
      </c>
      <c r="I60" s="105">
        <v>55.922992335957673</v>
      </c>
      <c r="J60" s="105">
        <v>0.38133565340812137</v>
      </c>
      <c r="K60" s="105">
        <v>1.9775721057435192</v>
      </c>
    </row>
    <row r="61" spans="1:11" ht="12.95" customHeight="1">
      <c r="A61" s="107"/>
      <c r="B61" s="107" t="s">
        <v>7</v>
      </c>
      <c r="C61" s="105">
        <v>56.303174265013105</v>
      </c>
      <c r="D61" s="105">
        <v>0.5714072303555584</v>
      </c>
      <c r="E61" s="105">
        <v>2.7079598764255142</v>
      </c>
      <c r="F61" s="105">
        <v>56.448628210795718</v>
      </c>
      <c r="G61" s="105">
        <v>0.69817646092946717</v>
      </c>
      <c r="H61" s="105">
        <v>2.9311275598512543</v>
      </c>
      <c r="I61" s="105">
        <v>56.13347482635907</v>
      </c>
      <c r="J61" s="105">
        <v>0.376379162861884</v>
      </c>
      <c r="K61" s="105">
        <v>2.3613944379419882</v>
      </c>
    </row>
    <row r="62" spans="1:11" ht="12.95" customHeight="1">
      <c r="A62" s="107"/>
      <c r="B62" s="107" t="s">
        <v>8</v>
      </c>
      <c r="C62" s="105">
        <v>56.729697624590592</v>
      </c>
      <c r="D62" s="105">
        <v>0.75754762523669861</v>
      </c>
      <c r="E62" s="105">
        <v>3.4860215873984357</v>
      </c>
      <c r="F62" s="105">
        <v>57.130109995013044</v>
      </c>
      <c r="G62" s="105">
        <v>1.2072601333596111</v>
      </c>
      <c r="H62" s="105">
        <v>4.1737740276988733</v>
      </c>
      <c r="I62" s="105">
        <v>56.155796060160348</v>
      </c>
      <c r="J62" s="105">
        <v>3.9764568059119654E-2</v>
      </c>
      <c r="K62" s="105">
        <v>2.4020980042995355</v>
      </c>
    </row>
    <row r="63" spans="1:11" ht="12.95" customHeight="1">
      <c r="A63" s="107"/>
      <c r="B63" s="107" t="s">
        <v>9</v>
      </c>
      <c r="C63" s="105">
        <v>57.237762214675577</v>
      </c>
      <c r="D63" s="105">
        <v>0.89558839789189992</v>
      </c>
      <c r="E63" s="105">
        <v>4.4128303901750821</v>
      </c>
      <c r="F63" s="105">
        <v>57.866101435834594</v>
      </c>
      <c r="G63" s="105">
        <v>1.2882724029164239</v>
      </c>
      <c r="H63" s="105">
        <v>5.5158160095742259</v>
      </c>
      <c r="I63" s="105">
        <v>56.309148982462204</v>
      </c>
      <c r="J63" s="105">
        <v>0.27308476250174074</v>
      </c>
      <c r="K63" s="105">
        <v>2.6817425304313858</v>
      </c>
    </row>
    <row r="64" spans="1:11" ht="12.95" customHeight="1">
      <c r="A64" s="107"/>
      <c r="B64" s="107" t="s">
        <v>10</v>
      </c>
      <c r="C64" s="105">
        <v>57.346483855352183</v>
      </c>
      <c r="D64" s="105">
        <v>0.18994739918174464</v>
      </c>
      <c r="E64" s="105">
        <v>4.6111598459132486</v>
      </c>
      <c r="F64" s="105">
        <v>57.803759710714971</v>
      </c>
      <c r="G64" s="105">
        <v>-0.10773444827408829</v>
      </c>
      <c r="H64" s="105">
        <v>5.4021391273544106</v>
      </c>
      <c r="I64" s="105">
        <v>56.688069629116214</v>
      </c>
      <c r="J64" s="105">
        <v>0.67292909500733522</v>
      </c>
      <c r="K64" s="105">
        <v>3.3727178511791633</v>
      </c>
    </row>
    <row r="65" spans="1:11" ht="12.95" customHeight="1">
      <c r="A65" s="107"/>
      <c r="B65" s="107" t="s">
        <v>11</v>
      </c>
      <c r="C65" s="105">
        <v>56.715062019114903</v>
      </c>
      <c r="D65" s="105">
        <v>-1.1010646055126028</v>
      </c>
      <c r="E65" s="105">
        <v>3.4593233914336885</v>
      </c>
      <c r="F65" s="105">
        <v>56.496608252117561</v>
      </c>
      <c r="G65" s="105">
        <v>-2.2613606193423896</v>
      </c>
      <c r="H65" s="105">
        <v>3.0186166611839482</v>
      </c>
      <c r="I65" s="105">
        <v>57.113742712790476</v>
      </c>
      <c r="J65" s="105">
        <v>0.75090417870857795</v>
      </c>
      <c r="K65" s="105">
        <v>4.1489479091682879</v>
      </c>
    </row>
    <row r="66" spans="1:11" ht="12.95" customHeight="1">
      <c r="A66" s="107"/>
      <c r="B66" s="107" t="s">
        <v>12</v>
      </c>
      <c r="C66" s="105">
        <v>56.77360444101771</v>
      </c>
      <c r="D66" s="105">
        <v>0.10322200103223267</v>
      </c>
      <c r="E66" s="105">
        <v>3.5661161752927439</v>
      </c>
      <c r="F66" s="105">
        <v>56.461562612346889</v>
      </c>
      <c r="G66" s="105">
        <v>-6.2031404813334134E-2</v>
      </c>
      <c r="H66" s="105">
        <v>2.9547127660497496</v>
      </c>
      <c r="I66" s="105">
        <v>57.32365242679456</v>
      </c>
      <c r="J66" s="105">
        <v>0.36752925659182534</v>
      </c>
      <c r="K66" s="105">
        <v>4.5317257631670715</v>
      </c>
    </row>
    <row r="67" spans="1:11" ht="12.95" customHeight="1">
      <c r="A67" s="107"/>
      <c r="B67" s="107" t="s">
        <v>13</v>
      </c>
      <c r="C67" s="105">
        <v>57.137403777127915</v>
      </c>
      <c r="D67" s="105">
        <v>0.64078957059729991</v>
      </c>
      <c r="E67" s="105">
        <v>4.2297570464167045</v>
      </c>
      <c r="F67" s="105">
        <v>56.969970873429737</v>
      </c>
      <c r="G67" s="105">
        <v>0.9004502134903225</v>
      </c>
      <c r="H67" s="105">
        <v>3.8817686969500054</v>
      </c>
      <c r="I67" s="105">
        <v>57.458586963145507</v>
      </c>
      <c r="J67" s="105">
        <v>0.23539068192359736</v>
      </c>
      <c r="K67" s="105">
        <v>4.777783705267491</v>
      </c>
    </row>
    <row r="68" spans="1:11" ht="12.95" customHeight="1">
      <c r="A68" s="108"/>
      <c r="B68" s="108" t="s">
        <v>14</v>
      </c>
      <c r="C68" s="109">
        <v>57.559745535140948</v>
      </c>
      <c r="D68" s="109">
        <v>0.73916861826699432</v>
      </c>
      <c r="E68" s="109">
        <v>5.0001907013997426</v>
      </c>
      <c r="F68" s="109">
        <v>57.556764561494134</v>
      </c>
      <c r="G68" s="109">
        <v>1.030005244987886</v>
      </c>
      <c r="H68" s="109">
        <v>4.9517563631147565</v>
      </c>
      <c r="I68" s="109">
        <v>57.622978718051264</v>
      </c>
      <c r="J68" s="109">
        <v>0.28610476448229782</v>
      </c>
      <c r="K68" s="109">
        <v>5.0775579365672119</v>
      </c>
    </row>
    <row r="69" spans="1:11" ht="12.95" customHeight="1">
      <c r="A69" s="107"/>
      <c r="B69" s="107"/>
      <c r="C69" s="105"/>
      <c r="D69" s="105"/>
      <c r="E69" s="105"/>
      <c r="F69" s="105"/>
      <c r="G69" s="105"/>
      <c r="H69" s="105"/>
      <c r="I69" s="105"/>
      <c r="J69" s="105"/>
      <c r="K69" s="105"/>
    </row>
    <row r="70" spans="1:11" ht="12.95" customHeight="1">
      <c r="A70" s="107">
        <v>2007</v>
      </c>
      <c r="B70" s="107" t="s">
        <v>3</v>
      </c>
      <c r="C70" s="105">
        <v>58.097081336177311</v>
      </c>
      <c r="D70" s="105">
        <v>0.93352706138756236</v>
      </c>
      <c r="E70" s="105">
        <v>0.93352706138756236</v>
      </c>
      <c r="F70" s="105">
        <v>58.288802096204705</v>
      </c>
      <c r="G70" s="105">
        <v>1.2718531701490177</v>
      </c>
      <c r="H70" s="105">
        <v>1.2718531701490177</v>
      </c>
      <c r="I70" s="105">
        <v>57.852675197043659</v>
      </c>
      <c r="J70" s="105">
        <v>0.3986195856279684</v>
      </c>
      <c r="K70" s="105">
        <v>0.3986195856279684</v>
      </c>
    </row>
    <row r="71" spans="1:11" ht="12.95" customHeight="1">
      <c r="A71" s="110"/>
      <c r="B71" s="110" t="s">
        <v>4</v>
      </c>
      <c r="C71" s="105">
        <v>58.274799402667945</v>
      </c>
      <c r="D71" s="105">
        <v>0.30589844171735603</v>
      </c>
      <c r="E71" s="105">
        <v>1.2422811478387308</v>
      </c>
      <c r="F71" s="105">
        <v>58.589238027154295</v>
      </c>
      <c r="G71" s="105">
        <v>0.51542649727769341</v>
      </c>
      <c r="H71" s="105">
        <v>1.7938351356721283</v>
      </c>
      <c r="I71" s="105">
        <v>57.838299310413234</v>
      </c>
      <c r="J71" s="105">
        <v>-2.4849130280424347E-2</v>
      </c>
      <c r="K71" s="105">
        <v>0.37367140184738634</v>
      </c>
    </row>
    <row r="72" spans="1:11" ht="12.95" customHeight="1">
      <c r="A72" s="110"/>
      <c r="B72" s="110" t="s">
        <v>5</v>
      </c>
      <c r="C72" s="105">
        <v>58.734775574761336</v>
      </c>
      <c r="D72" s="105">
        <v>0.78932261768083212</v>
      </c>
      <c r="E72" s="105">
        <v>2.0414093715946269</v>
      </c>
      <c r="F72" s="105">
        <v>59.285318458720582</v>
      </c>
      <c r="G72" s="105">
        <v>1.1880687563195158</v>
      </c>
      <c r="H72" s="105">
        <v>3.003215886778432</v>
      </c>
      <c r="I72" s="105">
        <v>57.926608328285894</v>
      </c>
      <c r="J72" s="105">
        <v>0.15268259773462134</v>
      </c>
      <c r="K72" s="105">
        <v>0.52692453078533319</v>
      </c>
    </row>
    <row r="73" spans="1:11" ht="12.95" customHeight="1">
      <c r="A73" s="107"/>
      <c r="B73" s="107" t="s">
        <v>6</v>
      </c>
      <c r="C73" s="105">
        <v>59.211478153112658</v>
      </c>
      <c r="D73" s="105">
        <v>0.81161896625372432</v>
      </c>
      <c r="E73" s="105">
        <v>2.8695968034870845</v>
      </c>
      <c r="F73" s="105">
        <v>60.019482318153727</v>
      </c>
      <c r="G73" s="105">
        <v>1.2383569465757915</v>
      </c>
      <c r="H73" s="105">
        <v>4.2787633659087998</v>
      </c>
      <c r="I73" s="105">
        <v>58.002595157618188</v>
      </c>
      <c r="J73" s="105">
        <v>0.13117776359641287</v>
      </c>
      <c r="K73" s="105">
        <v>0.65879350219706367</v>
      </c>
    </row>
    <row r="74" spans="1:11" ht="12.95" customHeight="1">
      <c r="A74" s="107"/>
      <c r="B74" s="107" t="s">
        <v>7</v>
      </c>
      <c r="C74" s="105">
        <v>59.840809188567711</v>
      </c>
      <c r="D74" s="105">
        <v>1.0628531073446412</v>
      </c>
      <c r="E74" s="105">
        <v>3.9629495096258571</v>
      </c>
      <c r="F74" s="105">
        <v>60.829813033320555</v>
      </c>
      <c r="G74" s="105">
        <v>1.3501128031584653</v>
      </c>
      <c r="H74" s="105">
        <v>5.6866443010872736</v>
      </c>
      <c r="I74" s="105">
        <v>58.345562738658529</v>
      </c>
      <c r="J74" s="105">
        <v>0.59129695853841202</v>
      </c>
      <c r="K74" s="105">
        <v>1.2539858866770226</v>
      </c>
    </row>
    <row r="75" spans="1:11" ht="12.95" customHeight="1">
      <c r="A75" s="107"/>
      <c r="B75" s="107" t="s">
        <v>8</v>
      </c>
      <c r="C75" s="105">
        <v>60.081251278525613</v>
      </c>
      <c r="D75" s="105">
        <v>0.40180287201703191</v>
      </c>
      <c r="E75" s="105">
        <v>4.38067562658917</v>
      </c>
      <c r="F75" s="105">
        <v>60.958873538869327</v>
      </c>
      <c r="G75" s="105">
        <v>0.2121665333379763</v>
      </c>
      <c r="H75" s="105">
        <v>5.9108759905021291</v>
      </c>
      <c r="I75" s="105">
        <v>58.760409752851032</v>
      </c>
      <c r="J75" s="105">
        <v>0.71101724744808692</v>
      </c>
      <c r="K75" s="105">
        <v>1.9739191900599362</v>
      </c>
    </row>
    <row r="76" spans="1:11" ht="12.95" customHeight="1">
      <c r="A76" s="107"/>
      <c r="B76" s="107" t="s">
        <v>9</v>
      </c>
      <c r="C76" s="105">
        <v>60.235970536411585</v>
      </c>
      <c r="D76" s="105">
        <v>0.25751670378622027</v>
      </c>
      <c r="E76" s="105">
        <v>4.6494733018525469</v>
      </c>
      <c r="F76" s="105">
        <v>61.054082108536456</v>
      </c>
      <c r="G76" s="105">
        <v>0.15618492294877662</v>
      </c>
      <c r="H76" s="105">
        <v>6.0762928105622782</v>
      </c>
      <c r="I76" s="105">
        <v>59.008907221748515</v>
      </c>
      <c r="J76" s="105">
        <v>0.42289948273450673</v>
      </c>
      <c r="K76" s="105">
        <v>2.4051663668388068</v>
      </c>
    </row>
    <row r="77" spans="1:11" ht="12.95" customHeight="1">
      <c r="A77" s="107"/>
      <c r="B77" s="107" t="s">
        <v>10</v>
      </c>
      <c r="C77" s="105">
        <v>59.849172391696683</v>
      </c>
      <c r="D77" s="105">
        <v>-0.64213814647693379</v>
      </c>
      <c r="E77" s="105">
        <v>3.977479113694149</v>
      </c>
      <c r="F77" s="105">
        <v>60.256445869325233</v>
      </c>
      <c r="G77" s="105">
        <v>-1.3064421110995594</v>
      </c>
      <c r="H77" s="105">
        <v>4.690467451391811</v>
      </c>
      <c r="I77" s="105">
        <v>59.269726879186379</v>
      </c>
      <c r="J77" s="105">
        <v>0.44200048724463148</v>
      </c>
      <c r="K77" s="105">
        <v>2.857797701143916</v>
      </c>
    </row>
    <row r="78" spans="1:11" ht="12.95" customHeight="1">
      <c r="A78" s="107"/>
      <c r="B78" s="107" t="s">
        <v>11</v>
      </c>
      <c r="C78" s="105">
        <v>60.578861864699377</v>
      </c>
      <c r="D78" s="105">
        <v>1.2192139737991159</v>
      </c>
      <c r="E78" s="105">
        <v>5.2451870686523794</v>
      </c>
      <c r="F78" s="105">
        <v>60.916558619017273</v>
      </c>
      <c r="G78" s="105">
        <v>1.0955056179775102</v>
      </c>
      <c r="H78" s="105">
        <v>5.8373574038087295</v>
      </c>
      <c r="I78" s="105">
        <v>60.109689398021693</v>
      </c>
      <c r="J78" s="105">
        <v>1.4171864171864224</v>
      </c>
      <c r="K78" s="105">
        <v>4.3154844391815939</v>
      </c>
    </row>
    <row r="79" spans="1:11" ht="12.95" customHeight="1">
      <c r="A79" s="107"/>
      <c r="B79" s="107" t="s">
        <v>12</v>
      </c>
      <c r="C79" s="105">
        <v>60.867392372648865</v>
      </c>
      <c r="D79" s="105">
        <v>0.47628908676744519</v>
      </c>
      <c r="E79" s="105">
        <v>5.7464584090083592</v>
      </c>
      <c r="F79" s="105">
        <v>61.204300074011236</v>
      </c>
      <c r="G79" s="105">
        <v>0.47235343150873188</v>
      </c>
      <c r="H79" s="105">
        <v>6.3372837933237891</v>
      </c>
      <c r="I79" s="105">
        <v>60.401314526810488</v>
      </c>
      <c r="J79" s="105">
        <v>0.48515494208891674</v>
      </c>
      <c r="K79" s="105">
        <v>4.8215761673022772</v>
      </c>
    </row>
    <row r="80" spans="1:11" ht="12.95" customHeight="1">
      <c r="A80" s="107"/>
      <c r="B80" s="107" t="s">
        <v>13</v>
      </c>
      <c r="C80" s="105">
        <v>61.962971982544033</v>
      </c>
      <c r="D80" s="105">
        <v>1.7999450398461292</v>
      </c>
      <c r="E80" s="105">
        <v>7.6498365419542358</v>
      </c>
      <c r="F80" s="105">
        <v>62.793225314455889</v>
      </c>
      <c r="G80" s="105">
        <v>2.5961006637168493</v>
      </c>
      <c r="H80" s="105">
        <v>9.0979067236607314</v>
      </c>
      <c r="I80" s="105">
        <v>60.719637730770081</v>
      </c>
      <c r="J80" s="105">
        <v>0.52701370235626044</v>
      </c>
      <c r="K80" s="105">
        <v>5.374000236729759</v>
      </c>
    </row>
    <row r="81" spans="1:11" ht="12.95" customHeight="1">
      <c r="A81" s="107"/>
      <c r="B81" s="107" t="s">
        <v>14</v>
      </c>
      <c r="C81" s="105">
        <v>62.669662646942058</v>
      </c>
      <c r="D81" s="105">
        <v>1.1405047914698319</v>
      </c>
      <c r="E81" s="105">
        <v>8.8775880857246747</v>
      </c>
      <c r="F81" s="105">
        <v>63.836288088809027</v>
      </c>
      <c r="G81" s="105">
        <v>1.6611071801610588</v>
      </c>
      <c r="H81" s="105">
        <v>10.910139885652882</v>
      </c>
      <c r="I81" s="105">
        <v>60.900363162695534</v>
      </c>
      <c r="J81" s="105">
        <v>0.29763918013936408</v>
      </c>
      <c r="K81" s="105">
        <v>5.6876345471144063</v>
      </c>
    </row>
    <row r="82" spans="1:11" ht="12.95" customHeight="1">
      <c r="A82" s="107"/>
      <c r="B82" s="107"/>
      <c r="C82" s="105"/>
      <c r="D82" s="105"/>
      <c r="E82" s="105"/>
      <c r="F82" s="105"/>
      <c r="G82" s="105"/>
      <c r="H82" s="105"/>
      <c r="I82" s="105"/>
      <c r="J82" s="105"/>
      <c r="K82" s="105"/>
    </row>
    <row r="83" spans="1:11" ht="12.95" customHeight="1">
      <c r="A83" s="107">
        <v>2008</v>
      </c>
      <c r="B83" s="107" t="s">
        <v>3</v>
      </c>
      <c r="C83" s="105">
        <v>63.353354502735407</v>
      </c>
      <c r="D83" s="105">
        <v>1.0909454860879242</v>
      </c>
      <c r="E83" s="105">
        <v>1.0909454860879242</v>
      </c>
      <c r="F83" s="105">
        <v>64.758753341583798</v>
      </c>
      <c r="G83" s="105">
        <v>1.4450483892350263</v>
      </c>
      <c r="H83" s="105">
        <v>1.4450483892350263</v>
      </c>
      <c r="I83" s="105">
        <v>61.208417876204805</v>
      </c>
      <c r="J83" s="105">
        <v>0.50583395157481892</v>
      </c>
      <c r="K83" s="105">
        <v>0.50583395157481892</v>
      </c>
    </row>
    <row r="84" spans="1:11" ht="12.95" customHeight="1">
      <c r="A84" s="107"/>
      <c r="B84" s="107" t="s">
        <v>4</v>
      </c>
      <c r="C84" s="105">
        <v>63.332446494912993</v>
      </c>
      <c r="D84" s="105">
        <v>-3.3002211148125404E-2</v>
      </c>
      <c r="E84" s="105">
        <v>1.0575832388069806</v>
      </c>
      <c r="F84" s="105">
        <v>64.597956646145988</v>
      </c>
      <c r="G84" s="105">
        <v>-0.24830109775222375</v>
      </c>
      <c r="H84" s="105">
        <v>1.1931592204692754</v>
      </c>
      <c r="I84" s="105">
        <v>61.405572892850749</v>
      </c>
      <c r="J84" s="105">
        <v>0.32210441551470126</v>
      </c>
      <c r="K84" s="105">
        <v>0.82956768058271013</v>
      </c>
    </row>
    <row r="85" spans="1:11" ht="12.95" customHeight="1">
      <c r="A85" s="110"/>
      <c r="B85" s="110" t="s">
        <v>5</v>
      </c>
      <c r="C85" s="105">
        <v>64.415326937572331</v>
      </c>
      <c r="D85" s="105">
        <v>1.709835167580831</v>
      </c>
      <c r="E85" s="105">
        <v>2.7855013365313708</v>
      </c>
      <c r="F85" s="105">
        <v>66.252332504561707</v>
      </c>
      <c r="G85" s="105">
        <v>2.5610343489315568</v>
      </c>
      <c r="H85" s="105">
        <v>3.7847507868745023</v>
      </c>
      <c r="I85" s="105">
        <v>61.591798268775634</v>
      </c>
      <c r="J85" s="105">
        <v>0.3032711318398329</v>
      </c>
      <c r="K85" s="105">
        <v>1.1353546517168134</v>
      </c>
    </row>
    <row r="86" spans="1:11" ht="12.95" customHeight="1">
      <c r="A86" s="107"/>
      <c r="B86" s="107" t="s">
        <v>6</v>
      </c>
      <c r="C86" s="105">
        <v>65.626703225369084</v>
      </c>
      <c r="D86" s="105">
        <v>1.8805715120731259</v>
      </c>
      <c r="E86" s="105">
        <v>4.7184561932077207</v>
      </c>
      <c r="F86" s="105">
        <v>67.635432198898812</v>
      </c>
      <c r="G86" s="105">
        <v>2.0876241515600524</v>
      </c>
      <c r="H86" s="105">
        <v>5.9513863099377229</v>
      </c>
      <c r="I86" s="105">
        <v>62.534330928844959</v>
      </c>
      <c r="J86" s="105">
        <v>1.5302892374667865</v>
      </c>
      <c r="K86" s="105">
        <v>2.6830180992259089</v>
      </c>
    </row>
    <row r="87" spans="1:11" ht="12.95" customHeight="1">
      <c r="A87" s="107"/>
      <c r="B87" s="107" t="s">
        <v>7</v>
      </c>
      <c r="C87" s="105">
        <v>65.845208003275928</v>
      </c>
      <c r="D87" s="105">
        <v>0.33295102019139655</v>
      </c>
      <c r="E87" s="105">
        <v>5.0671173614316833</v>
      </c>
      <c r="F87" s="105">
        <v>67.835187410291866</v>
      </c>
      <c r="G87" s="105">
        <v>0.29534107330848602</v>
      </c>
      <c r="H87" s="105">
        <v>6.2643042714507047</v>
      </c>
      <c r="I87" s="105">
        <v>62.782546631293165</v>
      </c>
      <c r="J87" s="105">
        <v>0.39692709390404257</v>
      </c>
      <c r="K87" s="105">
        <v>3.0905948189001275</v>
      </c>
    </row>
    <row r="88" spans="1:11" ht="12.95" customHeight="1">
      <c r="A88" s="107"/>
      <c r="B88" s="107" t="s">
        <v>8</v>
      </c>
      <c r="C88" s="105">
        <v>67.413689621850693</v>
      </c>
      <c r="D88" s="105">
        <v>2.3820740584443501</v>
      </c>
      <c r="E88" s="105">
        <v>7.5698939080536487</v>
      </c>
      <c r="F88" s="105">
        <v>69.935983785482634</v>
      </c>
      <c r="G88" s="105">
        <v>3.0969124659218306</v>
      </c>
      <c r="H88" s="105">
        <v>9.5552167572583677</v>
      </c>
      <c r="I88" s="105">
        <v>63.51472083134432</v>
      </c>
      <c r="J88" s="105">
        <v>1.166206596159669</v>
      </c>
      <c r="K88" s="105">
        <v>4.2928441356983704</v>
      </c>
    </row>
    <row r="89" spans="1:11" ht="12.95" customHeight="1">
      <c r="A89" s="107"/>
      <c r="B89" s="107" t="s">
        <v>9</v>
      </c>
      <c r="C89" s="105">
        <v>68.505087630181364</v>
      </c>
      <c r="D89" s="105">
        <v>1.6189560524765056</v>
      </c>
      <c r="E89" s="105">
        <v>9.3114032161206275</v>
      </c>
      <c r="F89" s="105">
        <v>70.926152910020704</v>
      </c>
      <c r="G89" s="105">
        <v>1.4158221146573835</v>
      </c>
      <c r="H89" s="105">
        <v>11.106323743868462</v>
      </c>
      <c r="I89" s="105">
        <v>64.763369270101961</v>
      </c>
      <c r="J89" s="105">
        <v>1.9659197464998224</v>
      </c>
      <c r="K89" s="105">
        <v>6.3431577527483629</v>
      </c>
    </row>
    <row r="90" spans="1:11" ht="12.95" customHeight="1">
      <c r="A90" s="107"/>
      <c r="B90" s="107" t="s">
        <v>10</v>
      </c>
      <c r="C90" s="105">
        <v>68.567811653648647</v>
      </c>
      <c r="D90" s="105">
        <v>9.1561117045624307E-2</v>
      </c>
      <c r="E90" s="105">
        <v>9.411489957963548</v>
      </c>
      <c r="F90" s="105">
        <v>70.447994315692497</v>
      </c>
      <c r="G90" s="105">
        <v>-0.67416400680129218</v>
      </c>
      <c r="H90" s="105">
        <v>10.357284899907192</v>
      </c>
      <c r="I90" s="105">
        <v>65.679318618269562</v>
      </c>
      <c r="J90" s="105">
        <v>1.414301569684473</v>
      </c>
      <c r="K90" s="105">
        <v>7.8471707020975057</v>
      </c>
    </row>
    <row r="91" spans="1:11" ht="12.95" customHeight="1">
      <c r="A91" s="107"/>
      <c r="B91" s="107" t="s">
        <v>11</v>
      </c>
      <c r="C91" s="105">
        <v>69.410404368892458</v>
      </c>
      <c r="D91" s="105">
        <v>1.2288458606495078</v>
      </c>
      <c r="E91" s="105">
        <v>10.75598852338695</v>
      </c>
      <c r="F91" s="105">
        <v>71.306987188689192</v>
      </c>
      <c r="G91" s="105">
        <v>1.219329068684849</v>
      </c>
      <c r="H91" s="105">
        <v>11.702903354103134</v>
      </c>
      <c r="I91" s="105">
        <v>66.496690458114202</v>
      </c>
      <c r="J91" s="105">
        <v>1.2444889152934513</v>
      </c>
      <c r="K91" s="105">
        <v>9.1893167869427259</v>
      </c>
    </row>
    <row r="92" spans="1:11" ht="12.95" customHeight="1">
      <c r="A92" s="107"/>
      <c r="B92" s="107" t="s">
        <v>12</v>
      </c>
      <c r="C92" s="105">
        <v>68.684896497454233</v>
      </c>
      <c r="D92" s="105">
        <v>-1.0452436893789052</v>
      </c>
      <c r="E92" s="105">
        <v>9.5983185427370277</v>
      </c>
      <c r="F92" s="105">
        <v>70.107359210883459</v>
      </c>
      <c r="G92" s="105">
        <v>-1.6823428181467426</v>
      </c>
      <c r="H92" s="105">
        <v>9.8236775818639757</v>
      </c>
      <c r="I92" s="105">
        <v>66.521334835194935</v>
      </c>
      <c r="J92" s="105">
        <v>3.7061058093201815E-2</v>
      </c>
      <c r="K92" s="105">
        <v>9.2297835030687114</v>
      </c>
    </row>
    <row r="93" spans="1:11" ht="12.95" customHeight="1">
      <c r="A93" s="107"/>
      <c r="B93" s="107" t="s">
        <v>13</v>
      </c>
      <c r="C93" s="105">
        <v>66.433840498794254</v>
      </c>
      <c r="D93" s="105">
        <v>-3.2773668061702788</v>
      </c>
      <c r="E93" s="105">
        <v>6.00637963069659</v>
      </c>
      <c r="F93" s="105">
        <v>66.803902524153727</v>
      </c>
      <c r="G93" s="105">
        <v>-4.7119970341386157</v>
      </c>
      <c r="H93" s="105">
        <v>4.6487891514245927</v>
      </c>
      <c r="I93" s="105">
        <v>65.919500334598283</v>
      </c>
      <c r="J93" s="105">
        <v>-0.90472402889641979</v>
      </c>
      <c r="K93" s="105">
        <v>8.2415554050049078</v>
      </c>
    </row>
    <row r="94" spans="1:11" ht="12.95" customHeight="1">
      <c r="A94" s="107"/>
      <c r="B94" s="107" t="s">
        <v>14</v>
      </c>
      <c r="C94" s="105">
        <v>65.500884103858809</v>
      </c>
      <c r="D94" s="105">
        <v>-1.4043390957540369</v>
      </c>
      <c r="E94" s="105">
        <v>4.5176905975492732</v>
      </c>
      <c r="F94" s="105">
        <v>65.310761142813718</v>
      </c>
      <c r="G94" s="105">
        <v>-2.2351110113666639</v>
      </c>
      <c r="H94" s="105">
        <v>2.3097725418392168</v>
      </c>
      <c r="I94" s="105">
        <v>65.86662330130217</v>
      </c>
      <c r="J94" s="105">
        <v>-8.0214554157287399E-2</v>
      </c>
      <c r="K94" s="105">
        <v>8.1547299239238527</v>
      </c>
    </row>
    <row r="95" spans="1:11" ht="12.95" customHeight="1">
      <c r="A95" s="107"/>
      <c r="B95" s="107"/>
      <c r="C95" s="105"/>
      <c r="D95" s="105"/>
      <c r="E95" s="105"/>
      <c r="F95" s="105"/>
      <c r="G95" s="105"/>
      <c r="H95" s="105"/>
      <c r="I95" s="105"/>
      <c r="J95" s="105"/>
      <c r="K95" s="105"/>
    </row>
    <row r="96" spans="1:11" ht="12.95" customHeight="1">
      <c r="A96" s="107">
        <v>2009</v>
      </c>
      <c r="B96" s="107" t="s">
        <v>3</v>
      </c>
      <c r="C96" s="105">
        <v>65.684597374936004</v>
      </c>
      <c r="D96" s="105">
        <v>0.28047449067389874</v>
      </c>
      <c r="E96" s="105">
        <v>0.28047449067389874</v>
      </c>
      <c r="F96" s="105">
        <v>65.411721738249042</v>
      </c>
      <c r="G96" s="105">
        <v>0.15458493159274944</v>
      </c>
      <c r="H96" s="105">
        <v>0.15458493159274944</v>
      </c>
      <c r="I96" s="105">
        <v>66.177832310516195</v>
      </c>
      <c r="J96" s="105">
        <v>0.47248362465830418</v>
      </c>
      <c r="K96" s="105">
        <v>0.47248362465830418</v>
      </c>
    </row>
    <row r="97" spans="1:11" ht="12.95" customHeight="1">
      <c r="A97" s="107"/>
      <c r="B97" s="107" t="s">
        <v>4</v>
      </c>
      <c r="C97" s="105">
        <v>65.8853142500313</v>
      </c>
      <c r="D97" s="105">
        <v>0.30557677616500634</v>
      </c>
      <c r="E97" s="105">
        <v>0.58690833174546153</v>
      </c>
      <c r="F97" s="105">
        <v>65.759501196084884</v>
      </c>
      <c r="G97" s="105">
        <v>0.53167757795387072</v>
      </c>
      <c r="H97" s="105">
        <v>0.68708440296678663</v>
      </c>
      <c r="I97" s="105">
        <v>66.149615480893743</v>
      </c>
      <c r="J97" s="105">
        <v>-4.2637887397178886E-2</v>
      </c>
      <c r="K97" s="105">
        <v>0.42964428022527201</v>
      </c>
    </row>
    <row r="98" spans="1:11" ht="12.95" customHeight="1">
      <c r="A98" s="110"/>
      <c r="B98" s="110" t="s">
        <v>5</v>
      </c>
      <c r="C98" s="105">
        <v>65.987763488361182</v>
      </c>
      <c r="D98" s="105">
        <v>0.15549631886264681</v>
      </c>
      <c r="E98" s="105">
        <v>0.74331727145906523</v>
      </c>
      <c r="F98" s="105">
        <v>65.80816335391475</v>
      </c>
      <c r="G98" s="105">
        <v>7.4000193043999296E-2</v>
      </c>
      <c r="H98" s="105">
        <v>0.76159303979534965</v>
      </c>
      <c r="I98" s="105">
        <v>66.340609403269482</v>
      </c>
      <c r="J98" s="105">
        <v>0.2887302080099019</v>
      </c>
      <c r="K98" s="105">
        <v>0.71961500105917064</v>
      </c>
    </row>
    <row r="99" spans="1:11" ht="12.95" customHeight="1">
      <c r="A99" s="107"/>
      <c r="B99" s="107" t="s">
        <v>6</v>
      </c>
      <c r="C99" s="105">
        <v>66.081849523562113</v>
      </c>
      <c r="D99" s="105">
        <v>0.14258103355409002</v>
      </c>
      <c r="E99" s="105">
        <v>0.88695813446140193</v>
      </c>
      <c r="F99" s="105">
        <v>65.873751479685438</v>
      </c>
      <c r="G99" s="105">
        <v>9.9665637860080203E-2</v>
      </c>
      <c r="H99" s="105">
        <v>0.86201772421643508</v>
      </c>
      <c r="I99" s="105">
        <v>66.47409977912352</v>
      </c>
      <c r="J99" s="105">
        <v>0.2012197009565897</v>
      </c>
      <c r="K99" s="105">
        <v>0.92228270916894228</v>
      </c>
    </row>
    <row r="100" spans="1:11" ht="12.95" customHeight="1">
      <c r="A100" s="107"/>
      <c r="B100" s="107" t="s">
        <v>7</v>
      </c>
      <c r="C100" s="105">
        <v>66.157118351722843</v>
      </c>
      <c r="D100" s="105">
        <v>0.11390242359043956</v>
      </c>
      <c r="E100" s="105">
        <v>1.0018708248632269</v>
      </c>
      <c r="F100" s="105">
        <v>65.87651542267416</v>
      </c>
      <c r="G100" s="105">
        <v>4.1958184051171799E-3</v>
      </c>
      <c r="H100" s="105">
        <v>0.86624971131987749</v>
      </c>
      <c r="I100" s="105">
        <v>66.663859455243255</v>
      </c>
      <c r="J100" s="105">
        <v>0.2854640781150275</v>
      </c>
      <c r="K100" s="105">
        <v>1.210379573117315</v>
      </c>
    </row>
    <row r="101" spans="1:11" ht="12.95" customHeight="1">
      <c r="A101" s="107"/>
      <c r="B101" s="107" t="s">
        <v>8</v>
      </c>
      <c r="C101" s="105">
        <v>67.587226086776838</v>
      </c>
      <c r="D101" s="105">
        <v>2.1616838379369119</v>
      </c>
      <c r="E101" s="105">
        <v>3.1852119424982117</v>
      </c>
      <c r="F101" s="105">
        <v>67.720613528894077</v>
      </c>
      <c r="G101" s="105">
        <v>2.7993255174289189</v>
      </c>
      <c r="H101" s="105">
        <v>3.6898243779624362</v>
      </c>
      <c r="I101" s="105">
        <v>67.445146162539132</v>
      </c>
      <c r="J101" s="105">
        <v>1.1719794108536741</v>
      </c>
      <c r="K101" s="105">
        <v>2.3965443833610767</v>
      </c>
    </row>
    <row r="102" spans="1:11" ht="12.95" customHeight="1">
      <c r="A102" s="107"/>
      <c r="B102" s="107" t="s">
        <v>9</v>
      </c>
      <c r="C102" s="105">
        <v>67.668767317284292</v>
      </c>
      <c r="D102" s="105">
        <v>0.12064591969311866</v>
      </c>
      <c r="E102" s="105">
        <v>3.3097006904335258</v>
      </c>
      <c r="F102" s="105">
        <v>67.589166392152251</v>
      </c>
      <c r="G102" s="105">
        <v>-0.19410210553650886</v>
      </c>
      <c r="H102" s="105">
        <v>3.4885602456177001</v>
      </c>
      <c r="I102" s="105">
        <v>67.861223886445686</v>
      </c>
      <c r="J102" s="105">
        <v>0.61691277664939204</v>
      </c>
      <c r="K102" s="105">
        <v>3.0282417485094859</v>
      </c>
    </row>
    <row r="103" spans="1:11" ht="12.95" customHeight="1">
      <c r="A103" s="107"/>
      <c r="B103" s="107" t="s">
        <v>10</v>
      </c>
      <c r="C103" s="105">
        <v>68.245828333183283</v>
      </c>
      <c r="D103" s="105">
        <v>0.85277305731501496</v>
      </c>
      <c r="E103" s="105">
        <v>4.1906979835143465</v>
      </c>
      <c r="F103" s="105">
        <v>68.397260856778303</v>
      </c>
      <c r="G103" s="105">
        <v>1.195597619798261</v>
      </c>
      <c r="H103" s="105">
        <v>4.7258670086777865</v>
      </c>
      <c r="I103" s="105">
        <v>68.079158527697558</v>
      </c>
      <c r="J103" s="105">
        <v>0.32114752545069347</v>
      </c>
      <c r="K103" s="105">
        <v>3.359114397400198</v>
      </c>
    </row>
    <row r="104" spans="1:11" ht="12.95" customHeight="1">
      <c r="A104" s="107"/>
      <c r="B104" s="107" t="s">
        <v>11</v>
      </c>
      <c r="C104" s="105">
        <v>68.321097161344014</v>
      </c>
      <c r="D104" s="105">
        <v>0.11029073864157191</v>
      </c>
      <c r="E104" s="105">
        <v>4.3056106739161715</v>
      </c>
      <c r="F104" s="105">
        <v>67.973028154761664</v>
      </c>
      <c r="G104" s="105">
        <v>-0.62024808698840639</v>
      </c>
      <c r="H104" s="105">
        <v>4.0763068219744403</v>
      </c>
      <c r="I104" s="105">
        <v>68.940591185287857</v>
      </c>
      <c r="J104" s="105">
        <v>1.2653397548088474</v>
      </c>
      <c r="K104" s="105">
        <v>4.6669583620888577</v>
      </c>
    </row>
    <row r="105" spans="1:11" ht="12.95" customHeight="1">
      <c r="A105" s="107"/>
      <c r="B105" s="107" t="s">
        <v>12</v>
      </c>
      <c r="C105" s="105">
        <v>68.477907220012213</v>
      </c>
      <c r="D105" s="105">
        <v>0.22951923371177241</v>
      </c>
      <c r="E105" s="105">
        <v>4.5450121122533327</v>
      </c>
      <c r="F105" s="105">
        <v>68.071787280323406</v>
      </c>
      <c r="G105" s="105">
        <v>0.14529163734899875</v>
      </c>
      <c r="H105" s="105">
        <v>4.2275209922484347</v>
      </c>
      <c r="I105" s="105">
        <v>69.186726199691705</v>
      </c>
      <c r="J105" s="105">
        <v>0.35702480958181848</v>
      </c>
      <c r="K105" s="105">
        <v>5.0406453708761845</v>
      </c>
    </row>
    <row r="106" spans="1:11" ht="12.95" customHeight="1">
      <c r="A106" s="107"/>
      <c r="B106" s="107" t="s">
        <v>13</v>
      </c>
      <c r="C106" s="105">
        <v>69.209687493797148</v>
      </c>
      <c r="D106" s="105">
        <v>1.0686370297997128</v>
      </c>
      <c r="E106" s="105">
        <v>5.6622188244934701</v>
      </c>
      <c r="F106" s="105">
        <v>69.107918341157884</v>
      </c>
      <c r="G106" s="105">
        <v>1.5221152583634101</v>
      </c>
      <c r="H106" s="105">
        <v>5.8139839926853787</v>
      </c>
      <c r="I106" s="105">
        <v>69.441929056883239</v>
      </c>
      <c r="J106" s="105">
        <v>0.36886101021018636</v>
      </c>
      <c r="K106" s="105">
        <v>5.4280993565224867</v>
      </c>
    </row>
    <row r="107" spans="1:11" ht="12.95" customHeight="1">
      <c r="A107" s="107"/>
      <c r="B107" s="107" t="s">
        <v>14</v>
      </c>
      <c r="C107" s="105">
        <v>69.276593118828913</v>
      </c>
      <c r="D107" s="105">
        <v>9.6670896018369312E-2</v>
      </c>
      <c r="E107" s="105">
        <v>5.7643634381839837</v>
      </c>
      <c r="F107" s="105">
        <v>69.108926884194972</v>
      </c>
      <c r="G107" s="105">
        <v>1.4593740649271325E-3</v>
      </c>
      <c r="H107" s="105">
        <v>5.8155282145248455</v>
      </c>
      <c r="I107" s="105">
        <v>69.611868943126495</v>
      </c>
      <c r="J107" s="105">
        <v>0.24472230041887588</v>
      </c>
      <c r="K107" s="105">
        <v>5.6861054265556765</v>
      </c>
    </row>
    <row r="108" spans="1:11" ht="12.95" customHeight="1">
      <c r="A108" s="107"/>
      <c r="B108" s="107"/>
      <c r="C108" s="105"/>
      <c r="D108" s="105"/>
      <c r="E108" s="105"/>
      <c r="F108" s="105"/>
      <c r="G108" s="105"/>
      <c r="H108" s="105"/>
      <c r="I108" s="105"/>
      <c r="J108" s="105"/>
      <c r="K108" s="105"/>
    </row>
    <row r="109" spans="1:11" ht="12.95" customHeight="1">
      <c r="A109" s="107">
        <v>2010</v>
      </c>
      <c r="B109" s="107" t="s">
        <v>3</v>
      </c>
      <c r="C109" s="105">
        <v>70.186091459104475</v>
      </c>
      <c r="D109" s="105">
        <v>1.3128508480714673</v>
      </c>
      <c r="E109" s="105">
        <v>1.3128508480714673</v>
      </c>
      <c r="F109" s="105">
        <v>69.997340419268113</v>
      </c>
      <c r="G109" s="105">
        <v>1.2855264509632036</v>
      </c>
      <c r="H109" s="105">
        <v>1.2855264509632036</v>
      </c>
      <c r="I109" s="105">
        <v>70.554797884076507</v>
      </c>
      <c r="J109" s="105">
        <v>1.3545519683150431</v>
      </c>
      <c r="K109" s="105">
        <v>1.3545519683150431</v>
      </c>
    </row>
    <row r="110" spans="1:11" ht="12.95" customHeight="1">
      <c r="A110" s="107"/>
      <c r="B110" s="107" t="s">
        <v>4</v>
      </c>
      <c r="C110" s="105">
        <v>70.284359095869888</v>
      </c>
      <c r="D110" s="105">
        <v>0.14001012839228721</v>
      </c>
      <c r="E110" s="105">
        <v>1.4546991006217258</v>
      </c>
      <c r="F110" s="105">
        <v>70.024845117171964</v>
      </c>
      <c r="G110" s="105">
        <v>3.929391851047459E-2</v>
      </c>
      <c r="H110" s="105">
        <v>1.3253255031897559</v>
      </c>
      <c r="I110" s="105">
        <v>70.762221391172758</v>
      </c>
      <c r="J110" s="105">
        <v>0.29398923009751332</v>
      </c>
      <c r="K110" s="105">
        <v>1.6525234353154783</v>
      </c>
    </row>
    <row r="111" spans="1:11" ht="12.95" customHeight="1">
      <c r="A111" s="110"/>
      <c r="B111" s="110" t="s">
        <v>5</v>
      </c>
      <c r="C111" s="105">
        <v>70.888600521938031</v>
      </c>
      <c r="D111" s="105">
        <v>0.85970966206569965</v>
      </c>
      <c r="E111" s="105">
        <v>2.3269149514094423</v>
      </c>
      <c r="F111" s="105">
        <v>70.894416720131659</v>
      </c>
      <c r="G111" s="105">
        <v>1.2418043931473832</v>
      </c>
      <c r="H111" s="105">
        <v>2.583587846659241</v>
      </c>
      <c r="I111" s="105">
        <v>70.949107917368394</v>
      </c>
      <c r="J111" s="105">
        <v>0.26410494543767093</v>
      </c>
      <c r="K111" s="105">
        <v>1.9209927768703228</v>
      </c>
    </row>
    <row r="112" spans="1:11" ht="12.95" customHeight="1">
      <c r="A112" s="107"/>
      <c r="B112" s="107" t="s">
        <v>6</v>
      </c>
      <c r="C112" s="105">
        <v>71.141587416589388</v>
      </c>
      <c r="D112" s="105">
        <v>0.35687951629552739</v>
      </c>
      <c r="E112" s="105">
        <v>2.6920987505281602</v>
      </c>
      <c r="F112" s="105">
        <v>71.097528335421529</v>
      </c>
      <c r="G112" s="105">
        <v>0.28649874656800911</v>
      </c>
      <c r="H112" s="105">
        <v>2.8774885400244088</v>
      </c>
      <c r="I112" s="105">
        <v>71.283860706048486</v>
      </c>
      <c r="J112" s="105">
        <v>0.47182099748168671</v>
      </c>
      <c r="K112" s="105">
        <v>2.4018774216334027</v>
      </c>
    </row>
    <row r="113" spans="1:11" ht="12.95" customHeight="1">
      <c r="A113" s="107"/>
      <c r="B113" s="107" t="s">
        <v>7</v>
      </c>
      <c r="C113" s="105">
        <v>71.384120307329539</v>
      </c>
      <c r="D113" s="105">
        <v>0.34091577029331521</v>
      </c>
      <c r="E113" s="105">
        <v>3.0421923100139026</v>
      </c>
      <c r="F113" s="105">
        <v>71.292176966740968</v>
      </c>
      <c r="G113" s="105">
        <v>0.27377693131769298</v>
      </c>
      <c r="H113" s="105">
        <v>3.1591433711659844</v>
      </c>
      <c r="I113" s="105">
        <v>71.604237608098131</v>
      </c>
      <c r="J113" s="105">
        <v>0.44943820224716546</v>
      </c>
      <c r="K113" s="105">
        <v>2.8621105785845424</v>
      </c>
    </row>
    <row r="114" spans="1:11" ht="12.95" customHeight="1">
      <c r="A114" s="107"/>
      <c r="B114" s="107" t="s">
        <v>8</v>
      </c>
      <c r="C114" s="105">
        <v>71.262853861959456</v>
      </c>
      <c r="D114" s="105">
        <v>-0.16987874172574857</v>
      </c>
      <c r="E114" s="105">
        <v>2.8671455302710092</v>
      </c>
      <c r="F114" s="105">
        <v>70.972699321857959</v>
      </c>
      <c r="G114" s="105">
        <v>-0.44812440645773943</v>
      </c>
      <c r="H114" s="105">
        <v>2.6968620722270575</v>
      </c>
      <c r="I114" s="105">
        <v>71.791124134293767</v>
      </c>
      <c r="J114" s="105">
        <v>0.26099925428784143</v>
      </c>
      <c r="K114" s="105">
        <v>3.1305799201393869</v>
      </c>
    </row>
    <row r="115" spans="1:11" ht="12.95" customHeight="1">
      <c r="A115" s="107"/>
      <c r="B115" s="107" t="s">
        <v>9</v>
      </c>
      <c r="C115" s="105">
        <v>71.507406770786318</v>
      </c>
      <c r="D115" s="105">
        <v>0.34317024308425648</v>
      </c>
      <c r="E115" s="105">
        <v>3.2201549636410753</v>
      </c>
      <c r="F115" s="105">
        <v>71.183349050533522</v>
      </c>
      <c r="G115" s="105">
        <v>0.29680388471668984</v>
      </c>
      <c r="H115" s="105">
        <v>3.0016703483395579</v>
      </c>
      <c r="I115" s="105">
        <v>72.089910231671112</v>
      </c>
      <c r="J115" s="105">
        <v>0.41618807475201081</v>
      </c>
      <c r="K115" s="105">
        <v>3.5597970951896096</v>
      </c>
    </row>
    <row r="116" spans="1:11" ht="12.95" customHeight="1">
      <c r="A116" s="107"/>
      <c r="B116" s="107" t="s">
        <v>10</v>
      </c>
      <c r="C116" s="105">
        <v>71.664025014261028</v>
      </c>
      <c r="D116" s="105">
        <v>0.21902380543143973</v>
      </c>
      <c r="E116" s="105">
        <v>3.4462316750146771</v>
      </c>
      <c r="F116" s="105">
        <v>71.439904323804484</v>
      </c>
      <c r="G116" s="105">
        <v>0.36041472717001088</v>
      </c>
      <c r="H116" s="105">
        <v>3.3729035375061001</v>
      </c>
      <c r="I116" s="105">
        <v>72.089512268115044</v>
      </c>
      <c r="J116" s="105">
        <v>-5.5203780222612409E-4</v>
      </c>
      <c r="K116" s="105">
        <v>3.5592254059617412</v>
      </c>
    </row>
    <row r="117" spans="1:11" ht="12.95" customHeight="1">
      <c r="A117" s="107"/>
      <c r="B117" s="107" t="s">
        <v>11</v>
      </c>
      <c r="C117" s="105">
        <v>72.216259018662114</v>
      </c>
      <c r="D117" s="105">
        <v>0.77058747996807675</v>
      </c>
      <c r="E117" s="105">
        <v>4.2433753848011069</v>
      </c>
      <c r="F117" s="105">
        <v>71.732273863805275</v>
      </c>
      <c r="G117" s="105">
        <v>0.40925242379330484</v>
      </c>
      <c r="H117" s="105">
        <v>3.7959596507788573</v>
      </c>
      <c r="I117" s="105">
        <v>73.049655443827788</v>
      </c>
      <c r="J117" s="105">
        <v>1.3318763652357513</v>
      </c>
      <c r="K117" s="105">
        <v>4.9385062531649426</v>
      </c>
    </row>
    <row r="118" spans="1:11" ht="12.95" customHeight="1">
      <c r="A118" s="107"/>
      <c r="B118" s="107" t="s">
        <v>12</v>
      </c>
      <c r="C118" s="105">
        <v>72.703415600924671</v>
      </c>
      <c r="D118" s="105">
        <v>0.67458019687320903</v>
      </c>
      <c r="E118" s="105">
        <v>4.9465805516991646</v>
      </c>
      <c r="F118" s="105">
        <v>72.388133390909175</v>
      </c>
      <c r="G118" s="105">
        <v>0.91431581877516876</v>
      </c>
      <c r="H118" s="105">
        <v>4.7449825291154157</v>
      </c>
      <c r="I118" s="105">
        <v>73.275947853408525</v>
      </c>
      <c r="J118" s="105">
        <v>0.30977888698564549</v>
      </c>
      <c r="K118" s="105">
        <v>5.2635835898553696</v>
      </c>
    </row>
    <row r="119" spans="1:11" ht="12.95" customHeight="1">
      <c r="A119" s="107"/>
      <c r="B119" s="107" t="s">
        <v>13</v>
      </c>
      <c r="C119" s="105">
        <v>72.929222085406877</v>
      </c>
      <c r="D119" s="105">
        <v>0.31058579932705666</v>
      </c>
      <c r="E119" s="105">
        <v>5.2725297277720795</v>
      </c>
      <c r="F119" s="105">
        <v>72.67799059189575</v>
      </c>
      <c r="G119" s="105">
        <v>0.4004208803413789</v>
      </c>
      <c r="H119" s="105">
        <v>5.1644033102719478</v>
      </c>
      <c r="I119" s="105">
        <v>73.399169738812233</v>
      </c>
      <c r="J119" s="105">
        <v>0.16816143497757619</v>
      </c>
      <c r="K119" s="105">
        <v>5.4405963425288917</v>
      </c>
    </row>
    <row r="120" spans="1:11" ht="12.95" customHeight="1">
      <c r="A120" s="107"/>
      <c r="B120" s="107" t="s">
        <v>14</v>
      </c>
      <c r="C120" s="105">
        <v>73.59827833572453</v>
      </c>
      <c r="D120" s="105">
        <v>0.91740489091480804</v>
      </c>
      <c r="E120" s="105">
        <v>6.2383050642844218</v>
      </c>
      <c r="F120" s="105">
        <v>73.147686202253553</v>
      </c>
      <c r="G120" s="105">
        <v>0.64626939535967765</v>
      </c>
      <c r="H120" s="105">
        <v>5.8440486636788469</v>
      </c>
      <c r="I120" s="105">
        <v>74.384944822041945</v>
      </c>
      <c r="J120" s="105">
        <v>1.3430330162283122</v>
      </c>
      <c r="K120" s="105">
        <v>6.8566983639170687</v>
      </c>
    </row>
    <row r="121" spans="1:11" ht="12.95" customHeight="1">
      <c r="A121" s="107"/>
      <c r="B121" s="107"/>
      <c r="C121" s="105"/>
      <c r="D121" s="105"/>
      <c r="E121" s="105"/>
      <c r="F121" s="105"/>
      <c r="G121" s="105"/>
      <c r="H121" s="105"/>
      <c r="I121" s="105"/>
      <c r="J121" s="105"/>
      <c r="K121" s="105"/>
    </row>
    <row r="122" spans="1:11" ht="12.95" customHeight="1">
      <c r="A122" s="107">
        <v>2011</v>
      </c>
      <c r="B122" s="107" t="s">
        <v>3</v>
      </c>
      <c r="C122" s="105">
        <v>74.51384091822095</v>
      </c>
      <c r="D122" s="105">
        <v>1.2440000000000007</v>
      </c>
      <c r="E122" s="105">
        <v>1.2440000000000007</v>
      </c>
      <c r="F122" s="105">
        <v>74.225809949188573</v>
      </c>
      <c r="G122" s="105">
        <v>1.4739000000000058</v>
      </c>
      <c r="H122" s="105">
        <v>1.4739000000000058</v>
      </c>
      <c r="I122" s="105">
        <v>75.039755491310387</v>
      </c>
      <c r="J122" s="105">
        <v>0.88030000000001163</v>
      </c>
      <c r="K122" s="105">
        <v>0.88030000000001163</v>
      </c>
    </row>
    <row r="123" spans="1:11" ht="12.95" customHeight="1">
      <c r="A123" s="107"/>
      <c r="B123" s="107" t="s">
        <v>4</v>
      </c>
      <c r="C123" s="105">
        <v>75.408795982783346</v>
      </c>
      <c r="D123" s="105">
        <v>1.2010588281774481</v>
      </c>
      <c r="E123" s="105">
        <v>2.4599999999999955</v>
      </c>
      <c r="F123" s="105">
        <v>75.274089440153062</v>
      </c>
      <c r="G123" s="105">
        <v>1.4122843410965702</v>
      </c>
      <c r="H123" s="105">
        <v>2.9069999999999929</v>
      </c>
      <c r="I123" s="105">
        <v>75.700814495943874</v>
      </c>
      <c r="J123" s="105">
        <v>0.88094504080578062</v>
      </c>
      <c r="K123" s="105">
        <v>1.7690000000000206</v>
      </c>
    </row>
    <row r="124" spans="1:11" ht="12.95" customHeight="1">
      <c r="A124" s="107"/>
      <c r="B124" s="107" t="s">
        <v>5</v>
      </c>
      <c r="C124" s="105">
        <v>76.280935581061684</v>
      </c>
      <c r="D124" s="105">
        <v>1.1565488971305937</v>
      </c>
      <c r="E124" s="105">
        <v>3.6449999999999871</v>
      </c>
      <c r="F124" s="105">
        <v>76.446646849975195</v>
      </c>
      <c r="G124" s="105">
        <v>1.557717162097827</v>
      </c>
      <c r="H124" s="105">
        <v>4.510000000000014</v>
      </c>
      <c r="I124" s="105">
        <v>76.110675541913309</v>
      </c>
      <c r="J124" s="105">
        <v>0.54142224056439314</v>
      </c>
      <c r="K124" s="105">
        <v>2.3199999999999887</v>
      </c>
    </row>
    <row r="125" spans="1:11" ht="12.95" customHeight="1">
      <c r="A125" s="107"/>
      <c r="B125" s="107" t="s">
        <v>6</v>
      </c>
      <c r="C125" s="105">
        <v>76.947000000000003</v>
      </c>
      <c r="D125" s="105">
        <v>0.87317284963097652</v>
      </c>
      <c r="E125" s="105">
        <v>4.5500000000000096</v>
      </c>
      <c r="F125" s="105">
        <v>77.246809389341635</v>
      </c>
      <c r="G125" s="105">
        <v>1.0466940962587046</v>
      </c>
      <c r="H125" s="105">
        <v>5.603899999999995</v>
      </c>
      <c r="I125" s="105">
        <v>76.573349898706411</v>
      </c>
      <c r="J125" s="105">
        <v>0.60789679437061039</v>
      </c>
      <c r="K125" s="105">
        <v>2.9420000000000002</v>
      </c>
    </row>
    <row r="126" spans="1:11" ht="12.95" customHeight="1">
      <c r="A126" s="107"/>
      <c r="B126" s="107" t="s">
        <v>7</v>
      </c>
      <c r="C126" s="105">
        <v>77.115540057388799</v>
      </c>
      <c r="D126" s="105">
        <v>0.21903395504541123</v>
      </c>
      <c r="E126" s="105">
        <v>4.7789999999999999</v>
      </c>
      <c r="F126" s="105">
        <v>77.470714456806746</v>
      </c>
      <c r="G126" s="105">
        <v>0.28985671930679135</v>
      </c>
      <c r="H126" s="105">
        <v>5.9100000000000152</v>
      </c>
      <c r="I126" s="105">
        <v>76.646247144632028</v>
      </c>
      <c r="J126" s="105">
        <v>9.5199238406107334E-2</v>
      </c>
      <c r="K126" s="105">
        <v>3.0400000000000205</v>
      </c>
    </row>
    <row r="127" spans="1:11" ht="12.95" customHeight="1">
      <c r="A127" s="107"/>
      <c r="B127" s="107" t="s">
        <v>8</v>
      </c>
      <c r="C127" s="105">
        <v>77.901569670014339</v>
      </c>
      <c r="D127" s="105">
        <v>1.0192882161501826</v>
      </c>
      <c r="E127" s="105">
        <v>5.8470000000000022</v>
      </c>
      <c r="F127" s="105">
        <v>78.268024236411307</v>
      </c>
      <c r="G127" s="105">
        <v>1.029175715229913</v>
      </c>
      <c r="H127" s="105">
        <v>7.0000000000000062</v>
      </c>
      <c r="I127" s="105">
        <v>77.41985057078125</v>
      </c>
      <c r="J127" s="105">
        <v>1.0093167701863193</v>
      </c>
      <c r="K127" s="105">
        <v>4.0799999999999947</v>
      </c>
    </row>
    <row r="128" spans="1:11" ht="12.95" customHeight="1">
      <c r="A128" s="107"/>
      <c r="B128" s="107" t="s">
        <v>52</v>
      </c>
      <c r="C128" s="105">
        <v>78.566162123385936</v>
      </c>
      <c r="D128" s="105">
        <v>0.85311818001454487</v>
      </c>
      <c r="E128" s="105">
        <v>6.7500000000000115</v>
      </c>
      <c r="F128" s="105">
        <v>79.156549180710073</v>
      </c>
      <c r="G128" s="105">
        <v>1.1352336448598122</v>
      </c>
      <c r="H128" s="105">
        <v>8.214699999999997</v>
      </c>
      <c r="I128" s="105">
        <v>77.74587978393626</v>
      </c>
      <c r="J128" s="105">
        <v>0.42111837048424139</v>
      </c>
      <c r="K128" s="105">
        <v>4.5182999999999973</v>
      </c>
    </row>
    <row r="129" spans="1:11" ht="12.95" customHeight="1">
      <c r="A129" s="107"/>
      <c r="B129" s="107" t="s">
        <v>10</v>
      </c>
      <c r="C129" s="105">
        <v>78.956380195121952</v>
      </c>
      <c r="D129" s="105">
        <v>0.49667447306791512</v>
      </c>
      <c r="E129" s="105">
        <v>7.2802000000000033</v>
      </c>
      <c r="F129" s="105">
        <v>79.442702929133304</v>
      </c>
      <c r="G129" s="105">
        <v>0.36150356652102644</v>
      </c>
      <c r="H129" s="105">
        <v>8.6059000000000108</v>
      </c>
      <c r="I129" s="105">
        <v>78.291195814426658</v>
      </c>
      <c r="J129" s="105">
        <v>0.70140827013069895</v>
      </c>
      <c r="K129" s="105">
        <v>5.251399999999995</v>
      </c>
    </row>
    <row r="130" spans="1:11" ht="12.95" customHeight="1">
      <c r="A130" s="107"/>
      <c r="B130" s="107" t="s">
        <v>11</v>
      </c>
      <c r="C130" s="105">
        <v>79.125141047345764</v>
      </c>
      <c r="D130" s="105">
        <v>0.21373934798778471</v>
      </c>
      <c r="E130" s="105">
        <v>7.5094999999999912</v>
      </c>
      <c r="F130" s="105">
        <v>79.563250315994608</v>
      </c>
      <c r="G130" s="105">
        <v>0.15174129582278262</v>
      </c>
      <c r="H130" s="105">
        <v>8.7706999999999979</v>
      </c>
      <c r="I130" s="105">
        <v>78.509515627479345</v>
      </c>
      <c r="J130" s="105">
        <v>0.2788561482317542</v>
      </c>
      <c r="K130" s="105">
        <v>5.544899999999986</v>
      </c>
    </row>
    <row r="131" spans="1:11" ht="12.95" customHeight="1">
      <c r="A131" s="107"/>
      <c r="B131" s="107" t="s">
        <v>12</v>
      </c>
      <c r="C131" s="105">
        <v>79.149060487804874</v>
      </c>
      <c r="D131" s="105">
        <v>3.0229886661170546E-2</v>
      </c>
      <c r="E131" s="105">
        <v>7.5420000000000043</v>
      </c>
      <c r="F131" s="105">
        <v>79.522068168662742</v>
      </c>
      <c r="G131" s="105">
        <v>-5.1760262644262589E-2</v>
      </c>
      <c r="H131" s="105">
        <v>8.7144000000000119</v>
      </c>
      <c r="I131" s="105">
        <v>78.630956488395825</v>
      </c>
      <c r="J131" s="105">
        <v>0.15468298326117846</v>
      </c>
      <c r="K131" s="105">
        <v>5.7081600000000066</v>
      </c>
    </row>
    <row r="132" spans="1:11" ht="12.95" customHeight="1">
      <c r="A132" s="107"/>
      <c r="B132" s="107" t="s">
        <v>13</v>
      </c>
      <c r="C132" s="105">
        <v>79.220450817790521</v>
      </c>
      <c r="D132" s="105">
        <v>9.0197318257034809E-2</v>
      </c>
      <c r="E132" s="105">
        <v>7.6389999999999958</v>
      </c>
      <c r="F132" s="105">
        <v>79.576621713032381</v>
      </c>
      <c r="G132" s="105">
        <v>6.8601767567133543E-2</v>
      </c>
      <c r="H132" s="105">
        <v>8.7889800000000129</v>
      </c>
      <c r="I132" s="105">
        <v>78.732469622594451</v>
      </c>
      <c r="J132" s="105">
        <v>0.12910072410681206</v>
      </c>
      <c r="K132" s="105">
        <v>5.8446299999999951</v>
      </c>
    </row>
    <row r="133" spans="1:11" ht="12.95" customHeight="1">
      <c r="A133" s="108"/>
      <c r="B133" s="108" t="s">
        <v>14</v>
      </c>
      <c r="C133" s="109">
        <v>79.309504734576763</v>
      </c>
      <c r="D133" s="109">
        <v>0.1124127871868108</v>
      </c>
      <c r="E133" s="109">
        <v>7.7600000000000113</v>
      </c>
      <c r="F133" s="109">
        <v>79.525820644964924</v>
      </c>
      <c r="G133" s="109">
        <v>-6.3839186652903113E-2</v>
      </c>
      <c r="H133" s="109">
        <v>8.7195300000000096</v>
      </c>
      <c r="I133" s="109">
        <v>79.053091050260903</v>
      </c>
      <c r="J133" s="109">
        <v>0.40722897326015417</v>
      </c>
      <c r="K133" s="109">
        <v>6.275659999999994</v>
      </c>
    </row>
    <row r="134" spans="1:11" ht="12.95" customHeight="1">
      <c r="A134" s="107"/>
      <c r="B134" s="107"/>
      <c r="C134" s="105"/>
      <c r="D134" s="105"/>
      <c r="E134" s="105"/>
      <c r="F134" s="105"/>
      <c r="G134" s="105"/>
      <c r="H134" s="105"/>
      <c r="I134" s="105"/>
      <c r="J134" s="105"/>
      <c r="K134" s="105"/>
    </row>
    <row r="135" spans="1:11" ht="12.95" customHeight="1">
      <c r="A135" s="107">
        <v>2012</v>
      </c>
      <c r="B135" s="107" t="s">
        <v>3</v>
      </c>
      <c r="C135" s="105">
        <v>79.655416642754659</v>
      </c>
      <c r="D135" s="105">
        <v>0.43615441722344439</v>
      </c>
      <c r="E135" s="105">
        <v>0.43615441722344439</v>
      </c>
      <c r="F135" s="105">
        <v>80.001624399404719</v>
      </c>
      <c r="G135" s="105">
        <v>0.59830096763662244</v>
      </c>
      <c r="H135" s="105">
        <v>0.59830096763662244</v>
      </c>
      <c r="I135" s="105">
        <v>79.212527740992456</v>
      </c>
      <c r="J135" s="105">
        <v>0.20168305706120826</v>
      </c>
      <c r="K135" s="105">
        <v>0.20168305706120826</v>
      </c>
    </row>
    <row r="136" spans="1:11" ht="12.95" customHeight="1">
      <c r="A136" s="107"/>
      <c r="B136" s="107" t="s">
        <v>4</v>
      </c>
      <c r="C136" s="105">
        <v>79.935090100430415</v>
      </c>
      <c r="D136" s="105">
        <v>0.35110413009331598</v>
      </c>
      <c r="E136" s="105">
        <v>0.78878990348922873</v>
      </c>
      <c r="F136" s="105">
        <v>80.411251442137342</v>
      </c>
      <c r="G136" s="105">
        <v>0.51202340678431213</v>
      </c>
      <c r="H136" s="105">
        <v>1.1133878154182542</v>
      </c>
      <c r="I136" s="105">
        <v>79.301789674778917</v>
      </c>
      <c r="J136" s="105">
        <v>0.11268663724295358</v>
      </c>
      <c r="K136" s="105">
        <v>0.31459696415905292</v>
      </c>
    </row>
    <row r="137" spans="1:11" ht="12.95" customHeight="1">
      <c r="A137" s="107"/>
      <c r="B137" s="107" t="s">
        <v>5</v>
      </c>
      <c r="C137" s="105">
        <v>80.052847345767574</v>
      </c>
      <c r="D137" s="105">
        <v>0.14731608507503324</v>
      </c>
      <c r="E137" s="105">
        <v>0.93726800296956014</v>
      </c>
      <c r="F137" s="105">
        <v>80.499028665580042</v>
      </c>
      <c r="G137" s="105">
        <v>0.10916037478394536</v>
      </c>
      <c r="H137" s="105">
        <v>1.2237635685143244</v>
      </c>
      <c r="I137" s="105">
        <v>79.457998058905204</v>
      </c>
      <c r="J137" s="105">
        <v>0.1969796454366346</v>
      </c>
      <c r="K137" s="105">
        <v>0.51219630158023666</v>
      </c>
    </row>
    <row r="138" spans="1:11" ht="12.95" customHeight="1">
      <c r="A138" s="107"/>
      <c r="B138" s="107" t="s">
        <v>6</v>
      </c>
      <c r="C138" s="105">
        <v>80.060207173601142</v>
      </c>
      <c r="D138" s="105">
        <v>9.193711501320756E-3</v>
      </c>
      <c r="E138" s="105">
        <v>0.94654788418706559</v>
      </c>
      <c r="F138" s="105">
        <v>80.433195747998013</v>
      </c>
      <c r="G138" s="105">
        <v>-8.1781008632442198E-2</v>
      </c>
      <c r="H138" s="105">
        <v>1.1409817536922606</v>
      </c>
      <c r="I138" s="105">
        <v>79.569575476138269</v>
      </c>
      <c r="J138" s="105">
        <v>0.1404231417337698</v>
      </c>
      <c r="K138" s="105">
        <v>0.65333868545252027</v>
      </c>
    </row>
    <row r="139" spans="1:11" ht="12.95" customHeight="1">
      <c r="A139" s="107"/>
      <c r="B139" s="107" t="s">
        <v>7</v>
      </c>
      <c r="C139" s="105">
        <v>79.846772166427542</v>
      </c>
      <c r="D139" s="105">
        <v>-0.26659312373598087</v>
      </c>
      <c r="E139" s="105">
        <v>0.67743132887898572</v>
      </c>
      <c r="F139" s="105">
        <v>80.008939168024938</v>
      </c>
      <c r="G139" s="105">
        <v>-0.52746453255729797</v>
      </c>
      <c r="H139" s="105">
        <v>0.60749894706129126</v>
      </c>
      <c r="I139" s="105">
        <v>79.696029882335736</v>
      </c>
      <c r="J139" s="105">
        <v>0.15892306254090549</v>
      </c>
      <c r="K139" s="105">
        <v>0.81330005384110393</v>
      </c>
    </row>
    <row r="140" spans="1:11" ht="12.95" customHeight="1">
      <c r="A140" s="107"/>
      <c r="B140" s="107" t="s">
        <v>8</v>
      </c>
      <c r="C140" s="105">
        <v>80.016048206599706</v>
      </c>
      <c r="D140" s="105">
        <v>0.21200110609271849</v>
      </c>
      <c r="E140" s="105">
        <v>0.89086859688194409</v>
      </c>
      <c r="F140" s="105">
        <v>80.184493614910352</v>
      </c>
      <c r="G140" s="105">
        <v>0.21941854086671153</v>
      </c>
      <c r="H140" s="105">
        <v>0.82825045325343183</v>
      </c>
      <c r="I140" s="105">
        <v>79.859676760944225</v>
      </c>
      <c r="J140" s="105">
        <v>0.20533880903490509</v>
      </c>
      <c r="K140" s="105">
        <v>1.0203088835204488</v>
      </c>
    </row>
    <row r="141" spans="1:11" ht="12.95" customHeight="1">
      <c r="A141" s="107"/>
      <c r="B141" s="107" t="s">
        <v>52</v>
      </c>
      <c r="C141" s="105">
        <v>79.854131994261124</v>
      </c>
      <c r="D141" s="105">
        <v>-0.20235467255332873</v>
      </c>
      <c r="E141" s="105">
        <v>0.68671121009651337</v>
      </c>
      <c r="F141" s="105">
        <v>79.811440415278852</v>
      </c>
      <c r="G141" s="105">
        <v>-0.46524356869185324</v>
      </c>
      <c r="H141" s="105">
        <v>0.35915350259514423</v>
      </c>
      <c r="I141" s="105">
        <v>80.015885145070513</v>
      </c>
      <c r="J141" s="105">
        <v>0.19560357675112439</v>
      </c>
      <c r="K141" s="105">
        <v>1.2179082209416325</v>
      </c>
    </row>
    <row r="142" spans="1:11" ht="12.95" customHeight="1">
      <c r="A142" s="107"/>
      <c r="B142" s="107" t="s">
        <v>10</v>
      </c>
      <c r="C142" s="105">
        <v>80.663713055954076</v>
      </c>
      <c r="D142" s="105">
        <v>1.0138248847926024</v>
      </c>
      <c r="E142" s="105">
        <v>1.7074981440237336</v>
      </c>
      <c r="F142" s="105">
        <v>80.374677599036204</v>
      </c>
      <c r="G142" s="105">
        <v>0.70570983411235577</v>
      </c>
      <c r="H142" s="105">
        <v>1.0673979182948878</v>
      </c>
      <c r="I142" s="105">
        <v>81.206044262223188</v>
      </c>
      <c r="J142" s="105">
        <v>1.4874035511759809</v>
      </c>
      <c r="K142" s="105">
        <v>2.7234269822459689</v>
      </c>
    </row>
    <row r="143" spans="1:11" ht="12.95" customHeight="1">
      <c r="A143" s="107"/>
      <c r="B143" s="107" t="s">
        <v>11</v>
      </c>
      <c r="C143" s="105">
        <v>81.186260832137734</v>
      </c>
      <c r="D143" s="105">
        <v>0.64781021897812874</v>
      </c>
      <c r="E143" s="105">
        <v>2.3663697104677084</v>
      </c>
      <c r="F143" s="105">
        <v>81.142728304159874</v>
      </c>
      <c r="G143" s="105">
        <v>0.95558791408809629</v>
      </c>
      <c r="H143" s="105">
        <v>2.0331857578854473</v>
      </c>
      <c r="I143" s="105">
        <v>81.347375657385072</v>
      </c>
      <c r="J143" s="105">
        <v>0.17404048731337607</v>
      </c>
      <c r="K143" s="105">
        <v>2.9022073351508748</v>
      </c>
    </row>
    <row r="144" spans="1:11" ht="12.95" customHeight="1">
      <c r="A144" s="107"/>
      <c r="B144" s="107" t="s">
        <v>12</v>
      </c>
      <c r="C144" s="105">
        <v>81.377616355810616</v>
      </c>
      <c r="D144" s="105">
        <v>0.23569939262080286</v>
      </c>
      <c r="E144" s="105">
        <v>2.6076466221232275</v>
      </c>
      <c r="F144" s="105">
        <v>81.347541825526179</v>
      </c>
      <c r="G144" s="105">
        <v>0.25241143063192695</v>
      </c>
      <c r="H144" s="105">
        <v>2.2907291817762632</v>
      </c>
      <c r="I144" s="105">
        <v>81.525899524957964</v>
      </c>
      <c r="J144" s="105">
        <v>0.21945866861738939</v>
      </c>
      <c r="K144" s="105">
        <v>3.1280351493465197</v>
      </c>
    </row>
    <row r="145" spans="1:11" ht="12.95" customHeight="1">
      <c r="A145" s="107"/>
      <c r="B145" s="107" t="s">
        <v>13</v>
      </c>
      <c r="C145" s="105">
        <v>81.892804304160677</v>
      </c>
      <c r="D145" s="105">
        <v>0.63308311476890644</v>
      </c>
      <c r="E145" s="105">
        <v>3.2572383073496525</v>
      </c>
      <c r="F145" s="105">
        <v>81.983926695485792</v>
      </c>
      <c r="G145" s="105">
        <v>0.78230374966281602</v>
      </c>
      <c r="H145" s="105">
        <v>3.0909533917227172</v>
      </c>
      <c r="I145" s="105">
        <v>81.853193282174956</v>
      </c>
      <c r="J145" s="105">
        <v>0.40145985401460749</v>
      </c>
      <c r="K145" s="105">
        <v>3.5420528087052094</v>
      </c>
    </row>
    <row r="146" spans="1:11" ht="12.95" customHeight="1">
      <c r="A146" s="107"/>
      <c r="B146" s="107" t="s">
        <v>14</v>
      </c>
      <c r="C146" s="105">
        <v>82.407992252510752</v>
      </c>
      <c r="D146" s="105">
        <v>0.62910038644738986</v>
      </c>
      <c r="E146" s="105">
        <v>3.9068299925760774</v>
      </c>
      <c r="F146" s="105">
        <v>82.525219573382458</v>
      </c>
      <c r="G146" s="105">
        <v>0.66024268379727413</v>
      </c>
      <c r="H146" s="105">
        <v>3.7716038691484322</v>
      </c>
      <c r="I146" s="105">
        <v>82.329256929036035</v>
      </c>
      <c r="J146" s="105">
        <v>0.5816066884769322</v>
      </c>
      <c r="K146" s="105">
        <v>4.144260313226944</v>
      </c>
    </row>
    <row r="147" spans="1:11" ht="12.95" customHeight="1">
      <c r="A147" s="107"/>
      <c r="B147" s="107"/>
      <c r="C147" s="105"/>
      <c r="D147" s="105"/>
      <c r="E147" s="105"/>
      <c r="F147" s="105"/>
      <c r="G147" s="105"/>
      <c r="H147" s="105"/>
      <c r="I147" s="105"/>
      <c r="J147" s="105"/>
      <c r="K147" s="105"/>
    </row>
    <row r="148" spans="1:11" ht="12.95" customHeight="1">
      <c r="A148" s="107">
        <v>2013</v>
      </c>
      <c r="B148" s="107" t="s">
        <v>3</v>
      </c>
      <c r="C148" s="105">
        <v>83.44572797704447</v>
      </c>
      <c r="D148" s="105">
        <v>1.2592658747878849</v>
      </c>
      <c r="E148" s="105">
        <v>1.2592658747878849</v>
      </c>
      <c r="F148" s="105">
        <v>83.768730238820766</v>
      </c>
      <c r="G148" s="105">
        <v>1.5068250310228626</v>
      </c>
      <c r="H148" s="105">
        <v>1.5068250310228626</v>
      </c>
      <c r="I148" s="105">
        <v>83.058229388292034</v>
      </c>
      <c r="J148" s="105">
        <v>0.88543548970001495</v>
      </c>
      <c r="K148" s="105">
        <v>0.88543548970001495</v>
      </c>
    </row>
    <row r="149" spans="1:11" ht="12.95" customHeight="1">
      <c r="A149" s="107"/>
      <c r="B149" s="107" t="s">
        <v>4</v>
      </c>
      <c r="C149" s="105">
        <v>83.718041606886658</v>
      </c>
      <c r="D149" s="105">
        <v>0.32633621449991157</v>
      </c>
      <c r="E149" s="105">
        <v>1.5897115298740827</v>
      </c>
      <c r="F149" s="105">
        <v>84.017432371908441</v>
      </c>
      <c r="G149" s="105">
        <v>0.29689137268600341</v>
      </c>
      <c r="H149" s="105">
        <v>1.8081900372274529</v>
      </c>
      <c r="I149" s="105">
        <v>83.370646156544609</v>
      </c>
      <c r="J149" s="105">
        <v>0.37614185921548415</v>
      </c>
      <c r="K149" s="105">
        <v>1.2649078424286087</v>
      </c>
    </row>
    <row r="150" spans="1:11" ht="12.95" customHeight="1">
      <c r="A150" s="107"/>
      <c r="B150" s="107" t="s">
        <v>5</v>
      </c>
      <c r="C150" s="105">
        <v>84.034514203730282</v>
      </c>
      <c r="D150" s="105">
        <v>0.37802197802199178</v>
      </c>
      <c r="E150" s="105">
        <v>1.9737429668661433</v>
      </c>
      <c r="F150" s="105">
        <v>84.419744646020831</v>
      </c>
      <c r="G150" s="105">
        <v>0.47884380985547814</v>
      </c>
      <c r="H150" s="105">
        <v>2.2956922531466084</v>
      </c>
      <c r="I150" s="105">
        <v>83.541731529635314</v>
      </c>
      <c r="J150" s="105">
        <v>0.20521056388294046</v>
      </c>
      <c r="K150" s="105">
        <v>1.4727141308276126</v>
      </c>
    </row>
    <row r="151" spans="1:11" ht="12.95" customHeight="1">
      <c r="A151" s="107"/>
      <c r="B151" s="107" t="s">
        <v>6</v>
      </c>
      <c r="C151" s="105">
        <v>83.982995408895263</v>
      </c>
      <c r="D151" s="105">
        <v>-6.1306708705566315E-2</v>
      </c>
      <c r="E151" s="105">
        <v>1.9112262213092812</v>
      </c>
      <c r="F151" s="105">
        <v>84.302708348097227</v>
      </c>
      <c r="G151" s="105">
        <v>-0.13863616670999335</v>
      </c>
      <c r="H151" s="105">
        <v>2.1538734266973947</v>
      </c>
      <c r="I151" s="105">
        <v>83.586362496528537</v>
      </c>
      <c r="J151" s="105">
        <v>5.3423559789855801E-2</v>
      </c>
      <c r="K151" s="105">
        <v>1.5269244669316784</v>
      </c>
    </row>
    <row r="152" spans="1:11" ht="12.95" customHeight="1">
      <c r="A152" s="107"/>
      <c r="B152" s="107" t="s">
        <v>7</v>
      </c>
      <c r="C152" s="105">
        <v>83.828439024390249</v>
      </c>
      <c r="D152" s="105">
        <v>-0.18403295066162784</v>
      </c>
      <c r="E152" s="105">
        <v>1.7236759846387617</v>
      </c>
      <c r="F152" s="105">
        <v>83.915025611225275</v>
      </c>
      <c r="G152" s="105">
        <v>-0.45986984815619136</v>
      </c>
      <c r="H152" s="105">
        <v>1.6840985640843797</v>
      </c>
      <c r="I152" s="105">
        <v>83.794640342030249</v>
      </c>
      <c r="J152" s="105">
        <v>0.24917682655511975</v>
      </c>
      <c r="K152" s="105">
        <v>1.7799060354174001</v>
      </c>
    </row>
    <row r="153" spans="1:11" ht="12.95" customHeight="1">
      <c r="A153" s="107"/>
      <c r="B153" s="107" t="s">
        <v>8</v>
      </c>
      <c r="C153" s="105">
        <v>83.857878335724536</v>
      </c>
      <c r="D153" s="105">
        <v>3.5118525021937685E-2</v>
      </c>
      <c r="E153" s="105">
        <v>1.7593998392426702</v>
      </c>
      <c r="F153" s="105">
        <v>83.812618850542123</v>
      </c>
      <c r="G153" s="105">
        <v>-0.12203626220361752</v>
      </c>
      <c r="H153" s="105">
        <v>1.5600070909413288</v>
      </c>
      <c r="I153" s="105">
        <v>84.032672165460781</v>
      </c>
      <c r="J153" s="105">
        <v>0.28406569019086003</v>
      </c>
      <c r="K153" s="105">
        <v>2.0690278279725138</v>
      </c>
    </row>
    <row r="154" spans="1:11" ht="12.95" customHeight="1">
      <c r="A154" s="107"/>
      <c r="B154" s="107" t="s">
        <v>52</v>
      </c>
      <c r="C154" s="105">
        <v>84.380426111908179</v>
      </c>
      <c r="D154" s="105">
        <v>0.62313498332455808</v>
      </c>
      <c r="E154" s="105">
        <v>2.3934982584620901</v>
      </c>
      <c r="F154" s="105">
        <v>84.617243398766917</v>
      </c>
      <c r="G154" s="105">
        <v>0.96002792808518311</v>
      </c>
      <c r="H154" s="105">
        <v>2.5350115227796621</v>
      </c>
      <c r="I154" s="105">
        <v>84.114495604765025</v>
      </c>
      <c r="J154" s="105">
        <v>9.7370983446931625E-2</v>
      </c>
      <c r="K154" s="105">
        <v>2.1684134441633418</v>
      </c>
    </row>
    <row r="155" spans="1:11" ht="12.95" customHeight="1">
      <c r="A155" s="107"/>
      <c r="B155" s="107" t="s">
        <v>10</v>
      </c>
      <c r="C155" s="105">
        <v>84.939773027259676</v>
      </c>
      <c r="D155" s="105">
        <v>0.66288704753596495</v>
      </c>
      <c r="E155" s="105">
        <v>3.0722514959364178</v>
      </c>
      <c r="F155" s="105">
        <v>85.334090723548996</v>
      </c>
      <c r="G155" s="105">
        <v>0.84716459197786698</v>
      </c>
      <c r="H155" s="105">
        <v>3.4036518347810629</v>
      </c>
      <c r="I155" s="105">
        <v>84.441789361982018</v>
      </c>
      <c r="J155" s="105">
        <v>0.38910505836575737</v>
      </c>
      <c r="K155" s="105">
        <v>2.5659559089266315</v>
      </c>
    </row>
    <row r="156" spans="1:11" ht="12.95" customHeight="1">
      <c r="A156" s="107"/>
      <c r="B156" s="107" t="s">
        <v>11</v>
      </c>
      <c r="C156" s="105">
        <v>85.351923385939742</v>
      </c>
      <c r="D156" s="105">
        <v>0.48522658348497671</v>
      </c>
      <c r="E156" s="105">
        <v>3.5723854603911809</v>
      </c>
      <c r="F156" s="105">
        <v>85.875383601445677</v>
      </c>
      <c r="G156" s="105">
        <v>0.63432196125492446</v>
      </c>
      <c r="H156" s="105">
        <v>4.0595639071086653</v>
      </c>
      <c r="I156" s="105">
        <v>84.657505701965945</v>
      </c>
      <c r="J156" s="105">
        <v>0.25546159267089141</v>
      </c>
      <c r="K156" s="105">
        <v>2.8279725334297012</v>
      </c>
    </row>
    <row r="157" spans="1:11" ht="12.95" customHeight="1">
      <c r="A157" s="107"/>
      <c r="B157" s="107" t="s">
        <v>12</v>
      </c>
      <c r="C157" s="105">
        <v>85.234166140602582</v>
      </c>
      <c r="D157" s="105">
        <v>-0.13796671552988027</v>
      </c>
      <c r="E157" s="105">
        <v>3.429490041975547</v>
      </c>
      <c r="F157" s="105">
        <v>85.648625774218687</v>
      </c>
      <c r="G157" s="105">
        <v>-0.26405451448041628</v>
      </c>
      <c r="H157" s="105">
        <v>3.7847899308633304</v>
      </c>
      <c r="I157" s="105">
        <v>84.70957516334137</v>
      </c>
      <c r="J157" s="105">
        <v>6.150601880325901E-2</v>
      </c>
      <c r="K157" s="105">
        <v>2.8912179255511372</v>
      </c>
    </row>
    <row r="158" spans="1:11" ht="12.95" customHeight="1">
      <c r="A158" s="107"/>
      <c r="B158" s="107" t="s">
        <v>13</v>
      </c>
      <c r="C158" s="105">
        <v>85.285684935437587</v>
      </c>
      <c r="D158" s="105">
        <v>6.0443830411882615E-2</v>
      </c>
      <c r="E158" s="105">
        <v>3.4920067875323868</v>
      </c>
      <c r="F158" s="105">
        <v>85.604737162497344</v>
      </c>
      <c r="G158" s="105">
        <v>-5.12426338713734E-2</v>
      </c>
      <c r="H158" s="105">
        <v>3.7316078709448863</v>
      </c>
      <c r="I158" s="105">
        <v>84.917853008843082</v>
      </c>
      <c r="J158" s="105">
        <v>0.24587284861257164</v>
      </c>
      <c r="K158" s="105">
        <v>3.1441994940368367</v>
      </c>
    </row>
    <row r="159" spans="1:11" ht="12.95" customHeight="1">
      <c r="A159" s="107"/>
      <c r="B159" s="107" t="s">
        <v>14</v>
      </c>
      <c r="C159" s="105">
        <v>85.602157532281211</v>
      </c>
      <c r="D159" s="105">
        <v>0.37107352433551899</v>
      </c>
      <c r="E159" s="105">
        <v>3.8760382245244474</v>
      </c>
      <c r="F159" s="105">
        <v>85.868068832825458</v>
      </c>
      <c r="G159" s="105">
        <v>0.30761343245322426</v>
      </c>
      <c r="H159" s="105">
        <v>4.0507002304556172</v>
      </c>
      <c r="I159" s="105">
        <v>85.304654721917714</v>
      </c>
      <c r="J159" s="105">
        <v>0.45550105115628181</v>
      </c>
      <c r="K159" s="105">
        <v>3.6140224069389326</v>
      </c>
    </row>
    <row r="160" spans="1:11" ht="12.95" customHeight="1">
      <c r="A160" s="107"/>
      <c r="B160" s="107"/>
      <c r="C160" s="105"/>
      <c r="D160" s="105"/>
      <c r="E160" s="105"/>
      <c r="F160" s="105"/>
      <c r="G160" s="105"/>
      <c r="H160" s="105"/>
      <c r="I160" s="105"/>
      <c r="J160" s="105"/>
      <c r="K160" s="105"/>
    </row>
    <row r="161" spans="1:11" ht="12.95" customHeight="1">
      <c r="A161" s="107">
        <v>2014</v>
      </c>
      <c r="B161" s="107" t="s">
        <v>3</v>
      </c>
      <c r="C161" s="105">
        <v>85.800872883787662</v>
      </c>
      <c r="D161" s="105">
        <v>0.23213825122516685</v>
      </c>
      <c r="E161" s="105">
        <v>0.23213825122516685</v>
      </c>
      <c r="F161" s="105">
        <v>86.131400503153571</v>
      </c>
      <c r="G161" s="105">
        <v>0.30667007411193659</v>
      </c>
      <c r="H161" s="105">
        <v>0.30667007411193659</v>
      </c>
      <c r="I161" s="105">
        <v>85.401355150186362</v>
      </c>
      <c r="J161" s="105">
        <v>0.11335891175443535</v>
      </c>
      <c r="K161" s="105">
        <v>0.11335891175443535</v>
      </c>
    </row>
    <row r="162" spans="1:11" ht="12.95" customHeight="1">
      <c r="A162" s="107"/>
      <c r="B162" s="107" t="s">
        <v>4</v>
      </c>
      <c r="C162" s="105">
        <v>86.095265997130554</v>
      </c>
      <c r="D162" s="105">
        <v>0.34311202607650859</v>
      </c>
      <c r="E162" s="105">
        <v>0.57604677155875805</v>
      </c>
      <c r="F162" s="105">
        <v>86.482509396924385</v>
      </c>
      <c r="G162" s="105">
        <v>0.40764331210190186</v>
      </c>
      <c r="H162" s="105">
        <v>0.71556350626118537</v>
      </c>
      <c r="I162" s="105">
        <v>85.602194501205872</v>
      </c>
      <c r="J162" s="105">
        <v>0.23517115233864239</v>
      </c>
      <c r="K162" s="105">
        <v>0.34879665155214123</v>
      </c>
    </row>
    <row r="163" spans="1:11" ht="12.95" customHeight="1">
      <c r="A163" s="107"/>
      <c r="B163" s="107" t="s">
        <v>5</v>
      </c>
      <c r="C163" s="105">
        <v>86.544215494978474</v>
      </c>
      <c r="D163" s="105">
        <v>0.52145665925800166</v>
      </c>
      <c r="E163" s="105">
        <v>1.1005072650674741</v>
      </c>
      <c r="F163" s="105">
        <v>87.133523804124437</v>
      </c>
      <c r="G163" s="105">
        <v>0.75277002452844854</v>
      </c>
      <c r="H163" s="105">
        <v>1.4737200783712323</v>
      </c>
      <c r="I163" s="105">
        <v>85.75840288533216</v>
      </c>
      <c r="J163" s="105">
        <v>0.18248175182482562</v>
      </c>
      <c r="K163" s="105">
        <v>0.53191489361701372</v>
      </c>
    </row>
    <row r="164" spans="1:11" ht="12.95" customHeight="1">
      <c r="A164" s="107"/>
      <c r="B164" s="107" t="s">
        <v>6</v>
      </c>
      <c r="C164" s="105">
        <v>86.912206886657103</v>
      </c>
      <c r="D164" s="105">
        <v>0.42520622501913685</v>
      </c>
      <c r="E164" s="105">
        <v>1.5303929154844687</v>
      </c>
      <c r="F164" s="105">
        <v>87.579724689958184</v>
      </c>
      <c r="G164" s="105">
        <v>0.51208865010072824</v>
      </c>
      <c r="H164" s="105">
        <v>1.9933554817275656</v>
      </c>
      <c r="I164" s="105">
        <v>85.98899621428049</v>
      </c>
      <c r="J164" s="105">
        <v>0.2688871541330462</v>
      </c>
      <c r="K164" s="105">
        <v>0.80223229856992706</v>
      </c>
    </row>
    <row r="165" spans="1:11" ht="12.95" customHeight="1">
      <c r="A165" s="107"/>
      <c r="B165" s="107" t="s">
        <v>7</v>
      </c>
      <c r="C165" s="105">
        <v>86.926926542324239</v>
      </c>
      <c r="D165" s="105">
        <v>1.693623507492692E-2</v>
      </c>
      <c r="E165" s="105">
        <v>1.5475883415011493</v>
      </c>
      <c r="F165" s="105">
        <v>87.608983764439088</v>
      </c>
      <c r="G165" s="105">
        <v>3.3408502463871947E-2</v>
      </c>
      <c r="H165" s="105">
        <v>2.0274299344066771</v>
      </c>
      <c r="I165" s="105">
        <v>85.98899621428049</v>
      </c>
      <c r="J165" s="105">
        <v>0</v>
      </c>
      <c r="K165" s="105">
        <v>0.80223229856992706</v>
      </c>
    </row>
    <row r="166" spans="1:11" ht="12.95" customHeight="1">
      <c r="A166" s="107"/>
      <c r="B166" s="107" t="s">
        <v>8</v>
      </c>
      <c r="C166" s="105">
        <v>86.941646197991389</v>
      </c>
      <c r="D166" s="105">
        <v>1.6933367200078209E-2</v>
      </c>
      <c r="E166" s="105">
        <v>1.56478376751783</v>
      </c>
      <c r="F166" s="105">
        <v>87.521206540996388</v>
      </c>
      <c r="G166" s="105">
        <v>-0.10019203473323746</v>
      </c>
      <c r="H166" s="105">
        <v>1.9252065763693649</v>
      </c>
      <c r="I166" s="105">
        <v>86.160081587371181</v>
      </c>
      <c r="J166" s="105">
        <v>0.1989619377162466</v>
      </c>
      <c r="K166" s="105">
        <v>1.0027903732124033</v>
      </c>
    </row>
    <row r="167" spans="1:11" ht="12.95" customHeight="1">
      <c r="A167" s="107"/>
      <c r="B167" s="107" t="s">
        <v>52</v>
      </c>
      <c r="C167" s="105">
        <v>87.258118794835013</v>
      </c>
      <c r="D167" s="105">
        <v>0.36400575637010046</v>
      </c>
      <c r="E167" s="105">
        <v>1.9344854268764422</v>
      </c>
      <c r="F167" s="105">
        <v>87.996666501311026</v>
      </c>
      <c r="G167" s="105">
        <v>0.54325114918511996</v>
      </c>
      <c r="H167" s="105">
        <v>2.4789164324047874</v>
      </c>
      <c r="I167" s="105">
        <v>86.234466532193238</v>
      </c>
      <c r="J167" s="105">
        <v>8.6333419666773104E-2</v>
      </c>
      <c r="K167" s="105">
        <v>1.0899895361004441</v>
      </c>
    </row>
    <row r="168" spans="1:11" ht="12.95" customHeight="1">
      <c r="A168" s="107"/>
      <c r="B168" s="107" t="s">
        <v>10</v>
      </c>
      <c r="C168" s="105">
        <v>87.596670875179342</v>
      </c>
      <c r="D168" s="105">
        <v>0.38798920377867141</v>
      </c>
      <c r="E168" s="105">
        <v>2.3299802252600754</v>
      </c>
      <c r="F168" s="105">
        <v>88.303886783360497</v>
      </c>
      <c r="G168" s="105">
        <v>0.3491271820448949</v>
      </c>
      <c r="H168" s="105">
        <v>2.8366981855353801</v>
      </c>
      <c r="I168" s="105">
        <v>86.621268245267842</v>
      </c>
      <c r="J168" s="105">
        <v>0.44854653670316491</v>
      </c>
      <c r="K168" s="105">
        <v>1.54342518311823</v>
      </c>
    </row>
    <row r="169" spans="1:11" ht="12.95" customHeight="1">
      <c r="A169" s="107"/>
      <c r="B169" s="107" t="s">
        <v>11</v>
      </c>
      <c r="C169" s="105">
        <v>87.765946915351506</v>
      </c>
      <c r="D169" s="105">
        <v>0.1932448328012093</v>
      </c>
      <c r="E169" s="105">
        <v>2.5277276244518809</v>
      </c>
      <c r="F169" s="105">
        <v>88.464811693005444</v>
      </c>
      <c r="G169" s="105">
        <v>0.18223989396950468</v>
      </c>
      <c r="H169" s="105">
        <v>3.0241076752704377</v>
      </c>
      <c r="I169" s="105">
        <v>86.80723060732295</v>
      </c>
      <c r="J169" s="105">
        <v>0.2146844139115478</v>
      </c>
      <c r="K169" s="105">
        <v>1.7614230903383099</v>
      </c>
    </row>
    <row r="170" spans="1:11" ht="12.95" customHeight="1">
      <c r="A170" s="107"/>
      <c r="B170" s="107" t="s">
        <v>12</v>
      </c>
      <c r="C170" s="105">
        <v>87.692348637015783</v>
      </c>
      <c r="D170" s="105">
        <v>-8.3857442348012068E-2</v>
      </c>
      <c r="E170" s="105">
        <v>2.4417504943684998</v>
      </c>
      <c r="F170" s="105">
        <v>88.281942477499811</v>
      </c>
      <c r="G170" s="105">
        <v>-0.20671407309409418</v>
      </c>
      <c r="H170" s="105">
        <v>2.811142346026041</v>
      </c>
      <c r="I170" s="105">
        <v>86.889054046627194</v>
      </c>
      <c r="J170" s="105">
        <v>9.4258783204792529E-2</v>
      </c>
      <c r="K170" s="105">
        <v>1.8573421695151637</v>
      </c>
    </row>
    <row r="171" spans="1:11" ht="12.95" customHeight="1">
      <c r="A171" s="107"/>
      <c r="B171" s="107" t="s">
        <v>13</v>
      </c>
      <c r="C171" s="105">
        <v>87.567231563845056</v>
      </c>
      <c r="D171" s="105">
        <v>-0.14267729752412972</v>
      </c>
      <c r="E171" s="105">
        <v>2.2955893732267141</v>
      </c>
      <c r="F171" s="105">
        <v>87.930833583728997</v>
      </c>
      <c r="G171" s="105">
        <v>-0.39771314939099911</v>
      </c>
      <c r="H171" s="105">
        <v>2.4022489138768144</v>
      </c>
      <c r="I171" s="105">
        <v>87.112208881093323</v>
      </c>
      <c r="J171" s="105">
        <v>0.25682732642753336</v>
      </c>
      <c r="K171" s="105">
        <v>2.1189396581792641</v>
      </c>
    </row>
    <row r="172" spans="1:11" ht="12.95" customHeight="1">
      <c r="A172" s="107"/>
      <c r="B172" s="107" t="s">
        <v>14</v>
      </c>
      <c r="C172" s="105">
        <v>86.956365853658539</v>
      </c>
      <c r="D172" s="105">
        <v>-0.69759623466129073</v>
      </c>
      <c r="E172" s="105">
        <v>1.5819791935345107</v>
      </c>
      <c r="F172" s="105">
        <v>86.870192133796323</v>
      </c>
      <c r="G172" s="105">
        <v>-1.2062224440562375</v>
      </c>
      <c r="H172" s="105">
        <v>1.1670500042592957</v>
      </c>
      <c r="I172" s="105">
        <v>87.194032320397568</v>
      </c>
      <c r="J172" s="105">
        <v>9.3928784903085649E-2</v>
      </c>
      <c r="K172" s="105">
        <v>2.2148587373561179</v>
      </c>
    </row>
    <row r="173" spans="1:11" ht="12.95" customHeight="1">
      <c r="A173" s="107"/>
      <c r="B173" s="107"/>
      <c r="C173" s="105"/>
      <c r="D173" s="105"/>
      <c r="E173" s="105"/>
      <c r="F173" s="105"/>
      <c r="G173" s="105"/>
      <c r="H173" s="105"/>
      <c r="I173" s="105"/>
      <c r="J173" s="105"/>
      <c r="K173" s="105"/>
    </row>
    <row r="174" spans="1:11" ht="12.95" customHeight="1">
      <c r="A174" s="107">
        <v>2015</v>
      </c>
      <c r="B174" s="107" t="s">
        <v>3</v>
      </c>
      <c r="C174" s="105">
        <v>86.794449641319943</v>
      </c>
      <c r="D174" s="105">
        <v>-0.18620397799408162</v>
      </c>
      <c r="E174" s="105">
        <v>-0.18620397799408162</v>
      </c>
      <c r="F174" s="105">
        <v>86.562971851746866</v>
      </c>
      <c r="G174" s="105">
        <v>-0.35365442910070266</v>
      </c>
      <c r="H174" s="105">
        <v>-0.35365442910070266</v>
      </c>
      <c r="I174" s="105">
        <v>87.253540276255194</v>
      </c>
      <c r="J174" s="105">
        <v>6.8247739293636478E-2</v>
      </c>
      <c r="K174" s="105">
        <v>6.8247739293636478E-2</v>
      </c>
    </row>
    <row r="175" spans="1:11" ht="12.95" customHeight="1">
      <c r="A175" s="107"/>
      <c r="B175" s="107" t="s">
        <v>4</v>
      </c>
      <c r="C175" s="105">
        <v>86.971085509325675</v>
      </c>
      <c r="D175" s="105">
        <v>0.20351055711014254</v>
      </c>
      <c r="E175" s="105">
        <v>1.6927634363095301E-2</v>
      </c>
      <c r="F175" s="105">
        <v>86.782414910353623</v>
      </c>
      <c r="G175" s="105">
        <v>0.25350684468479212</v>
      </c>
      <c r="H175" s="105">
        <v>-0.10104412260020235</v>
      </c>
      <c r="I175" s="105">
        <v>87.379994682452676</v>
      </c>
      <c r="J175" s="105">
        <v>0.14492753623189802</v>
      </c>
      <c r="K175" s="105">
        <v>0.21327418529262232</v>
      </c>
    </row>
    <row r="176" spans="1:11" ht="12.95" customHeight="1">
      <c r="A176" s="107"/>
      <c r="B176" s="107" t="s">
        <v>5</v>
      </c>
      <c r="C176" s="105">
        <v>87.096202582496417</v>
      </c>
      <c r="D176" s="105">
        <v>0.14386053990016467</v>
      </c>
      <c r="E176" s="105">
        <v>0.16081252644943866</v>
      </c>
      <c r="F176" s="105">
        <v>86.85556259655587</v>
      </c>
      <c r="G176" s="105">
        <v>8.4288604180704496E-2</v>
      </c>
      <c r="H176" s="105">
        <v>-1.6840687100039275E-2</v>
      </c>
      <c r="I176" s="105">
        <v>87.580834033472186</v>
      </c>
      <c r="J176" s="105">
        <v>0.22984591810675248</v>
      </c>
      <c r="K176" s="105">
        <v>0.443610305408626</v>
      </c>
    </row>
    <row r="177" spans="1:11" ht="12.95" customHeight="1">
      <c r="A177" s="107"/>
      <c r="B177" s="107" t="s">
        <v>6</v>
      </c>
      <c r="C177" s="105">
        <v>86.875407747489248</v>
      </c>
      <c r="D177" s="105">
        <v>-0.25350684468480322</v>
      </c>
      <c r="E177" s="105">
        <v>-9.3101988997035257E-2</v>
      </c>
      <c r="F177" s="105">
        <v>86.504453702785057</v>
      </c>
      <c r="G177" s="105">
        <v>-0.40424456796361863</v>
      </c>
      <c r="H177" s="105">
        <v>-0.42101717750083756</v>
      </c>
      <c r="I177" s="105">
        <v>87.558518550025568</v>
      </c>
      <c r="J177" s="105">
        <v>-2.5479870901989887E-2</v>
      </c>
      <c r="K177" s="105">
        <v>0.41801740317350955</v>
      </c>
    </row>
    <row r="178" spans="1:11" ht="12.95" customHeight="1">
      <c r="A178" s="107"/>
      <c r="B178" s="107" t="s">
        <v>7</v>
      </c>
      <c r="C178" s="105">
        <v>87.125641893830704</v>
      </c>
      <c r="D178" s="105">
        <v>0.28803795323617543</v>
      </c>
      <c r="E178" s="105">
        <v>0.19466779517562927</v>
      </c>
      <c r="F178" s="105">
        <v>86.811673984834528</v>
      </c>
      <c r="G178" s="105">
        <v>0.3551496702181689</v>
      </c>
      <c r="H178" s="105">
        <v>-6.7362748400123795E-2</v>
      </c>
      <c r="I178" s="105">
        <v>87.714726934151869</v>
      </c>
      <c r="J178" s="105">
        <v>0.17840455356386009</v>
      </c>
      <c r="K178" s="105">
        <v>0.59716771881932473</v>
      </c>
    </row>
    <row r="179" spans="1:11" ht="12.95" customHeight="1">
      <c r="A179" s="107"/>
      <c r="B179" s="107" t="s">
        <v>8</v>
      </c>
      <c r="C179" s="105">
        <v>87.478913629842182</v>
      </c>
      <c r="D179" s="105">
        <v>0.40547389761784736</v>
      </c>
      <c r="E179" s="105">
        <v>0.60093101988996089</v>
      </c>
      <c r="F179" s="105">
        <v>87.235930564807603</v>
      </c>
      <c r="G179" s="105">
        <v>0.48870913380518743</v>
      </c>
      <c r="H179" s="105">
        <v>0.42101717750084866</v>
      </c>
      <c r="I179" s="105">
        <v>87.967635746546804</v>
      </c>
      <c r="J179" s="105">
        <v>0.28833107191315044</v>
      </c>
      <c r="K179" s="105">
        <v>0.88722061081727421</v>
      </c>
    </row>
    <row r="180" spans="1:11" ht="12.95" customHeight="1">
      <c r="A180" s="107"/>
      <c r="B180" s="107" t="s">
        <v>9</v>
      </c>
      <c r="C180" s="105">
        <v>87.692348637015783</v>
      </c>
      <c r="D180" s="105">
        <v>0.24398451960290224</v>
      </c>
      <c r="E180" s="105">
        <v>0.84638171815487606</v>
      </c>
      <c r="F180" s="105">
        <v>87.535836078236841</v>
      </c>
      <c r="G180" s="105">
        <v>0.3437866845547477</v>
      </c>
      <c r="H180" s="105">
        <v>0.76625126305154279</v>
      </c>
      <c r="I180" s="105">
        <v>88.034582196886632</v>
      </c>
      <c r="J180" s="105">
        <v>7.6103500761015574E-2</v>
      </c>
      <c r="K180" s="105">
        <v>0.96399931752260137</v>
      </c>
    </row>
    <row r="181" spans="1:11" ht="12.95" customHeight="1">
      <c r="A181" s="107"/>
      <c r="B181" s="107" t="s">
        <v>10</v>
      </c>
      <c r="C181" s="105">
        <v>87.972022094691539</v>
      </c>
      <c r="D181" s="105">
        <v>0.31892572387746121</v>
      </c>
      <c r="E181" s="105">
        <v>1.1680067710537534</v>
      </c>
      <c r="F181" s="105">
        <v>87.806482517185174</v>
      </c>
      <c r="G181" s="105">
        <v>0.30918358820088976</v>
      </c>
      <c r="H181" s="105">
        <v>1.0778039744021584</v>
      </c>
      <c r="I181" s="105">
        <v>88.33956047065702</v>
      </c>
      <c r="J181" s="105">
        <v>0.34643008027039901</v>
      </c>
      <c r="K181" s="105">
        <v>1.3137689814024966</v>
      </c>
    </row>
    <row r="182" spans="1:11" ht="12.95" customHeight="1">
      <c r="A182" s="107"/>
      <c r="B182" s="107" t="s">
        <v>11</v>
      </c>
      <c r="C182" s="105">
        <v>88.111858823529403</v>
      </c>
      <c r="D182" s="105">
        <v>0.15895591065002712</v>
      </c>
      <c r="E182" s="105">
        <v>1.3288192975031698</v>
      </c>
      <c r="F182" s="105">
        <v>88.018610807171711</v>
      </c>
      <c r="G182" s="105">
        <v>0.24158613795401962</v>
      </c>
      <c r="H182" s="105">
        <v>1.3219939373526612</v>
      </c>
      <c r="I182" s="105">
        <v>88.376752943068041</v>
      </c>
      <c r="J182" s="105">
        <v>4.2101717750075984E-2</v>
      </c>
      <c r="K182" s="105">
        <v>1.3564238184610167</v>
      </c>
    </row>
    <row r="183" spans="1:11" ht="12.95" customHeight="1">
      <c r="A183" s="107"/>
      <c r="B183" s="107" t="s">
        <v>12</v>
      </c>
      <c r="C183" s="105">
        <v>88.766883500717356</v>
      </c>
      <c r="D183" s="105">
        <v>0.74340126962912922</v>
      </c>
      <c r="E183" s="105">
        <v>2.0820990266610107</v>
      </c>
      <c r="F183" s="105">
        <v>89.013419339522358</v>
      </c>
      <c r="G183" s="105">
        <v>1.1302252139948399</v>
      </c>
      <c r="H183" s="105">
        <v>2.4671606601549323</v>
      </c>
      <c r="I183" s="105">
        <v>88.503207349265509</v>
      </c>
      <c r="J183" s="105">
        <v>0.14308559885531924</v>
      </c>
      <c r="K183" s="105">
        <v>1.5014502644600025</v>
      </c>
    </row>
    <row r="184" spans="1:11" ht="12.95" customHeight="1">
      <c r="A184" s="107"/>
      <c r="B184" s="107" t="s">
        <v>13</v>
      </c>
      <c r="C184" s="105">
        <v>88.914080057388816</v>
      </c>
      <c r="D184" s="105">
        <v>0.16582372937568035</v>
      </c>
      <c r="E184" s="105">
        <v>2.2513753702920081</v>
      </c>
      <c r="F184" s="105">
        <v>89.11582610020551</v>
      </c>
      <c r="G184" s="105">
        <v>0.11504642945188159</v>
      </c>
      <c r="H184" s="105">
        <v>2.5850454698551628</v>
      </c>
      <c r="I184" s="105">
        <v>88.718923689249422</v>
      </c>
      <c r="J184" s="105">
        <v>0.24373844343585915</v>
      </c>
      <c r="K184" s="105">
        <v>1.7488483193994098</v>
      </c>
    </row>
    <row r="185" spans="1:11" ht="12.95" customHeight="1">
      <c r="A185" s="107"/>
      <c r="B185" s="107" t="s">
        <v>14</v>
      </c>
      <c r="C185" s="105">
        <v>88.995038163558107</v>
      </c>
      <c r="D185" s="105">
        <v>9.1052065226371326E-2</v>
      </c>
      <c r="E185" s="105">
        <v>2.3444773592890433</v>
      </c>
      <c r="F185" s="105">
        <v>89.013419339522358</v>
      </c>
      <c r="G185" s="105">
        <v>-0.11491422473939306</v>
      </c>
      <c r="H185" s="105">
        <v>2.4671606601549323</v>
      </c>
      <c r="I185" s="105">
        <v>89.090848413359637</v>
      </c>
      <c r="J185" s="105">
        <v>0.41921690282553659</v>
      </c>
      <c r="K185" s="105">
        <v>2.1753966899846544</v>
      </c>
    </row>
    <row r="186" spans="1:11" ht="12.95" customHeight="1">
      <c r="A186" s="107"/>
      <c r="B186" s="107"/>
      <c r="C186" s="105"/>
      <c r="D186" s="105"/>
      <c r="E186" s="105"/>
      <c r="F186" s="105"/>
      <c r="G186" s="105"/>
      <c r="H186" s="105"/>
      <c r="I186" s="105"/>
      <c r="J186" s="105"/>
      <c r="K186" s="105"/>
    </row>
    <row r="187" spans="1:11" ht="12.95" customHeight="1">
      <c r="A187" s="107">
        <v>2016</v>
      </c>
      <c r="B187" s="107" t="s">
        <v>3</v>
      </c>
      <c r="C187" s="105">
        <v>88.987678335724524</v>
      </c>
      <c r="D187" s="105">
        <v>-8.2699305325895089E-3</v>
      </c>
      <c r="E187" s="105">
        <v>-8.2699305325895089E-3</v>
      </c>
      <c r="F187" s="105">
        <v>89.006104570902139</v>
      </c>
      <c r="G187" s="105">
        <v>-8.217602103699484E-3</v>
      </c>
      <c r="H187" s="105">
        <v>-8.217602103699484E-3</v>
      </c>
      <c r="I187" s="105">
        <v>89.075971424395235</v>
      </c>
      <c r="J187" s="105">
        <v>-1.6698672455528474E-2</v>
      </c>
      <c r="K187" s="105">
        <v>-1.6698672455528474E-2</v>
      </c>
    </row>
    <row r="188" spans="1:11" ht="12.95" customHeight="1">
      <c r="A188" s="107"/>
      <c r="B188" s="107" t="s">
        <v>4</v>
      </c>
      <c r="C188" s="105">
        <v>88.487210043041614</v>
      </c>
      <c r="D188" s="105">
        <v>-0.56240178645271532</v>
      </c>
      <c r="E188" s="105">
        <v>-0.57062520674825423</v>
      </c>
      <c r="F188" s="105">
        <v>88.121017567854864</v>
      </c>
      <c r="G188" s="105">
        <v>-0.99441157133465241</v>
      </c>
      <c r="H188" s="105">
        <v>-1.0025474566521475</v>
      </c>
      <c r="I188" s="105">
        <v>89.165233358181681</v>
      </c>
      <c r="J188" s="105">
        <v>0.10020876826721814</v>
      </c>
      <c r="K188" s="105">
        <v>8.3493362277708982E-2</v>
      </c>
    </row>
    <row r="189" spans="1:11" ht="12.95" customHeight="1">
      <c r="A189" s="107"/>
      <c r="B189" s="107" t="s">
        <v>5</v>
      </c>
      <c r="C189" s="105">
        <v>88.479850215208032</v>
      </c>
      <c r="D189" s="105">
        <v>-8.3173916659795566E-3</v>
      </c>
      <c r="E189" s="105">
        <v>-0.57889513728085484</v>
      </c>
      <c r="F189" s="105">
        <v>87.989351732690807</v>
      </c>
      <c r="G189" s="105">
        <v>-0.14941479206441732</v>
      </c>
      <c r="H189" s="105">
        <v>-1.1504642945188603</v>
      </c>
      <c r="I189" s="105">
        <v>89.351195720236788</v>
      </c>
      <c r="J189" s="105">
        <v>0.20855927254526119</v>
      </c>
      <c r="K189" s="105">
        <v>0.29222676797195923</v>
      </c>
    </row>
    <row r="190" spans="1:11" ht="12.95" customHeight="1">
      <c r="A190" s="107"/>
      <c r="B190" s="107" t="s">
        <v>6</v>
      </c>
      <c r="C190" s="105">
        <v>88.398892109038741</v>
      </c>
      <c r="D190" s="105">
        <v>-9.1498918649135508E-2</v>
      </c>
      <c r="E190" s="105">
        <v>-0.66986437313926173</v>
      </c>
      <c r="F190" s="105">
        <v>87.894259740627874</v>
      </c>
      <c r="G190" s="105">
        <v>-0.10807215894921285</v>
      </c>
      <c r="H190" s="105">
        <v>-1.2572931218670425</v>
      </c>
      <c r="I190" s="105">
        <v>89.284249269896947</v>
      </c>
      <c r="J190" s="105">
        <v>-7.4925074925080715E-2</v>
      </c>
      <c r="K190" s="105">
        <v>0.21708274192202559</v>
      </c>
    </row>
    <row r="191" spans="1:11" ht="12.95" customHeight="1">
      <c r="A191" s="107"/>
      <c r="B191" s="107" t="s">
        <v>7</v>
      </c>
      <c r="C191" s="105">
        <v>88.61968694404591</v>
      </c>
      <c r="D191" s="105">
        <v>0.24977104321037835</v>
      </c>
      <c r="E191" s="105">
        <v>-0.4217664571617652</v>
      </c>
      <c r="F191" s="105">
        <v>88.164906179576221</v>
      </c>
      <c r="G191" s="105">
        <v>0.30792276964048959</v>
      </c>
      <c r="H191" s="105">
        <v>-0.95324184402990619</v>
      </c>
      <c r="I191" s="105">
        <v>89.433019159541033</v>
      </c>
      <c r="J191" s="105">
        <v>0.16662501041406763</v>
      </c>
      <c r="K191" s="105">
        <v>0.38406946647742135</v>
      </c>
    </row>
    <row r="192" spans="1:11" ht="12.95" customHeight="1">
      <c r="A192" s="107"/>
      <c r="B192" s="107" t="s">
        <v>8</v>
      </c>
      <c r="C192" s="105">
        <v>89.149594548063121</v>
      </c>
      <c r="D192" s="105">
        <v>0.59795698031723798</v>
      </c>
      <c r="E192" s="105">
        <v>0.17366854118423536</v>
      </c>
      <c r="F192" s="105">
        <v>88.845179661257163</v>
      </c>
      <c r="G192" s="105">
        <v>0.77159213473823041</v>
      </c>
      <c r="H192" s="105">
        <v>-0.18900484838525466</v>
      </c>
      <c r="I192" s="105">
        <v>89.723120444347003</v>
      </c>
      <c r="J192" s="105">
        <v>0.32437827497298066</v>
      </c>
      <c r="K192" s="105">
        <v>0.70969357936045974</v>
      </c>
    </row>
    <row r="193" spans="1:11" ht="12.95" customHeight="1">
      <c r="A193" s="107"/>
      <c r="B193" s="107" t="s">
        <v>9</v>
      </c>
      <c r="C193" s="105">
        <v>89.318870588235285</v>
      </c>
      <c r="D193" s="105">
        <v>0.18987864278048328</v>
      </c>
      <c r="E193" s="105">
        <v>0.36387694343367194</v>
      </c>
      <c r="F193" s="105">
        <v>89.049993182623481</v>
      </c>
      <c r="G193" s="105">
        <v>0.2305285690762382</v>
      </c>
      <c r="H193" s="105">
        <v>4.1088010518519624E-2</v>
      </c>
      <c r="I193" s="105">
        <v>89.842136356062255</v>
      </c>
      <c r="J193" s="105">
        <v>0.13264798540870704</v>
      </c>
      <c r="K193" s="105">
        <v>0.84328295900475414</v>
      </c>
    </row>
    <row r="194" spans="1:11" ht="12.95" customHeight="1">
      <c r="A194" s="107"/>
      <c r="B194" s="107" t="s">
        <v>10</v>
      </c>
      <c r="C194" s="105">
        <v>89.267351793400294</v>
      </c>
      <c r="D194" s="105">
        <v>-5.7679630850349106E-2</v>
      </c>
      <c r="E194" s="105">
        <v>0.30598742970560089</v>
      </c>
      <c r="F194" s="105">
        <v>88.764717206434682</v>
      </c>
      <c r="G194" s="105">
        <v>-0.32035485460819579</v>
      </c>
      <c r="H194" s="105">
        <v>-0.2793984715260267</v>
      </c>
      <c r="I194" s="105">
        <v>90.154553124314845</v>
      </c>
      <c r="J194" s="105">
        <v>0.34773969200199151</v>
      </c>
      <c r="K194" s="105">
        <v>1.1939550805710963</v>
      </c>
    </row>
    <row r="195" spans="1:11" ht="12.95" customHeight="1">
      <c r="A195" s="107"/>
      <c r="B195" s="107" t="s">
        <v>11</v>
      </c>
      <c r="C195" s="105">
        <v>89.304150932568149</v>
      </c>
      <c r="D195" s="105">
        <v>4.1223513892307828E-2</v>
      </c>
      <c r="E195" s="105">
        <v>0.34733708236851513</v>
      </c>
      <c r="F195" s="105">
        <v>88.698884288852668</v>
      </c>
      <c r="G195" s="105">
        <v>-7.4165636588363615E-2</v>
      </c>
      <c r="H195" s="105">
        <v>-0.35335689045936647</v>
      </c>
      <c r="I195" s="105">
        <v>90.347953980852139</v>
      </c>
      <c r="J195" s="105">
        <v>0.21452145214519991</v>
      </c>
      <c r="K195" s="105">
        <v>1.4110378224930997</v>
      </c>
    </row>
    <row r="196" spans="1:11" ht="12.95" customHeight="1">
      <c r="A196" s="107"/>
      <c r="B196" s="107" t="s">
        <v>12</v>
      </c>
      <c r="C196" s="105">
        <v>89.576464562410322</v>
      </c>
      <c r="D196" s="105">
        <v>0.30492830064281495</v>
      </c>
      <c r="E196" s="105">
        <v>0.65332451207409381</v>
      </c>
      <c r="F196" s="105">
        <v>88.932956884699877</v>
      </c>
      <c r="G196" s="105">
        <v>0.26389576117433755</v>
      </c>
      <c r="H196" s="105">
        <v>-9.0393623140772039E-2</v>
      </c>
      <c r="I196" s="105">
        <v>90.675247738069132</v>
      </c>
      <c r="J196" s="105">
        <v>0.36225917997696477</v>
      </c>
      <c r="K196" s="105">
        <v>1.7784086165149926</v>
      </c>
    </row>
    <row r="197" spans="1:11" ht="12.95" customHeight="1">
      <c r="A197" s="107"/>
      <c r="B197" s="107" t="s">
        <v>13</v>
      </c>
      <c r="C197" s="105">
        <v>89.694221807747496</v>
      </c>
      <c r="D197" s="105">
        <v>0.13146002793527067</v>
      </c>
      <c r="E197" s="105">
        <v>0.78564340059543714</v>
      </c>
      <c r="F197" s="105">
        <v>88.786661512295368</v>
      </c>
      <c r="G197" s="105">
        <v>-0.16450074025333716</v>
      </c>
      <c r="H197" s="105">
        <v>-0.25474566521489495</v>
      </c>
      <c r="I197" s="105">
        <v>91.203380846305635</v>
      </c>
      <c r="J197" s="105">
        <v>0.58244462674323927</v>
      </c>
      <c r="K197" s="105">
        <v>2.3712114886866642</v>
      </c>
    </row>
    <row r="198" spans="1:11" ht="12.95" customHeight="1">
      <c r="A198" s="108"/>
      <c r="B198" s="108" t="s">
        <v>14</v>
      </c>
      <c r="C198" s="109">
        <v>90.503802869440463</v>
      </c>
      <c r="D198" s="109">
        <v>0.90260113235414163</v>
      </c>
      <c r="E198" s="109">
        <v>1.695335759179617</v>
      </c>
      <c r="F198" s="109">
        <v>89.913135879810071</v>
      </c>
      <c r="G198" s="109">
        <v>1.2687427912341454</v>
      </c>
      <c r="H198" s="109">
        <v>1.0107650587558581</v>
      </c>
      <c r="I198" s="109">
        <v>91.523236109040411</v>
      </c>
      <c r="J198" s="109">
        <v>0.35070548894868825</v>
      </c>
      <c r="K198" s="109">
        <v>2.7302329464807595</v>
      </c>
    </row>
    <row r="199" spans="1:11" ht="12.95" customHeight="1">
      <c r="A199" s="107"/>
      <c r="B199" s="107"/>
      <c r="C199" s="105"/>
      <c r="D199" s="105"/>
      <c r="E199" s="105"/>
      <c r="F199" s="105"/>
      <c r="G199" s="105"/>
      <c r="H199" s="105"/>
      <c r="I199" s="105"/>
      <c r="J199" s="105"/>
      <c r="K199" s="105"/>
    </row>
    <row r="200" spans="1:11" ht="12.95" customHeight="1">
      <c r="A200" s="107">
        <v>2017</v>
      </c>
      <c r="B200" s="107" t="s">
        <v>3</v>
      </c>
      <c r="C200" s="105">
        <v>91.06314978479196</v>
      </c>
      <c r="D200" s="105">
        <v>0.61803691957387219</v>
      </c>
      <c r="E200" s="105">
        <v>0.61803691957387219</v>
      </c>
      <c r="F200" s="105">
        <v>90.842111494578688</v>
      </c>
      <c r="G200" s="105">
        <v>1.0331923202082649</v>
      </c>
      <c r="H200" s="105">
        <v>1.0331923202082649</v>
      </c>
      <c r="I200" s="105">
        <v>91.51579761455821</v>
      </c>
      <c r="J200" s="105">
        <v>-8.1274382314644456E-3</v>
      </c>
      <c r="K200" s="105">
        <v>-8.1274382314644456E-3</v>
      </c>
    </row>
    <row r="201" spans="1:11" ht="12.95" customHeight="1">
      <c r="A201" s="107"/>
      <c r="B201" s="107" t="s">
        <v>4</v>
      </c>
      <c r="C201" s="105">
        <v>91.445860832137726</v>
      </c>
      <c r="D201" s="105">
        <v>0.42026994261699091</v>
      </c>
      <c r="E201" s="105">
        <v>1.0409042855981099</v>
      </c>
      <c r="F201" s="105">
        <v>91.310256686273121</v>
      </c>
      <c r="G201" s="105">
        <v>0.51533939930752393</v>
      </c>
      <c r="H201" s="105">
        <v>1.5538561666124329</v>
      </c>
      <c r="I201" s="105">
        <v>91.768706426953145</v>
      </c>
      <c r="J201" s="105">
        <v>0.27635536048118414</v>
      </c>
      <c r="K201" s="105">
        <v>0.26820546163848213</v>
      </c>
    </row>
    <row r="202" spans="1:11" ht="12.95" customHeight="1">
      <c r="A202" s="107"/>
      <c r="B202" s="107" t="s">
        <v>5</v>
      </c>
      <c r="C202" s="105">
        <v>91.261865136298425</v>
      </c>
      <c r="D202" s="105">
        <v>-0.2012072434607548</v>
      </c>
      <c r="E202" s="105">
        <v>0.83760266731722766</v>
      </c>
      <c r="F202" s="105">
        <v>90.886000106300045</v>
      </c>
      <c r="G202" s="105">
        <v>-0.46463189938316107</v>
      </c>
      <c r="H202" s="105">
        <v>1.0820045558086688</v>
      </c>
      <c r="I202" s="105">
        <v>91.947230294526051</v>
      </c>
      <c r="J202" s="105">
        <v>0.19453675934182346</v>
      </c>
      <c r="K202" s="105">
        <v>0.46326397919376205</v>
      </c>
    </row>
    <row r="203" spans="1:11" ht="12.95" customHeight="1">
      <c r="A203" s="107"/>
      <c r="B203" s="107" t="s">
        <v>6</v>
      </c>
      <c r="C203" s="105">
        <v>91.504739454806312</v>
      </c>
      <c r="D203" s="105">
        <v>0.26612903225806672</v>
      </c>
      <c r="E203" s="105">
        <v>1.1059608034479806</v>
      </c>
      <c r="F203" s="105">
        <v>91.273682843171997</v>
      </c>
      <c r="G203" s="105">
        <v>0.42655935613682416</v>
      </c>
      <c r="H203" s="105">
        <v>1.5131793036121222</v>
      </c>
      <c r="I203" s="105">
        <v>91.984422766937072</v>
      </c>
      <c r="J203" s="105">
        <v>4.0449801795960916E-2</v>
      </c>
      <c r="K203" s="105">
        <v>0.50390117035110649</v>
      </c>
    </row>
    <row r="204" spans="1:11" ht="12.95" customHeight="1">
      <c r="A204" s="107"/>
      <c r="B204" s="107" t="s">
        <v>7</v>
      </c>
      <c r="C204" s="105">
        <v>91.372262553802017</v>
      </c>
      <c r="D204" s="105">
        <v>-0.14477599935653895</v>
      </c>
      <c r="E204" s="105">
        <v>0.95958363828576587</v>
      </c>
      <c r="F204" s="105">
        <v>90.981092098362979</v>
      </c>
      <c r="G204" s="105">
        <v>-0.32056419297964434</v>
      </c>
      <c r="H204" s="105">
        <v>1.1877643996095033</v>
      </c>
      <c r="I204" s="105">
        <v>92.088561689687921</v>
      </c>
      <c r="J204" s="105">
        <v>0.11321365033154507</v>
      </c>
      <c r="K204" s="105">
        <v>0.61768530559167534</v>
      </c>
    </row>
    <row r="205" spans="1:11" ht="12.95" customHeight="1">
      <c r="A205" s="107"/>
      <c r="B205" s="107" t="s">
        <v>8</v>
      </c>
      <c r="C205" s="105">
        <v>91.423781348637007</v>
      </c>
      <c r="D205" s="105">
        <v>5.6383407168736355E-2</v>
      </c>
      <c r="E205" s="105">
        <v>1.0165080914043889</v>
      </c>
      <c r="F205" s="105">
        <v>90.922573949401169</v>
      </c>
      <c r="G205" s="105">
        <v>-6.4319022350867172E-2</v>
      </c>
      <c r="H205" s="105">
        <v>1.1226814188089795</v>
      </c>
      <c r="I205" s="105">
        <v>92.304278029671849</v>
      </c>
      <c r="J205" s="105">
        <v>0.23424878836835195</v>
      </c>
      <c r="K205" s="105">
        <v>0.85338101430427749</v>
      </c>
    </row>
    <row r="206" spans="1:11" ht="12.95" customHeight="1">
      <c r="A206" s="107"/>
      <c r="B206" s="107" t="s">
        <v>9</v>
      </c>
      <c r="C206" s="105">
        <v>91.585697560975603</v>
      </c>
      <c r="D206" s="105">
        <v>0.17710513604893841</v>
      </c>
      <c r="E206" s="105">
        <v>1.1954135154915724</v>
      </c>
      <c r="F206" s="105">
        <v>91.032295478704555</v>
      </c>
      <c r="G206" s="105">
        <v>0.12067578439260984</v>
      </c>
      <c r="H206" s="105">
        <v>1.2447120078099561</v>
      </c>
      <c r="I206" s="105">
        <v>92.557186842066798</v>
      </c>
      <c r="J206" s="105">
        <v>0.27399468127973226</v>
      </c>
      <c r="K206" s="105">
        <v>1.1297139141742463</v>
      </c>
    </row>
    <row r="207" spans="1:11" ht="12.95" customHeight="1">
      <c r="A207" s="107"/>
      <c r="B207" s="107" t="s">
        <v>10</v>
      </c>
      <c r="C207" s="105">
        <v>92.108245337159261</v>
      </c>
      <c r="D207" s="105">
        <v>0.57055609128899842</v>
      </c>
      <c r="E207" s="105">
        <v>1.7727901114092948</v>
      </c>
      <c r="F207" s="105">
        <v>91.54432928212033</v>
      </c>
      <c r="G207" s="105">
        <v>0.56247488951386426</v>
      </c>
      <c r="H207" s="105">
        <v>1.8141880898145279</v>
      </c>
      <c r="I207" s="105">
        <v>93.10019693926769</v>
      </c>
      <c r="J207" s="105">
        <v>0.58667523909023966</v>
      </c>
      <c r="K207" s="105">
        <v>1.7230169050715061</v>
      </c>
    </row>
    <row r="208" spans="1:11" ht="12.95" customHeight="1">
      <c r="A208" s="107"/>
      <c r="B208" s="107" t="s">
        <v>11</v>
      </c>
      <c r="C208" s="105">
        <v>92.697031563845044</v>
      </c>
      <c r="D208" s="105">
        <v>0.63923292049539171</v>
      </c>
      <c r="E208" s="105">
        <v>2.4233552899080912</v>
      </c>
      <c r="F208" s="105">
        <v>92.400157210686686</v>
      </c>
      <c r="G208" s="105">
        <v>0.93487814622452703</v>
      </c>
      <c r="H208" s="105">
        <v>2.766026684022127</v>
      </c>
      <c r="I208" s="105">
        <v>93.263843817876193</v>
      </c>
      <c r="J208" s="105">
        <v>0.17577500798977574</v>
      </c>
      <c r="K208" s="105">
        <v>1.9018205461638571</v>
      </c>
    </row>
    <row r="209" spans="1:11" ht="12.95" customHeight="1">
      <c r="A209" s="107"/>
      <c r="B209" s="107" t="s">
        <v>12</v>
      </c>
      <c r="C209" s="105">
        <v>92.697031563845044</v>
      </c>
      <c r="D209" s="105">
        <v>0</v>
      </c>
      <c r="E209" s="105">
        <v>2.4233552899080912</v>
      </c>
      <c r="F209" s="105">
        <v>92.290435681383315</v>
      </c>
      <c r="G209" s="105">
        <v>-0.11874604179860082</v>
      </c>
      <c r="H209" s="105">
        <v>2.6439960950211505</v>
      </c>
      <c r="I209" s="105">
        <v>93.442367685449099</v>
      </c>
      <c r="J209" s="105">
        <v>0.19141808900942081</v>
      </c>
      <c r="K209" s="105">
        <v>2.0968790637191148</v>
      </c>
    </row>
    <row r="210" spans="1:11" ht="12.95" customHeight="1">
      <c r="A210" s="107"/>
      <c r="B210" s="107" t="s">
        <v>13</v>
      </c>
      <c r="C210" s="105">
        <v>93.403575035868002</v>
      </c>
      <c r="D210" s="105">
        <v>0.76220722508932859</v>
      </c>
      <c r="E210" s="105">
        <v>3.2040335041066736</v>
      </c>
      <c r="F210" s="105">
        <v>93.248670370632837</v>
      </c>
      <c r="G210" s="105">
        <v>1.0382816834429764</v>
      </c>
      <c r="H210" s="105">
        <v>3.7097299056296773</v>
      </c>
      <c r="I210" s="105">
        <v>93.754784453701674</v>
      </c>
      <c r="J210" s="105">
        <v>0.33434166533992116</v>
      </c>
      <c r="K210" s="105">
        <v>2.4382314694408436</v>
      </c>
    </row>
    <row r="211" spans="1:11" ht="12.95" customHeight="1">
      <c r="A211" s="107"/>
      <c r="B211" s="107" t="s">
        <v>14</v>
      </c>
      <c r="C211" s="105">
        <v>94.30883385939741</v>
      </c>
      <c r="D211" s="105">
        <v>0.96919076510912916</v>
      </c>
      <c r="E211" s="105">
        <v>4.2042774660486115</v>
      </c>
      <c r="F211" s="105">
        <v>94.272737977464388</v>
      </c>
      <c r="G211" s="105">
        <v>1.0982114841543877</v>
      </c>
      <c r="H211" s="105">
        <v>4.8486820696387989</v>
      </c>
      <c r="I211" s="105">
        <v>94.491195407439889</v>
      </c>
      <c r="J211" s="105">
        <v>0.78546493176769872</v>
      </c>
      <c r="K211" s="105">
        <v>3.2428478543563122</v>
      </c>
    </row>
    <row r="212" spans="1:11" ht="12.95" customHeight="1">
      <c r="A212" s="107"/>
      <c r="B212" s="107"/>
      <c r="C212" s="105"/>
      <c r="D212" s="105"/>
      <c r="E212" s="105"/>
      <c r="F212" s="105"/>
      <c r="G212" s="105"/>
      <c r="H212" s="105"/>
      <c r="I212" s="105"/>
      <c r="J212" s="105"/>
      <c r="K212" s="105"/>
    </row>
    <row r="213" spans="1:11" ht="12.95" customHeight="1">
      <c r="A213" s="107">
        <v>2018</v>
      </c>
      <c r="B213" s="107" t="s">
        <v>3</v>
      </c>
      <c r="C213" s="105">
        <v>94.581147489239584</v>
      </c>
      <c r="D213" s="105">
        <v>0.28874668331511089</v>
      </c>
      <c r="E213" s="105">
        <v>0.28874668331511089</v>
      </c>
      <c r="F213" s="105">
        <v>94.770142243639711</v>
      </c>
      <c r="G213" s="105">
        <v>0.52762259466170303</v>
      </c>
      <c r="H213" s="105">
        <v>0.52762259466170303</v>
      </c>
      <c r="I213" s="105">
        <v>94.409371968135645</v>
      </c>
      <c r="J213" s="105">
        <v>-8.659371801936766E-2</v>
      </c>
      <c r="K213" s="105">
        <v>-8.659371801936766E-2</v>
      </c>
    </row>
    <row r="214" spans="1:11" ht="12.95" customHeight="1">
      <c r="A214" s="107"/>
      <c r="B214" s="107" t="s">
        <v>4</v>
      </c>
      <c r="C214" s="105">
        <v>94.478109899569588</v>
      </c>
      <c r="D214" s="105">
        <v>-0.10894093844835417</v>
      </c>
      <c r="E214" s="105">
        <v>0.17949118152023047</v>
      </c>
      <c r="F214" s="105">
        <v>94.477551498830692</v>
      </c>
      <c r="G214" s="105">
        <v>-0.3087372645878439</v>
      </c>
      <c r="H214" s="105">
        <v>0.21725636250775615</v>
      </c>
      <c r="I214" s="105">
        <v>94.610211319155141</v>
      </c>
      <c r="J214" s="105">
        <v>0.21273242987707164</v>
      </c>
      <c r="K214" s="105">
        <v>0.12595449893724187</v>
      </c>
    </row>
    <row r="215" spans="1:11" ht="12.95" customHeight="1">
      <c r="A215" s="107"/>
      <c r="B215" s="107" t="s">
        <v>5</v>
      </c>
      <c r="C215" s="105">
        <v>94.831381635581053</v>
      </c>
      <c r="D215" s="105">
        <v>0.3739191399859676</v>
      </c>
      <c r="E215" s="105">
        <v>0.55408147338849023</v>
      </c>
      <c r="F215" s="105">
        <v>94.879863772943096</v>
      </c>
      <c r="G215" s="105">
        <v>0.4258284298544579</v>
      </c>
      <c r="H215" s="105">
        <v>0.64400993171942478</v>
      </c>
      <c r="I215" s="105">
        <v>94.885435614996709</v>
      </c>
      <c r="J215" s="105">
        <v>0.29090337290669233</v>
      </c>
      <c r="K215" s="105">
        <v>0.41722427772967752</v>
      </c>
    </row>
    <row r="216" spans="1:11" ht="12.95" customHeight="1">
      <c r="A216" s="107"/>
      <c r="B216" s="107" t="s">
        <v>6</v>
      </c>
      <c r="C216" s="105">
        <v>95.206732855093264</v>
      </c>
      <c r="D216" s="105">
        <v>0.39580908032597062</v>
      </c>
      <c r="E216" s="105">
        <v>0.95208365849852594</v>
      </c>
      <c r="F216" s="105">
        <v>95.369953270498186</v>
      </c>
      <c r="G216" s="105">
        <v>0.51653688998534175</v>
      </c>
      <c r="H216" s="105">
        <v>1.1638733705772841</v>
      </c>
      <c r="I216" s="105">
        <v>95.071397977051816</v>
      </c>
      <c r="J216" s="105">
        <v>0.19598620257135213</v>
      </c>
      <c r="K216" s="105">
        <v>0.61402818231912626</v>
      </c>
    </row>
    <row r="217" spans="1:11" ht="12.95" customHeight="1">
      <c r="A217" s="107"/>
      <c r="B217" s="107" t="s">
        <v>7</v>
      </c>
      <c r="C217" s="105">
        <v>95.456967001434705</v>
      </c>
      <c r="D217" s="105">
        <v>0.26283240568951705</v>
      </c>
      <c r="E217" s="105">
        <v>1.2174184485718609</v>
      </c>
      <c r="F217" s="105">
        <v>95.677173552547657</v>
      </c>
      <c r="G217" s="105">
        <v>0.32213529682467712</v>
      </c>
      <c r="H217" s="105">
        <v>1.4897579143389184</v>
      </c>
      <c r="I217" s="105">
        <v>95.242483350142507</v>
      </c>
      <c r="J217" s="105">
        <v>0.17995462013926655</v>
      </c>
      <c r="K217" s="105">
        <v>0.79508777454144752</v>
      </c>
    </row>
    <row r="218" spans="1:11" ht="12.95" customHeight="1">
      <c r="A218" s="107"/>
      <c r="B218" s="107" t="s">
        <v>8</v>
      </c>
      <c r="C218" s="105">
        <v>95.65568235294117</v>
      </c>
      <c r="D218" s="105">
        <v>0.20817270624517992</v>
      </c>
      <c r="E218" s="105">
        <v>1.4281254877477778</v>
      </c>
      <c r="F218" s="105">
        <v>95.823468924952167</v>
      </c>
      <c r="G218" s="105">
        <v>0.15290519877675379</v>
      </c>
      <c r="H218" s="105">
        <v>1.6449410304159029</v>
      </c>
      <c r="I218" s="105">
        <v>95.517707645984061</v>
      </c>
      <c r="J218" s="105">
        <v>0.28897219618868597</v>
      </c>
      <c r="K218" s="105">
        <v>1.086357553333861</v>
      </c>
    </row>
    <row r="219" spans="1:11" ht="12.95" customHeight="1">
      <c r="A219" s="107"/>
      <c r="B219" s="107" t="s">
        <v>9</v>
      </c>
      <c r="C219" s="105">
        <v>95.64096269727402</v>
      </c>
      <c r="D219" s="105">
        <v>-1.5388166499963329E-2</v>
      </c>
      <c r="E219" s="105">
        <v>1.4125175589199346</v>
      </c>
      <c r="F219" s="105">
        <v>95.677173552547657</v>
      </c>
      <c r="G219" s="105">
        <v>-0.15267175572519776</v>
      </c>
      <c r="H219" s="105">
        <v>1.4897579143389184</v>
      </c>
      <c r="I219" s="105">
        <v>95.703670008039168</v>
      </c>
      <c r="J219" s="105">
        <v>0.194688887158323</v>
      </c>
      <c r="K219" s="105">
        <v>1.2831614579233097</v>
      </c>
    </row>
    <row r="220" spans="1:11" ht="12.95" customHeight="1">
      <c r="A220" s="107"/>
      <c r="B220" s="107" t="s">
        <v>10</v>
      </c>
      <c r="C220" s="105">
        <v>95.67040200860832</v>
      </c>
      <c r="D220" s="105">
        <v>3.0781069642182857E-2</v>
      </c>
      <c r="E220" s="105">
        <v>1.443733416575621</v>
      </c>
      <c r="F220" s="105">
        <v>95.530878180143148</v>
      </c>
      <c r="G220" s="105">
        <v>-0.15290519877676489</v>
      </c>
      <c r="H220" s="105">
        <v>1.334574798261956</v>
      </c>
      <c r="I220" s="105">
        <v>96.00120978732734</v>
      </c>
      <c r="J220" s="105">
        <v>0.31089693766517268</v>
      </c>
      <c r="K220" s="105">
        <v>1.598047705266481</v>
      </c>
    </row>
    <row r="221" spans="1:11" ht="12.95" customHeight="1">
      <c r="A221" s="107"/>
      <c r="B221" s="107" t="s">
        <v>11</v>
      </c>
      <c r="C221" s="105">
        <v>95.744000286944043</v>
      </c>
      <c r="D221" s="105">
        <v>7.6928994538039142E-2</v>
      </c>
      <c r="E221" s="105">
        <v>1.5217730607148594</v>
      </c>
      <c r="F221" s="105">
        <v>95.560137254624038</v>
      </c>
      <c r="G221" s="105">
        <v>3.0627871362920445E-2</v>
      </c>
      <c r="H221" s="105">
        <v>1.3656114214773307</v>
      </c>
      <c r="I221" s="105">
        <v>96.157418171453628</v>
      </c>
      <c r="J221" s="105">
        <v>0.16271501627149743</v>
      </c>
      <c r="K221" s="105">
        <v>1.7633629851216304</v>
      </c>
    </row>
    <row r="222" spans="1:11" ht="12.95" customHeight="1">
      <c r="A222" s="107"/>
      <c r="B222" s="107" t="s">
        <v>12</v>
      </c>
      <c r="C222" s="105">
        <v>95.957435294117644</v>
      </c>
      <c r="D222" s="105">
        <v>0.22292259205165532</v>
      </c>
      <c r="E222" s="105">
        <v>1.7480880287185974</v>
      </c>
      <c r="F222" s="105">
        <v>95.757636007370124</v>
      </c>
      <c r="G222" s="105">
        <v>0.20667483159828581</v>
      </c>
      <c r="H222" s="105">
        <v>1.5751086281812432</v>
      </c>
      <c r="I222" s="105">
        <v>96.388011500401959</v>
      </c>
      <c r="J222" s="105">
        <v>0.23980815347721673</v>
      </c>
      <c r="K222" s="105">
        <v>2.0073998268125726</v>
      </c>
    </row>
    <row r="223" spans="1:11" ht="12.95" customHeight="1">
      <c r="A223" s="107"/>
      <c r="B223" s="107" t="s">
        <v>13</v>
      </c>
      <c r="C223" s="105">
        <v>95.618883213773302</v>
      </c>
      <c r="D223" s="105">
        <v>-0.35281484890321568</v>
      </c>
      <c r="E223" s="105">
        <v>1.3891056656781586</v>
      </c>
      <c r="F223" s="105">
        <v>95.084677294309401</v>
      </c>
      <c r="G223" s="105">
        <v>-0.70277289741041971</v>
      </c>
      <c r="H223" s="105">
        <v>0.86126629422718093</v>
      </c>
      <c r="I223" s="105">
        <v>96.559096873492649</v>
      </c>
      <c r="J223" s="105">
        <v>0.17749652724186049</v>
      </c>
      <c r="K223" s="105">
        <v>2.1884594190348716</v>
      </c>
    </row>
    <row r="224" spans="1:11" ht="12.95" customHeight="1">
      <c r="A224" s="107"/>
      <c r="B224" s="107" t="s">
        <v>14</v>
      </c>
      <c r="C224" s="105">
        <v>95.412808034433269</v>
      </c>
      <c r="D224" s="105">
        <v>-0.21551724137931494</v>
      </c>
      <c r="E224" s="105">
        <v>1.1705946620883312</v>
      </c>
      <c r="F224" s="105">
        <v>94.528754879172268</v>
      </c>
      <c r="G224" s="105">
        <v>-0.58466035848911968</v>
      </c>
      <c r="H224" s="105">
        <v>0.27157045313468409</v>
      </c>
      <c r="I224" s="105">
        <v>96.893829125191829</v>
      </c>
      <c r="J224" s="105">
        <v>0.34666050381324531</v>
      </c>
      <c r="K224" s="105">
        <v>2.542706447295906</v>
      </c>
    </row>
    <row r="225" spans="1:11" ht="12.95" customHeight="1">
      <c r="A225" s="107"/>
      <c r="B225" s="107"/>
      <c r="C225" s="105"/>
      <c r="D225" s="105"/>
      <c r="E225" s="105"/>
      <c r="F225" s="105"/>
      <c r="G225" s="105"/>
      <c r="H225" s="105"/>
      <c r="I225" s="105"/>
      <c r="J225" s="105"/>
      <c r="K225" s="105"/>
    </row>
    <row r="226" spans="1:11" ht="12.95" customHeight="1">
      <c r="A226" s="107">
        <v>2019</v>
      </c>
      <c r="B226" s="107" t="s">
        <v>3</v>
      </c>
      <c r="C226" s="105">
        <v>95.250891822094687</v>
      </c>
      <c r="D226" s="105">
        <v>-0.16970070965750539</v>
      </c>
      <c r="E226" s="105">
        <v>-0.16970070965750539</v>
      </c>
      <c r="F226" s="105">
        <v>94.338570895046416</v>
      </c>
      <c r="G226" s="105">
        <v>-0.2011916737599595</v>
      </c>
      <c r="H226" s="105">
        <v>-0.2011916737599595</v>
      </c>
      <c r="I226" s="105">
        <v>96.782251707958778</v>
      </c>
      <c r="J226" s="105">
        <v>-0.1151543067710592</v>
      </c>
      <c r="K226" s="105">
        <v>-0.1151543067710592</v>
      </c>
    </row>
    <row r="227" spans="1:11" ht="12.95" customHeight="1">
      <c r="A227" s="107"/>
      <c r="B227" s="107" t="s">
        <v>4</v>
      </c>
      <c r="C227" s="105">
        <v>95.604163558106166</v>
      </c>
      <c r="D227" s="105">
        <v>0.37088548910524377</v>
      </c>
      <c r="E227" s="105">
        <v>0.20055538414072149</v>
      </c>
      <c r="F227" s="105">
        <v>94.77745701225993</v>
      </c>
      <c r="G227" s="105">
        <v>0.46522447080714624</v>
      </c>
      <c r="H227" s="105">
        <v>0.26309680414764447</v>
      </c>
      <c r="I227" s="105">
        <v>96.997968047942706</v>
      </c>
      <c r="J227" s="105">
        <v>0.22288832526324853</v>
      </c>
      <c r="K227" s="105">
        <v>0.10747735298635153</v>
      </c>
    </row>
    <row r="228" spans="1:11" ht="12.95" customHeight="1">
      <c r="A228" s="107"/>
      <c r="B228" s="107" t="s">
        <v>5</v>
      </c>
      <c r="C228" s="105">
        <v>96.229748923959832</v>
      </c>
      <c r="D228" s="105">
        <v>0.65434949961509226</v>
      </c>
      <c r="E228" s="105">
        <v>0.8562172169083837</v>
      </c>
      <c r="F228" s="105">
        <v>95.691803089788095</v>
      </c>
      <c r="G228" s="105">
        <v>0.96472948985104612</v>
      </c>
      <c r="H228" s="105">
        <v>1.2303644664551472</v>
      </c>
      <c r="I228" s="105">
        <v>97.176491915515584</v>
      </c>
      <c r="J228" s="105">
        <v>0.18404907975457796</v>
      </c>
      <c r="K228" s="105">
        <v>0.29172424382004625</v>
      </c>
    </row>
    <row r="229" spans="1:11" ht="12.95" customHeight="1">
      <c r="A229" s="107"/>
      <c r="B229" s="107" t="s">
        <v>6</v>
      </c>
      <c r="C229" s="105">
        <v>96.737577044476325</v>
      </c>
      <c r="D229" s="105">
        <v>0.52772466539197094</v>
      </c>
      <c r="E229" s="105">
        <v>1.3884603517433147</v>
      </c>
      <c r="F229" s="105">
        <v>96.335502728367928</v>
      </c>
      <c r="G229" s="105">
        <v>0.67268001834581703</v>
      </c>
      <c r="H229" s="105">
        <v>1.9113209007196375</v>
      </c>
      <c r="I229" s="105">
        <v>97.481470189285972</v>
      </c>
      <c r="J229" s="105">
        <v>0.31383955909369821</v>
      </c>
      <c r="K229" s="105">
        <v>0.60647934899433764</v>
      </c>
    </row>
    <row r="230" spans="1:11" ht="12.95" customHeight="1">
      <c r="A230" s="107"/>
      <c r="B230" s="107" t="s">
        <v>7</v>
      </c>
      <c r="C230" s="105">
        <v>96.708137733142038</v>
      </c>
      <c r="D230" s="105">
        <v>-3.0432136335967197E-2</v>
      </c>
      <c r="E230" s="105">
        <v>1.3576056772601319</v>
      </c>
      <c r="F230" s="105">
        <v>96.26235504216568</v>
      </c>
      <c r="G230" s="105">
        <v>-7.593014426726663E-2</v>
      </c>
      <c r="H230" s="105">
        <v>1.8339394877350479</v>
      </c>
      <c r="I230" s="105">
        <v>97.518662661696979</v>
      </c>
      <c r="J230" s="105">
        <v>3.81533765738018E-2</v>
      </c>
      <c r="K230" s="105">
        <v>0.64486411791799814</v>
      </c>
    </row>
    <row r="231" spans="1:11" ht="12.95" customHeight="1">
      <c r="A231" s="107"/>
      <c r="B231" s="107" t="s">
        <v>8</v>
      </c>
      <c r="C231" s="105">
        <v>96.531501865136292</v>
      </c>
      <c r="D231" s="105">
        <v>-0.18264840182649067</v>
      </c>
      <c r="E231" s="105">
        <v>1.1724776303610129</v>
      </c>
      <c r="F231" s="105">
        <v>95.86004276805329</v>
      </c>
      <c r="G231" s="105">
        <v>-0.41793313069908855</v>
      </c>
      <c r="H231" s="105">
        <v>1.4083417163197387</v>
      </c>
      <c r="I231" s="105">
        <v>97.682309540305482</v>
      </c>
      <c r="J231" s="105">
        <v>0.16781083142640707</v>
      </c>
      <c r="K231" s="105">
        <v>0.8137571011822553</v>
      </c>
    </row>
    <row r="232" spans="1:11" ht="12.95" customHeight="1">
      <c r="A232" s="107"/>
      <c r="B232" s="107" t="s">
        <v>9</v>
      </c>
      <c r="C232" s="105">
        <v>96.980451362984226</v>
      </c>
      <c r="D232" s="105">
        <v>0.46508081732237194</v>
      </c>
      <c r="E232" s="105">
        <v>1.6430114162295784</v>
      </c>
      <c r="F232" s="105">
        <v>96.54763101835448</v>
      </c>
      <c r="G232" s="105">
        <v>0.71728347958794902</v>
      </c>
      <c r="H232" s="105">
        <v>2.1357269983750093</v>
      </c>
      <c r="I232" s="105">
        <v>97.77900996857413</v>
      </c>
      <c r="J232" s="105">
        <v>9.8994821809306188E-2</v>
      </c>
      <c r="K232" s="105">
        <v>0.91355750038384365</v>
      </c>
    </row>
    <row r="233" spans="1:11" ht="12.95" customHeight="1">
      <c r="A233" s="107"/>
      <c r="B233" s="107" t="s">
        <v>10</v>
      </c>
      <c r="C233" s="105">
        <v>97.311643615494972</v>
      </c>
      <c r="D233" s="105">
        <v>0.34150413599451923</v>
      </c>
      <c r="E233" s="105">
        <v>1.9901265041653904</v>
      </c>
      <c r="F233" s="105">
        <v>96.942628523846636</v>
      </c>
      <c r="G233" s="105">
        <v>0.40912190317448083</v>
      </c>
      <c r="H233" s="105">
        <v>2.5535866284918329</v>
      </c>
      <c r="I233" s="105">
        <v>98.00960329752246</v>
      </c>
      <c r="J233" s="105">
        <v>0.23583111449221317</v>
      </c>
      <c r="K233" s="105">
        <v>1.1515430677107252</v>
      </c>
    </row>
    <row r="234" spans="1:11" ht="12.95" customHeight="1">
      <c r="A234" s="107"/>
      <c r="B234" s="107" t="s">
        <v>11</v>
      </c>
      <c r="C234" s="105">
        <v>97.679635007173601</v>
      </c>
      <c r="D234" s="105">
        <v>0.37815761609438781</v>
      </c>
      <c r="E234" s="105">
        <v>2.3758099352052087</v>
      </c>
      <c r="F234" s="105">
        <v>97.396144178300617</v>
      </c>
      <c r="G234" s="105">
        <v>0.4678186071078283</v>
      </c>
      <c r="H234" s="105">
        <v>3.0333513889963637</v>
      </c>
      <c r="I234" s="105">
        <v>98.232758131988589</v>
      </c>
      <c r="J234" s="105">
        <v>0.22768670309654127</v>
      </c>
      <c r="K234" s="105">
        <v>1.381851681252888</v>
      </c>
    </row>
    <row r="235" spans="1:11" ht="12.95" customHeight="1">
      <c r="A235" s="107"/>
      <c r="B235" s="107" t="s">
        <v>12</v>
      </c>
      <c r="C235" s="105">
        <v>98.334659684361554</v>
      </c>
      <c r="D235" s="105">
        <v>0.6705846895720402</v>
      </c>
      <c r="E235" s="105">
        <v>3.0623264424560537</v>
      </c>
      <c r="F235" s="105">
        <v>98.369008404790577</v>
      </c>
      <c r="G235" s="105">
        <v>0.99887345099509695</v>
      </c>
      <c r="H235" s="105">
        <v>4.0625241816915514</v>
      </c>
      <c r="I235" s="105">
        <v>98.40384350507928</v>
      </c>
      <c r="J235" s="105">
        <v>0.17416325912462671</v>
      </c>
      <c r="K235" s="105">
        <v>1.558421618301864</v>
      </c>
    </row>
    <row r="236" spans="1:11" ht="12.95" customHeight="1">
      <c r="A236" s="107"/>
      <c r="B236" s="107" t="s">
        <v>13</v>
      </c>
      <c r="C236" s="105">
        <v>98.702651076040183</v>
      </c>
      <c r="D236" s="105">
        <v>0.3742234862660121</v>
      </c>
      <c r="E236" s="105">
        <v>3.448009873495872</v>
      </c>
      <c r="F236" s="105">
        <v>98.807894522004119</v>
      </c>
      <c r="G236" s="105">
        <v>0.44616299821536032</v>
      </c>
      <c r="H236" s="105">
        <v>4.5268126595991776</v>
      </c>
      <c r="I236" s="105">
        <v>98.656752317474229</v>
      </c>
      <c r="J236" s="105">
        <v>0.25701111195102211</v>
      </c>
      <c r="K236" s="105">
        <v>1.8194380469829685</v>
      </c>
    </row>
    <row r="237" spans="1:11" ht="12.75" customHeight="1">
      <c r="B237" s="97" t="s">
        <v>14</v>
      </c>
      <c r="C237" s="105">
        <v>98.90136642754662</v>
      </c>
      <c r="D237" s="105">
        <v>0.20132726866004536</v>
      </c>
      <c r="E237" s="105">
        <v>3.6562789262573281</v>
      </c>
      <c r="F237" s="105">
        <v>98.851783133725448</v>
      </c>
      <c r="G237" s="105">
        <v>4.4418122593992138E-2</v>
      </c>
      <c r="H237" s="105">
        <v>4.5732415073899135</v>
      </c>
      <c r="I237" s="105">
        <v>99.103061986406473</v>
      </c>
      <c r="J237" s="105">
        <v>0.45238633793258654</v>
      </c>
      <c r="K237" s="105">
        <v>2.2800552740672497</v>
      </c>
    </row>
    <row r="238" spans="1:11" ht="6" customHeight="1">
      <c r="C238" s="105"/>
      <c r="D238" s="105"/>
      <c r="E238" s="105"/>
      <c r="F238" s="105"/>
      <c r="G238" s="105"/>
      <c r="H238" s="105"/>
      <c r="I238" s="105"/>
      <c r="J238" s="105"/>
      <c r="K238" s="105"/>
    </row>
    <row r="239" spans="1:11">
      <c r="A239" s="111">
        <v>2020</v>
      </c>
      <c r="B239" s="97" t="s">
        <v>3</v>
      </c>
      <c r="C239" s="105">
        <v>99.225198852223812</v>
      </c>
      <c r="D239" s="105">
        <v>0.32742967703527359</v>
      </c>
      <c r="E239" s="105">
        <v>0.32742967703527359</v>
      </c>
      <c r="F239" s="105">
        <v>99.246780639217633</v>
      </c>
      <c r="G239" s="105">
        <v>0.39958561491788558</v>
      </c>
      <c r="H239" s="105">
        <v>0.39958561491788558</v>
      </c>
      <c r="I239" s="105">
        <v>99.303901337425998</v>
      </c>
      <c r="J239" s="105">
        <v>0.20265705922091204</v>
      </c>
      <c r="K239" s="105">
        <v>0.20265705922091204</v>
      </c>
    </row>
    <row r="240" spans="1:11">
      <c r="B240" s="97" t="s">
        <v>4</v>
      </c>
      <c r="C240" s="105">
        <v>99.100081779053085</v>
      </c>
      <c r="D240" s="105">
        <v>-0.12609405132769647</v>
      </c>
      <c r="E240" s="105">
        <v>0.20092275636256485</v>
      </c>
      <c r="F240" s="105">
        <v>98.954189894408614</v>
      </c>
      <c r="G240" s="105">
        <v>-0.29481132075471761</v>
      </c>
      <c r="H240" s="105">
        <v>0.10359627053426745</v>
      </c>
      <c r="I240" s="105">
        <v>99.445232732587868</v>
      </c>
      <c r="J240" s="105">
        <v>0.14232209737827795</v>
      </c>
      <c r="K240" s="105">
        <v>0.3452675823763407</v>
      </c>
    </row>
    <row r="241" spans="1:11">
      <c r="B241" s="97" t="s">
        <v>5</v>
      </c>
      <c r="C241" s="105">
        <v>98.584893830702995</v>
      </c>
      <c r="D241" s="105">
        <v>-0.51986632008913514</v>
      </c>
      <c r="E241" s="105">
        <v>-0.31998809346629464</v>
      </c>
      <c r="F241" s="105">
        <v>98.156880114804054</v>
      </c>
      <c r="G241" s="105">
        <v>-0.80573625073920851</v>
      </c>
      <c r="H241" s="105">
        <v>-0.70297469291104031</v>
      </c>
      <c r="I241" s="105">
        <v>99.355970798801422</v>
      </c>
      <c r="J241" s="105">
        <v>-8.9759892288121534E-2</v>
      </c>
      <c r="K241" s="105">
        <v>0.25519777827818224</v>
      </c>
    </row>
    <row r="242" spans="1:11">
      <c r="B242" s="97" t="s">
        <v>6</v>
      </c>
      <c r="C242" s="105">
        <v>97.775312769010043</v>
      </c>
      <c r="D242" s="105">
        <v>-0.82120194102275335</v>
      </c>
      <c r="E242" s="105">
        <v>-1.1385622860544675</v>
      </c>
      <c r="F242" s="105">
        <v>96.847536531783717</v>
      </c>
      <c r="G242" s="105">
        <v>-1.3339295029435871</v>
      </c>
      <c r="H242" s="105">
        <v>-2.0275270090276631</v>
      </c>
      <c r="I242" s="105">
        <v>99.318778326390415</v>
      </c>
      <c r="J242" s="105">
        <v>-3.7433555439081445E-2</v>
      </c>
      <c r="K242" s="105">
        <v>0.21766869323727178</v>
      </c>
    </row>
    <row r="243" spans="1:11">
      <c r="B243" s="97" t="s">
        <v>7</v>
      </c>
      <c r="C243" s="105">
        <v>97.664915351506451</v>
      </c>
      <c r="D243" s="105">
        <v>-0.11290929619872658</v>
      </c>
      <c r="E243" s="105">
        <v>-1.2501860395892184</v>
      </c>
      <c r="F243" s="105">
        <v>96.781703614201689</v>
      </c>
      <c r="G243" s="105">
        <v>-6.7975830815714122E-2</v>
      </c>
      <c r="H243" s="105">
        <v>-2.09412461151397</v>
      </c>
      <c r="I243" s="105">
        <v>99.162569942264113</v>
      </c>
      <c r="J243" s="105">
        <v>-0.15727980826844012</v>
      </c>
      <c r="K243" s="105">
        <v>6.0046536065461176E-2</v>
      </c>
    </row>
    <row r="244" spans="1:11">
      <c r="B244" s="97" t="s">
        <v>8</v>
      </c>
      <c r="C244" s="105">
        <v>99.328236441893836</v>
      </c>
      <c r="D244" s="105">
        <v>1.7030896759608227</v>
      </c>
      <c r="E244" s="105">
        <v>0.43161184700104549</v>
      </c>
      <c r="F244" s="105">
        <v>99.510112309545733</v>
      </c>
      <c r="G244" s="105">
        <v>2.8191368755196011</v>
      </c>
      <c r="H244" s="105">
        <v>0.66597602486311303</v>
      </c>
      <c r="I244" s="105">
        <v>99.177446931228531</v>
      </c>
      <c r="J244" s="105">
        <v>1.5002625459459296E-2</v>
      </c>
      <c r="K244" s="105">
        <v>7.5058170081820919E-2</v>
      </c>
    </row>
    <row r="245" spans="1:11">
      <c r="B245" s="97" t="s">
        <v>9</v>
      </c>
      <c r="C245" s="105">
        <v>101.19763271162122</v>
      </c>
      <c r="D245" s="105">
        <v>1.8820391227030164</v>
      </c>
      <c r="E245" s="105">
        <v>2.3217740735228531</v>
      </c>
      <c r="F245" s="105">
        <v>101.85815303663809</v>
      </c>
      <c r="G245" s="105">
        <v>2.3596001176124926</v>
      </c>
      <c r="H245" s="105">
        <v>3.0412905135415391</v>
      </c>
      <c r="I245" s="105">
        <v>100.32297508148797</v>
      </c>
      <c r="J245" s="105">
        <v>1.1550288757218752</v>
      </c>
      <c r="K245" s="105">
        <v>1.2309539893417432</v>
      </c>
    </row>
    <row r="246" spans="1:11">
      <c r="B246" s="97" t="s">
        <v>10</v>
      </c>
      <c r="C246" s="105">
        <v>101.98513428981347</v>
      </c>
      <c r="D246" s="105">
        <v>0.7781818181818112</v>
      </c>
      <c r="E246" s="105">
        <v>3.118023515404067</v>
      </c>
      <c r="F246" s="105">
        <v>102.54574128693926</v>
      </c>
      <c r="G246" s="105">
        <v>0.67504488330341061</v>
      </c>
      <c r="H246" s="105">
        <v>3.7368654728429762</v>
      </c>
      <c r="I246" s="105">
        <v>101.26022538624569</v>
      </c>
      <c r="J246" s="105">
        <v>0.9342329650774861</v>
      </c>
      <c r="K246" s="105">
        <v>2.1766869323725846</v>
      </c>
    </row>
    <row r="247" spans="1:11">
      <c r="B247" s="97" t="s">
        <v>11</v>
      </c>
      <c r="C247" s="105">
        <v>102.596</v>
      </c>
      <c r="D247" s="105">
        <v>0.59897524716752137</v>
      </c>
      <c r="E247" s="105">
        <v>3.7356749516297194</v>
      </c>
      <c r="F247" s="105">
        <v>103.21870000000001</v>
      </c>
      <c r="G247" s="105">
        <v>0.65625222911764869</v>
      </c>
      <c r="H247" s="105">
        <v>4.4176409649252957</v>
      </c>
      <c r="I247" s="105">
        <v>101.78092000000001</v>
      </c>
      <c r="J247" s="105">
        <v>0.51421435392642323</v>
      </c>
      <c r="K247" s="105">
        <v>2.7020941229453088</v>
      </c>
    </row>
    <row r="248" spans="1:11">
      <c r="B248" s="97" t="s">
        <v>12</v>
      </c>
      <c r="C248" s="105">
        <v>103.276</v>
      </c>
      <c r="D248" s="105">
        <v>0.66279387110608212</v>
      </c>
      <c r="E248" s="105">
        <v>4.4232286473596449</v>
      </c>
      <c r="F248" s="105">
        <v>104.24043</v>
      </c>
      <c r="G248" s="105">
        <v>0.98986908379972149</v>
      </c>
      <c r="H248" s="105">
        <v>5.4512389108700932</v>
      </c>
      <c r="I248" s="105">
        <v>102.01364</v>
      </c>
      <c r="J248" s="105">
        <v>0.22864796270263277</v>
      </c>
      <c r="K248" s="105">
        <v>2.9369203688103473</v>
      </c>
    </row>
    <row r="249" spans="1:11">
      <c r="B249" s="97" t="s">
        <v>13</v>
      </c>
      <c r="C249" s="105">
        <v>103.893</v>
      </c>
      <c r="D249" s="105">
        <v>0.59742825051318782</v>
      </c>
      <c r="E249" s="105">
        <v>5.0470825153969612</v>
      </c>
      <c r="F249" s="105">
        <v>104.819</v>
      </c>
      <c r="G249" s="105">
        <v>0.55503416476696543</v>
      </c>
      <c r="H249" s="105">
        <v>6.0365293139954534</v>
      </c>
      <c r="I249" s="105">
        <v>102.68</v>
      </c>
      <c r="J249" s="105">
        <v>0.65320676725191262</v>
      </c>
      <c r="K249" s="105">
        <v>3.6093112986601339</v>
      </c>
    </row>
    <row r="250" spans="1:11">
      <c r="B250" s="97" t="s">
        <v>14</v>
      </c>
      <c r="C250" s="105">
        <v>104.39400000000001</v>
      </c>
      <c r="D250" s="105">
        <v>0.4822269065288376</v>
      </c>
      <c r="E250" s="105">
        <v>5.5536478118097587</v>
      </c>
      <c r="F250" s="105">
        <v>105.479</v>
      </c>
      <c r="G250" s="105">
        <v>0.62965683702382869</v>
      </c>
      <c r="H250" s="105">
        <v>6.7041955705637868</v>
      </c>
      <c r="I250" s="105">
        <v>102.974</v>
      </c>
      <c r="J250" s="105">
        <v>0.28632645111024146</v>
      </c>
      <c r="K250" s="105">
        <v>3.9059721627213495</v>
      </c>
    </row>
    <row r="251" spans="1:11">
      <c r="C251" s="105"/>
      <c r="D251" s="105"/>
      <c r="E251" s="105"/>
      <c r="F251" s="105"/>
      <c r="G251" s="105"/>
      <c r="H251" s="105"/>
      <c r="I251" s="105"/>
      <c r="J251" s="105"/>
      <c r="K251" s="105"/>
    </row>
    <row r="252" spans="1:11">
      <c r="A252" s="111">
        <v>2021</v>
      </c>
      <c r="B252" s="97" t="s">
        <v>3</v>
      </c>
      <c r="C252" s="105">
        <v>105.404</v>
      </c>
      <c r="D252" s="105">
        <v>0.96748855298196546</v>
      </c>
      <c r="E252" s="105">
        <v>0.96748855298196546</v>
      </c>
      <c r="F252" s="105">
        <v>107.003</v>
      </c>
      <c r="G252" s="105">
        <v>1.4448373609912801</v>
      </c>
      <c r="H252" s="105">
        <v>1.4448373609912801</v>
      </c>
      <c r="I252" s="105">
        <v>103.312</v>
      </c>
      <c r="J252" s="105">
        <v>0.32823819604947957</v>
      </c>
      <c r="K252" s="105">
        <v>0.32823819604947957</v>
      </c>
    </row>
    <row r="253" spans="1:11">
      <c r="B253" s="97" t="s">
        <v>4</v>
      </c>
      <c r="C253" s="105">
        <v>106.124</v>
      </c>
      <c r="D253" s="105">
        <v>0.68308603089066722</v>
      </c>
      <c r="E253" s="105">
        <v>1.6571833630285138</v>
      </c>
      <c r="F253" s="105">
        <v>107.861</v>
      </c>
      <c r="G253" s="105">
        <v>0.80184667719596092</v>
      </c>
      <c r="H253" s="105">
        <v>2.2582694185572461</v>
      </c>
      <c r="I253" s="105">
        <v>103.851</v>
      </c>
      <c r="J253" s="105">
        <v>0.52172061328790154</v>
      </c>
      <c r="K253" s="105">
        <v>0.85167129566685595</v>
      </c>
    </row>
    <row r="254" spans="1:11">
      <c r="B254" s="97" t="s">
        <v>5</v>
      </c>
      <c r="C254" s="105">
        <v>106.764</v>
      </c>
      <c r="D254" s="105">
        <v>0.60306810900456753</v>
      </c>
      <c r="E254" s="105">
        <v>2.2702454164032382</v>
      </c>
      <c r="F254" s="105">
        <v>108.56399999999999</v>
      </c>
      <c r="G254" s="105">
        <v>0.6517647713260466</v>
      </c>
      <c r="H254" s="105">
        <v>2.9247527943950802</v>
      </c>
      <c r="I254" s="105">
        <v>104.407</v>
      </c>
      <c r="J254" s="105">
        <v>0.53538242289432603</v>
      </c>
      <c r="K254" s="105">
        <v>1.3916134169790428</v>
      </c>
    </row>
    <row r="255" spans="1:11">
      <c r="B255" s="97" t="s">
        <v>6</v>
      </c>
      <c r="C255" s="105">
        <v>107.206</v>
      </c>
      <c r="D255" s="105">
        <v>0.41399722752988311</v>
      </c>
      <c r="E255" s="105">
        <v>2.6936413970151563</v>
      </c>
      <c r="F255" s="105">
        <v>109.03</v>
      </c>
      <c r="G255" s="105">
        <v>0.42923989536127749</v>
      </c>
      <c r="H255" s="105">
        <v>3.3665468955905942</v>
      </c>
      <c r="I255" s="105">
        <v>104.818</v>
      </c>
      <c r="J255" s="105">
        <v>0.3936517666440098</v>
      </c>
      <c r="K255" s="105">
        <v>1.7907432944238355</v>
      </c>
    </row>
    <row r="256" spans="1:11">
      <c r="B256" s="97" t="s">
        <v>7</v>
      </c>
      <c r="C256" s="105">
        <v>107.901</v>
      </c>
      <c r="D256" s="105">
        <v>0.64828461093595635</v>
      </c>
      <c r="E256" s="105">
        <v>3.3593884706017541</v>
      </c>
      <c r="F256" s="105">
        <v>109.995</v>
      </c>
      <c r="G256" s="105">
        <v>0.88507750160506937</v>
      </c>
      <c r="H256" s="105">
        <v>4.2814209463495123</v>
      </c>
      <c r="I256" s="105">
        <v>105.161</v>
      </c>
      <c r="J256" s="105">
        <v>0.3272338720448742</v>
      </c>
      <c r="K256" s="105">
        <v>2.1238370850894306</v>
      </c>
    </row>
    <row r="257" spans="1:11">
      <c r="B257" s="97" t="s">
        <v>8</v>
      </c>
      <c r="C257" s="105">
        <v>108.58499999999999</v>
      </c>
      <c r="D257" s="105">
        <v>0.63391442155309452</v>
      </c>
      <c r="E257" s="105">
        <v>4.0145985401459638</v>
      </c>
      <c r="F257" s="105">
        <v>110.821</v>
      </c>
      <c r="G257" s="105">
        <v>0.75094322469202446</v>
      </c>
      <c r="H257" s="105">
        <v>5.0645152115587067</v>
      </c>
      <c r="I257" s="105">
        <v>105.66</v>
      </c>
      <c r="J257" s="105">
        <v>0.47451051245233078</v>
      </c>
      <c r="K257" s="105">
        <v>2.6084254277778829</v>
      </c>
    </row>
    <row r="258" spans="1:11">
      <c r="B258" s="97" t="s">
        <v>9</v>
      </c>
      <c r="C258" s="105">
        <v>109.16800000000001</v>
      </c>
      <c r="D258" s="105">
        <v>0.53690657088918403</v>
      </c>
      <c r="E258" s="105">
        <v>4.5730597543920171</v>
      </c>
      <c r="F258" s="105">
        <v>111.57299999999999</v>
      </c>
      <c r="G258" s="105">
        <v>0.67857175084145016</v>
      </c>
      <c r="H258" s="105">
        <v>5.7774533319428389</v>
      </c>
      <c r="I258" s="105">
        <v>106.02</v>
      </c>
      <c r="J258" s="105">
        <v>0.34071550255536653</v>
      </c>
      <c r="K258" s="105">
        <v>2.9580282401382885</v>
      </c>
    </row>
    <row r="259" spans="1:11">
      <c r="B259" s="97" t="s">
        <v>10</v>
      </c>
      <c r="C259" s="105">
        <v>110.039</v>
      </c>
      <c r="D259" s="105">
        <v>0.79785285065219202</v>
      </c>
      <c r="E259" s="105">
        <v>5.4073988926566674</v>
      </c>
      <c r="F259" s="105">
        <v>112.723</v>
      </c>
      <c r="G259" s="105">
        <v>1.0307153164295979</v>
      </c>
      <c r="H259" s="105">
        <v>6.8677177447643567</v>
      </c>
      <c r="I259" s="105">
        <v>106.527</v>
      </c>
      <c r="J259" s="105">
        <v>0.47821165817769629</v>
      </c>
      <c r="K259" s="105">
        <v>3.4503855342125078</v>
      </c>
    </row>
    <row r="260" spans="1:11">
      <c r="B260" s="97" t="s">
        <v>11</v>
      </c>
      <c r="C260" s="105">
        <v>110.535</v>
      </c>
      <c r="D260" s="105">
        <v>0.45074927980079948</v>
      </c>
      <c r="E260" s="105">
        <v>5.8825219840220599</v>
      </c>
      <c r="F260" s="105">
        <v>113.21599999999999</v>
      </c>
      <c r="G260" s="105">
        <v>0.43735528685360237</v>
      </c>
      <c r="H260" s="105">
        <v>7.3351093582608717</v>
      </c>
      <c r="I260" s="105">
        <v>107.026</v>
      </c>
      <c r="J260" s="105">
        <v>0.4684258450909029</v>
      </c>
      <c r="K260" s="105">
        <v>3.9349738769009601</v>
      </c>
    </row>
    <row r="261" spans="1:11">
      <c r="B261" s="97" t="s">
        <v>12</v>
      </c>
      <c r="C261" s="105">
        <v>111.244</v>
      </c>
      <c r="D261" s="105">
        <v>0.64142579273533951</v>
      </c>
      <c r="E261" s="105">
        <v>6.5616797900262425</v>
      </c>
      <c r="F261" s="105">
        <v>114.256</v>
      </c>
      <c r="G261" s="105">
        <v>0.9185980780101799</v>
      </c>
      <c r="H261" s="105">
        <v>8.3210876098559936</v>
      </c>
      <c r="I261" s="105">
        <v>107.301</v>
      </c>
      <c r="J261" s="105">
        <v>0.25694691009661152</v>
      </c>
      <c r="K261" s="105">
        <v>4.2020315807873798</v>
      </c>
    </row>
    <row r="262" spans="1:11">
      <c r="B262" s="97" t="s">
        <v>13</v>
      </c>
      <c r="C262" s="105">
        <v>112.446</v>
      </c>
      <c r="D262" s="105">
        <v>1.0805077127755247</v>
      </c>
      <c r="E262" s="105">
        <v>7.7130869590206208</v>
      </c>
      <c r="F262" s="105">
        <v>115.491</v>
      </c>
      <c r="G262" s="105">
        <v>1.0809060355692512</v>
      </c>
      <c r="H262" s="105">
        <v>9.4919367836251887</v>
      </c>
      <c r="I262" s="105">
        <v>108.459</v>
      </c>
      <c r="J262" s="105">
        <v>1.0792070903346662</v>
      </c>
      <c r="K262" s="105">
        <v>5.326587293880003</v>
      </c>
    </row>
    <row r="263" spans="1:11">
      <c r="B263" s="97" t="s">
        <v>14</v>
      </c>
      <c r="C263" s="105">
        <v>113.26300000000001</v>
      </c>
      <c r="D263" s="105">
        <v>0.72657097629085232</v>
      </c>
      <c r="E263" s="105">
        <v>8.4956989865317958</v>
      </c>
      <c r="F263" s="105">
        <v>116.25700000000001</v>
      </c>
      <c r="G263" s="105">
        <v>0.66325514542258102</v>
      </c>
      <c r="H263" s="105">
        <v>10.218147688165423</v>
      </c>
      <c r="I263" s="105">
        <v>109.34399999999999</v>
      </c>
      <c r="J263" s="105">
        <v>0.81597654413188003</v>
      </c>
      <c r="K263" s="105">
        <v>6.1860275409326482</v>
      </c>
    </row>
    <row r="264" spans="1:11">
      <c r="C264" s="105"/>
      <c r="D264" s="105"/>
      <c r="E264" s="105"/>
      <c r="F264" s="105"/>
      <c r="G264" s="105"/>
      <c r="H264" s="105"/>
      <c r="I264" s="105"/>
      <c r="J264" s="105"/>
      <c r="K264" s="105"/>
    </row>
    <row r="265" spans="1:11">
      <c r="A265" s="111">
        <v>2022</v>
      </c>
      <c r="B265" s="97" t="s">
        <v>3</v>
      </c>
      <c r="C265" s="105">
        <v>114.602</v>
      </c>
      <c r="D265" s="105">
        <v>1.1822042502847241</v>
      </c>
      <c r="E265" s="105">
        <v>1.1822042502847241</v>
      </c>
      <c r="F265" s="105">
        <v>117.608</v>
      </c>
      <c r="G265" s="105">
        <v>1.1620805628908437</v>
      </c>
      <c r="H265" s="105">
        <v>1.1620805628908437</v>
      </c>
      <c r="I265" s="105">
        <v>110.66800000000001</v>
      </c>
      <c r="J265" s="105">
        <v>1.2108574773193048</v>
      </c>
      <c r="K265" s="105">
        <v>1.2108574773193048</v>
      </c>
    </row>
    <row r="266" spans="1:11">
      <c r="B266" s="97" t="s">
        <v>4</v>
      </c>
      <c r="C266" s="105">
        <v>115.658</v>
      </c>
      <c r="D266" s="105">
        <v>0.92144988743652068</v>
      </c>
      <c r="E266" s="105">
        <v>2.1145475574547712</v>
      </c>
      <c r="F266" s="105">
        <v>119.012</v>
      </c>
      <c r="G266" s="105">
        <v>1.1937963403850116</v>
      </c>
      <c r="H266" s="105">
        <v>2.3697497785079458</v>
      </c>
      <c r="I266" s="105">
        <v>111.26900000000001</v>
      </c>
      <c r="J266" s="105">
        <v>0.54306574619582548</v>
      </c>
      <c r="K266" s="105">
        <v>1.7604989757096901</v>
      </c>
    </row>
    <row r="267" spans="1:11">
      <c r="B267" s="97" t="s">
        <v>5</v>
      </c>
      <c r="C267" s="105">
        <v>116.431</v>
      </c>
      <c r="D267" s="105">
        <v>0.66834978989780414</v>
      </c>
      <c r="E267" s="105">
        <v>2.7970299215100969</v>
      </c>
      <c r="F267" s="105">
        <v>119.97499999999999</v>
      </c>
      <c r="G267" s="105">
        <v>0.80916210130070887</v>
      </c>
      <c r="H267" s="105">
        <v>3.1980869969119974</v>
      </c>
      <c r="I267" s="105">
        <v>111.792</v>
      </c>
      <c r="J267" s="105">
        <v>0.47003208440805633</v>
      </c>
      <c r="K267" s="105">
        <v>2.2388059701492713</v>
      </c>
    </row>
    <row r="268" spans="1:11">
      <c r="B268" s="97" t="s">
        <v>6</v>
      </c>
      <c r="C268" s="105">
        <v>117.544</v>
      </c>
      <c r="D268" s="105">
        <v>0.95593098058077697</v>
      </c>
      <c r="E268" s="105">
        <v>3.7796985776467062</v>
      </c>
      <c r="F268" s="105">
        <v>121.004</v>
      </c>
      <c r="G268" s="105">
        <v>0.8576786830589711</v>
      </c>
      <c r="H268" s="105">
        <v>4.0831949904091891</v>
      </c>
      <c r="I268" s="105">
        <v>113.015</v>
      </c>
      <c r="J268" s="105">
        <v>1.093995992557617</v>
      </c>
      <c r="K268" s="105">
        <v>3.3572944103014368</v>
      </c>
    </row>
    <row r="269" spans="1:11">
      <c r="B269" s="97" t="s">
        <v>7</v>
      </c>
      <c r="C269" s="105">
        <v>118.122</v>
      </c>
      <c r="D269" s="105">
        <v>0.49173075614237227</v>
      </c>
      <c r="E269" s="105">
        <v>4.2900152741848663</v>
      </c>
      <c r="F269" s="105">
        <v>121.75</v>
      </c>
      <c r="G269" s="105">
        <v>0.61650854517205644</v>
      </c>
      <c r="H269" s="105">
        <v>4.7248767816131521</v>
      </c>
      <c r="I269" s="105">
        <v>113.374</v>
      </c>
      <c r="J269" s="105">
        <v>0.31765694819272383</v>
      </c>
      <c r="K269" s="105">
        <v>3.6856160374597602</v>
      </c>
    </row>
    <row r="270" spans="1:11">
      <c r="B270" s="97" t="s">
        <v>8</v>
      </c>
      <c r="C270" s="105">
        <v>118.877</v>
      </c>
      <c r="D270" s="105">
        <v>0.63916967203399011</v>
      </c>
      <c r="E270" s="105">
        <v>4.9566054227770717</v>
      </c>
      <c r="F270" s="105">
        <v>122.614</v>
      </c>
      <c r="G270" s="105">
        <v>0.70965092402464069</v>
      </c>
      <c r="H270" s="105">
        <v>5.4680578373775379</v>
      </c>
      <c r="I270" s="105">
        <v>113.986</v>
      </c>
      <c r="J270" s="105">
        <v>0.53980630479653069</v>
      </c>
      <c r="K270" s="105">
        <v>4.2453175299970836</v>
      </c>
    </row>
    <row r="271" spans="1:11">
      <c r="B271" s="97" t="s">
        <v>9</v>
      </c>
      <c r="C271" s="105">
        <v>119.468</v>
      </c>
      <c r="D271" s="105">
        <v>0.49715251899022928</v>
      </c>
      <c r="E271" s="105">
        <v>5.4783998304830384</v>
      </c>
      <c r="F271" s="105">
        <v>123.059</v>
      </c>
      <c r="G271" s="105">
        <v>0.36292756128990522</v>
      </c>
      <c r="H271" s="105">
        <v>5.8508304876265349</v>
      </c>
      <c r="I271" s="105">
        <v>114.767</v>
      </c>
      <c r="J271" s="105">
        <v>0.68517186321126466</v>
      </c>
      <c r="K271" s="105">
        <v>4.9595771144278711</v>
      </c>
    </row>
    <row r="272" spans="1:11">
      <c r="B272" s="97" t="s">
        <v>10</v>
      </c>
      <c r="C272" s="105">
        <v>119.718</v>
      </c>
      <c r="D272" s="105">
        <v>0.20926105735425971</v>
      </c>
      <c r="E272" s="105">
        <v>5.6991250452486764</v>
      </c>
      <c r="F272" s="105">
        <v>123.10599999999999</v>
      </c>
      <c r="G272" s="105">
        <v>3.8193061864633115E-2</v>
      </c>
      <c r="H272" s="105">
        <v>5.8912581607989178</v>
      </c>
      <c r="I272" s="105">
        <v>115.283</v>
      </c>
      <c r="J272" s="105">
        <v>0.44960659423005644</v>
      </c>
      <c r="K272" s="105">
        <v>5.4314822944103058</v>
      </c>
    </row>
    <row r="273" spans="1:11">
      <c r="B273" s="97" t="s">
        <v>11</v>
      </c>
      <c r="C273" s="105">
        <v>120.07</v>
      </c>
      <c r="D273" s="105">
        <v>0.29402429041580636</v>
      </c>
      <c r="E273" s="105">
        <v>6.0099061476386773</v>
      </c>
      <c r="F273" s="105">
        <v>123.43899999999999</v>
      </c>
      <c r="G273" s="105">
        <v>0.27049859470700266</v>
      </c>
      <c r="H273" s="105">
        <v>6.1776925260414339</v>
      </c>
      <c r="I273" s="105">
        <v>115.661</v>
      </c>
      <c r="J273" s="105">
        <v>0.32788876070193318</v>
      </c>
      <c r="K273" s="105">
        <v>5.7771802750951284</v>
      </c>
    </row>
    <row r="274" spans="1:11">
      <c r="B274" s="97" t="s">
        <v>12</v>
      </c>
      <c r="C274" s="105">
        <v>120.405</v>
      </c>
      <c r="D274" s="105">
        <v>0.2790039143832912</v>
      </c>
      <c r="E274" s="105">
        <v>6.3056779354246251</v>
      </c>
      <c r="F274" s="105">
        <v>123.68</v>
      </c>
      <c r="G274" s="105">
        <v>0.19523813381510102</v>
      </c>
      <c r="H274" s="105">
        <v>6.3849918714572018</v>
      </c>
      <c r="I274" s="105">
        <v>116.117</v>
      </c>
      <c r="J274" s="105">
        <v>0.39425562635633238</v>
      </c>
      <c r="K274" s="105">
        <v>6.1942127597307772</v>
      </c>
    </row>
    <row r="275" spans="1:11">
      <c r="B275" s="97" t="s">
        <v>13</v>
      </c>
      <c r="C275" s="105">
        <v>120.96599999999999</v>
      </c>
      <c r="D275" s="105">
        <v>0.46592749470535377</v>
      </c>
      <c r="E275" s="105">
        <v>6.8009853173587098</v>
      </c>
      <c r="F275" s="105">
        <v>124.333</v>
      </c>
      <c r="G275" s="105">
        <v>0.52797542043983015</v>
      </c>
      <c r="H275" s="105">
        <v>6.9466784795754188</v>
      </c>
      <c r="I275" s="105">
        <v>116.559</v>
      </c>
      <c r="J275" s="105">
        <v>0.38065055073761567</v>
      </c>
      <c r="K275" s="105">
        <v>6.5984416154521552</v>
      </c>
    </row>
    <row r="276" spans="1:11">
      <c r="B276" s="97" t="s">
        <v>14</v>
      </c>
      <c r="C276" s="105">
        <v>122.128</v>
      </c>
      <c r="D276" s="105">
        <v>0.96060049931385727</v>
      </c>
      <c r="E276" s="105">
        <v>7.8269161155893663</v>
      </c>
      <c r="F276" s="105">
        <v>125.76300000000001</v>
      </c>
      <c r="G276" s="105">
        <v>1.1501371317349518</v>
      </c>
      <c r="H276" s="105">
        <v>8.1767119399261965</v>
      </c>
      <c r="I276" s="105">
        <v>117.37</v>
      </c>
      <c r="J276" s="105">
        <v>0.69578496726980799</v>
      </c>
      <c r="K276" s="105">
        <v>7.3401375475563357</v>
      </c>
    </row>
    <row r="277" spans="1:11">
      <c r="C277" s="105"/>
      <c r="D277" s="105"/>
      <c r="E277" s="105"/>
      <c r="F277" s="105"/>
      <c r="G277" s="105"/>
      <c r="H277" s="105"/>
      <c r="I277" s="105"/>
      <c r="J277" s="105"/>
      <c r="K277" s="105"/>
    </row>
    <row r="278" spans="1:11">
      <c r="A278" s="111">
        <v>2023</v>
      </c>
      <c r="B278" s="97" t="s">
        <v>3</v>
      </c>
      <c r="C278" s="105">
        <v>122.90300000000001</v>
      </c>
      <c r="D278" s="105">
        <v>0.6345801126686812</v>
      </c>
      <c r="E278" s="105">
        <v>0.6345801126686812</v>
      </c>
      <c r="F278" s="105">
        <v>126.913</v>
      </c>
      <c r="G278" s="105">
        <v>0.91441839014654303</v>
      </c>
      <c r="H278" s="105">
        <v>0.91441839014654303</v>
      </c>
      <c r="I278" s="105">
        <v>117.654</v>
      </c>
      <c r="J278" s="105">
        <v>0.24196983897077917</v>
      </c>
      <c r="K278" s="105">
        <v>0.24196983897077917</v>
      </c>
    </row>
    <row r="279" spans="1:11">
      <c r="B279" s="97" t="s">
        <v>4</v>
      </c>
      <c r="C279" s="105">
        <v>123.035</v>
      </c>
      <c r="D279" s="105">
        <v>0.10740177212922308</v>
      </c>
      <c r="E279" s="105">
        <v>0.74266343508448962</v>
      </c>
      <c r="F279" s="105">
        <v>126.76300000000001</v>
      </c>
      <c r="G279" s="105">
        <v>-0.11819120184692888</v>
      </c>
      <c r="H279" s="105">
        <v>0.79514642621438814</v>
      </c>
      <c r="I279" s="105">
        <v>118.155</v>
      </c>
      <c r="J279" s="105">
        <v>0.42582487633229249</v>
      </c>
      <c r="K279" s="105">
        <v>0.66882508307062327</v>
      </c>
    </row>
    <row r="280" spans="1:11">
      <c r="B280" s="97" t="s">
        <v>5</v>
      </c>
      <c r="C280" s="105">
        <v>123.29949999999999</v>
      </c>
      <c r="D280" s="105">
        <f>(C280/C279-1)*100</f>
        <v>0.21497947738449152</v>
      </c>
      <c r="E280" s="105">
        <f>(C280/C276-1)*100</f>
        <v>0.9592394864404552</v>
      </c>
      <c r="F280" s="105">
        <v>127.03400000000001</v>
      </c>
      <c r="G280" s="105">
        <v>0.21378477947036068</v>
      </c>
      <c r="H280" s="105">
        <v>1.0106311077184849</v>
      </c>
      <c r="I280" s="105">
        <v>118.41200000000001</v>
      </c>
      <c r="J280" s="105">
        <v>0.21751089670347667</v>
      </c>
      <c r="K280" s="105">
        <v>0.88779074720968243</v>
      </c>
    </row>
    <row r="281" spans="1:11">
      <c r="B281" s="97" t="s">
        <v>6</v>
      </c>
      <c r="C281" s="105">
        <v>123.6</v>
      </c>
      <c r="D281" s="105">
        <f>(C281/C280-1)*100</f>
        <v>0.24371550574009415</v>
      </c>
      <c r="E281" s="105">
        <v>1.2052928075461766</v>
      </c>
      <c r="F281" s="105">
        <v>127.30800000000001</v>
      </c>
      <c r="G281" s="105">
        <v>0.21569028763952502</v>
      </c>
      <c r="H281" s="105">
        <v>1.228501228501222</v>
      </c>
      <c r="I281" s="105">
        <v>118.746</v>
      </c>
      <c r="J281" s="105">
        <v>0.28206600682363359</v>
      </c>
      <c r="K281" s="105">
        <v>1.1723609099429044</v>
      </c>
    </row>
    <row r="282" spans="1:11">
      <c r="B282" s="97" t="s">
        <v>7</v>
      </c>
      <c r="C282" s="105">
        <v>123.35599999999999</v>
      </c>
      <c r="D282" s="105">
        <v>-0.1974110032362475</v>
      </c>
      <c r="E282" s="105">
        <v>1.0055024236866217</v>
      </c>
      <c r="F282" s="105">
        <v>126.622</v>
      </c>
      <c r="G282" s="105">
        <v>-0.53885066138813498</v>
      </c>
      <c r="H282" s="105">
        <v>0.68303078011815455</v>
      </c>
      <c r="I282" s="105">
        <v>119.081</v>
      </c>
      <c r="J282" s="105">
        <v>0.28211476597106433</v>
      </c>
      <c r="K282" s="105">
        <v>1.457783079151409</v>
      </c>
    </row>
    <row r="283" spans="1:11">
      <c r="B283" s="97" t="s">
        <v>8</v>
      </c>
      <c r="C283" s="105">
        <v>123.627</v>
      </c>
      <c r="D283" s="105">
        <v>0.2196893543889189</v>
      </c>
      <c r="E283" s="105">
        <v>1.2274007598584991</v>
      </c>
      <c r="F283" s="105">
        <v>126.779</v>
      </c>
      <c r="G283" s="105">
        <v>0.12399109159546562</v>
      </c>
      <c r="H283" s="105">
        <v>0.80786876903380378</v>
      </c>
      <c r="I283" s="105">
        <v>119.502</v>
      </c>
      <c r="J283" s="105">
        <v>0.35354086714085575</v>
      </c>
      <c r="K283" s="105">
        <v>1.8164778052313091</v>
      </c>
    </row>
    <row r="284" spans="1:11">
      <c r="B284" s="97" t="s">
        <v>9</v>
      </c>
      <c r="C284" s="105">
        <v>124.1884</v>
      </c>
      <c r="D284" s="105">
        <v>0.45410792140876399</v>
      </c>
      <c r="E284" s="105">
        <v>1.6870824053452083</v>
      </c>
      <c r="F284" s="105">
        <v>127.41459999999999</v>
      </c>
      <c r="G284" s="105">
        <v>0.50134485995314559</v>
      </c>
      <c r="H284" s="105">
        <v>1.313263837535672</v>
      </c>
      <c r="I284" s="105">
        <v>119.96550000000001</v>
      </c>
      <c r="J284" s="105">
        <v>0.38785961741227837</v>
      </c>
      <c r="K284" s="105">
        <v>2.2113828065093211</v>
      </c>
    </row>
    <row r="285" spans="1:11">
      <c r="B285" s="97" t="s">
        <v>10</v>
      </c>
      <c r="C285" s="105">
        <v>124.8282</v>
      </c>
      <c r="D285" s="105">
        <v>0.51518499312335209</v>
      </c>
      <c r="E285" s="105">
        <v>2.2109589938425156</v>
      </c>
      <c r="F285" s="105">
        <v>128.33779999999999</v>
      </c>
      <c r="G285" s="105">
        <v>0.72456374701173054</v>
      </c>
      <c r="H285" s="105">
        <v>2.0473430182167851</v>
      </c>
      <c r="I285" s="105">
        <v>120.2343</v>
      </c>
      <c r="J285" s="105">
        <v>0.22406441852032</v>
      </c>
      <c r="K285" s="105">
        <v>2.4404021470563197</v>
      </c>
    </row>
    <row r="286" spans="1:11">
      <c r="B286" s="97" t="s">
        <v>11</v>
      </c>
      <c r="C286" s="105">
        <v>125.36539999999999</v>
      </c>
      <c r="D286" s="105">
        <v>0.43035147506733651</v>
      </c>
      <c r="E286" s="105">
        <v>2.6508253635529888</v>
      </c>
      <c r="F286" s="105">
        <v>129.0617</v>
      </c>
      <c r="G286" s="105">
        <v>0.56405828991927809</v>
      </c>
      <c r="H286" s="105">
        <v>2.6229495161534055</v>
      </c>
      <c r="I286" s="105">
        <v>120.5271</v>
      </c>
      <c r="J286" s="105">
        <v>0.24352451837785782</v>
      </c>
      <c r="K286" s="105">
        <v>2.6898696430092794</v>
      </c>
    </row>
    <row r="287" spans="1:11">
      <c r="B287" s="97" t="s">
        <v>12</v>
      </c>
      <c r="C287" s="105">
        <v>125.63760000000001</v>
      </c>
      <c r="D287" s="105">
        <v>0.21712529932502722</v>
      </c>
      <c r="E287" s="105">
        <v>2.8737062753832143</v>
      </c>
      <c r="F287" s="105">
        <v>129.19470000000001</v>
      </c>
      <c r="G287" s="105">
        <v>0.10305148622713478</v>
      </c>
      <c r="H287" s="105">
        <v>2.7287039908399091</v>
      </c>
      <c r="I287" s="105">
        <v>120.9816</v>
      </c>
      <c r="J287" s="105">
        <v>0.37709361629043592</v>
      </c>
      <c r="K287" s="105">
        <v>3.0771065860100588</v>
      </c>
    </row>
    <row r="288" spans="1:11">
      <c r="B288" s="97" t="s">
        <v>13</v>
      </c>
      <c r="C288" s="105">
        <v>125.8094</v>
      </c>
      <c r="D288" s="105">
        <v>0.13674250383641784</v>
      </c>
      <c r="E288" s="105">
        <v>3.0143783571334959</v>
      </c>
      <c r="F288" s="105">
        <v>129.08439999999999</v>
      </c>
      <c r="G288" s="105">
        <v>-8.5375019253908224E-2</v>
      </c>
      <c r="H288" s="105">
        <v>2.6409993400284604</v>
      </c>
      <c r="I288" s="105">
        <v>121.5226</v>
      </c>
      <c r="J288" s="105">
        <v>0.4471754382484594</v>
      </c>
      <c r="K288" s="105">
        <v>3.5380420891198749</v>
      </c>
    </row>
    <row r="289" spans="1:11">
      <c r="B289" s="97" t="s">
        <v>14</v>
      </c>
      <c r="C289" s="105">
        <v>126.4866</v>
      </c>
      <c r="D289" s="105">
        <v>0.53827456453969802</v>
      </c>
      <c r="E289" s="105">
        <v>3.5688785536486245</v>
      </c>
      <c r="F289" s="105">
        <v>129.76070000000001</v>
      </c>
      <c r="G289" s="105">
        <v>0.52392078361136463</v>
      </c>
      <c r="H289" s="105">
        <v>3.1787568680772704</v>
      </c>
      <c r="I289" s="105">
        <v>122.20099999999999</v>
      </c>
      <c r="J289" s="105">
        <v>0.55825007035728014</v>
      </c>
      <c r="K289" s="105">
        <v>4.1160432819289383</v>
      </c>
    </row>
    <row r="290" spans="1:11">
      <c r="C290" s="105"/>
      <c r="D290" s="105"/>
      <c r="E290" s="105"/>
      <c r="F290" s="105"/>
      <c r="G290" s="105"/>
      <c r="H290" s="105"/>
      <c r="I290" s="105"/>
      <c r="J290" s="105"/>
      <c r="K290" s="105"/>
    </row>
    <row r="291" spans="1:11">
      <c r="A291" s="111">
        <v>2024</v>
      </c>
      <c r="B291" s="97" t="s">
        <v>3</v>
      </c>
      <c r="C291" s="105">
        <v>126.9796</v>
      </c>
      <c r="D291" s="105">
        <v>0.38976460747621733</v>
      </c>
      <c r="E291" s="105">
        <v>0.38976460747621733</v>
      </c>
      <c r="F291" s="105">
        <v>130.37010000000001</v>
      </c>
      <c r="G291" s="105">
        <v>0.46963371806718612</v>
      </c>
      <c r="H291" s="105">
        <v>0.46963371806718612</v>
      </c>
      <c r="I291" s="105">
        <v>122.5416</v>
      </c>
      <c r="J291" s="105">
        <v>0.27872112339506483</v>
      </c>
      <c r="K291" s="105">
        <v>0.27872112339506483</v>
      </c>
    </row>
    <row r="292" spans="1:11">
      <c r="B292" s="97" t="s">
        <v>4</v>
      </c>
      <c r="C292" s="105">
        <v>127.0946</v>
      </c>
      <c r="D292" s="105">
        <v>9.0565728668212664E-2</v>
      </c>
      <c r="E292" s="105">
        <v>0.48068332930129021</v>
      </c>
      <c r="F292" s="105">
        <v>130.25640000000001</v>
      </c>
      <c r="G292" s="105">
        <v>-8.7213249050199781E-2</v>
      </c>
      <c r="H292" s="105">
        <v>0.38201088619280732</v>
      </c>
      <c r="I292" s="105">
        <v>122.9559</v>
      </c>
      <c r="J292" s="105">
        <v>0.33808926927672012</v>
      </c>
      <c r="K292" s="105">
        <v>0.61775271888120376</v>
      </c>
    </row>
    <row r="293" spans="1:11">
      <c r="B293" s="97" t="s">
        <v>5</v>
      </c>
      <c r="C293" s="105">
        <v>127.47280000000001</v>
      </c>
      <c r="D293" s="105">
        <v>0.29757361839135577</v>
      </c>
      <c r="E293" s="105">
        <v>0.77968733446864835</v>
      </c>
      <c r="F293" s="105">
        <v>130.47620000000001</v>
      </c>
      <c r="G293" s="105">
        <v>0.16874410777512061</v>
      </c>
      <c r="H293" s="105">
        <v>0.55139961482943978</v>
      </c>
      <c r="I293" s="105">
        <v>123.5415</v>
      </c>
      <c r="J293" s="105">
        <v>0.47626832059299851</v>
      </c>
      <c r="K293" s="105">
        <v>1.0969631999738105</v>
      </c>
    </row>
    <row r="294" spans="1:11">
      <c r="B294" s="97" t="s">
        <v>6</v>
      </c>
      <c r="C294" s="105">
        <v>127.34780000000001</v>
      </c>
      <c r="D294" s="105">
        <v>-9.8060135181776698E-2</v>
      </c>
      <c r="E294" s="105">
        <v>0.68086263683269088</v>
      </c>
      <c r="F294" s="105">
        <v>130.13140000000001</v>
      </c>
      <c r="G294" s="105">
        <v>-0.26426275443336422</v>
      </c>
      <c r="H294" s="105">
        <v>0.28567971658599589</v>
      </c>
      <c r="I294" s="105">
        <v>123.7043</v>
      </c>
      <c r="J294" s="105">
        <v>0.13177758081293067</v>
      </c>
      <c r="K294" s="105">
        <v>1.2301863323540774</v>
      </c>
    </row>
    <row r="295" spans="1:11">
      <c r="B295" s="97" t="s">
        <v>7</v>
      </c>
      <c r="C295" s="105">
        <v>127.2987</v>
      </c>
      <c r="D295" s="105">
        <v>-3.8555828997444141E-2</v>
      </c>
      <c r="E295" s="105">
        <v>0.64204429560126286</v>
      </c>
      <c r="F295" s="105">
        <v>129.7473</v>
      </c>
      <c r="G295" s="105">
        <v>-0.2951631965843915</v>
      </c>
      <c r="H295" s="105">
        <v>-1.0326701381868642E-2</v>
      </c>
      <c r="I295" s="105">
        <v>124.09350000000001</v>
      </c>
      <c r="J295" s="105">
        <v>0.31462123790362284</v>
      </c>
      <c r="K295" s="105">
        <v>1.5486779977250675</v>
      </c>
    </row>
    <row r="296" spans="1:11">
      <c r="B296" s="97" t="s">
        <v>8</v>
      </c>
      <c r="C296" s="105">
        <v>127.9079</v>
      </c>
      <c r="D296" s="105">
        <v>0.47855948253987535</v>
      </c>
      <c r="E296" s="105">
        <v>1.1236763419998574</v>
      </c>
      <c r="F296" s="105">
        <v>130.3501</v>
      </c>
      <c r="G296" s="105">
        <v>0.46459540969252533</v>
      </c>
      <c r="H296" s="105">
        <v>0.4542207309300661</v>
      </c>
      <c r="I296" s="105">
        <v>124.71120000000001</v>
      </c>
      <c r="J296" s="105">
        <v>0.49776982678384485</v>
      </c>
      <c r="K296" s="105">
        <v>2.0541566762956265</v>
      </c>
    </row>
    <row r="297" spans="1:11">
      <c r="B297" s="97" t="s">
        <v>9</v>
      </c>
      <c r="C297" s="105">
        <v>128.5831</v>
      </c>
      <c r="D297" s="105">
        <v>0.52787982603108574</v>
      </c>
      <c r="E297" s="105">
        <v>1.657487828750237</v>
      </c>
      <c r="F297" s="105">
        <v>131.21899999999999</v>
      </c>
      <c r="G297" s="105">
        <v>0.6665894387499538</v>
      </c>
      <c r="H297" s="105">
        <v>1.123837957101026</v>
      </c>
      <c r="I297" s="105">
        <v>125.13290000000001</v>
      </c>
      <c r="J297" s="105">
        <v>0.3381412415244256</v>
      </c>
      <c r="K297" s="105">
        <v>2.3992438687081119</v>
      </c>
    </row>
    <row r="298" spans="1:11">
      <c r="B298" s="97" t="s">
        <v>10</v>
      </c>
      <c r="C298" s="105">
        <v>129.10210000000001</v>
      </c>
      <c r="D298" s="105">
        <v>0.40363002602985532</v>
      </c>
      <c r="E298" s="105">
        <v>2.0678079733347232</v>
      </c>
      <c r="F298" s="105">
        <v>131.56890000000001</v>
      </c>
      <c r="G298" s="105">
        <v>0.26665345719751876</v>
      </c>
      <c r="H298" s="105">
        <v>1.3934881670644605</v>
      </c>
      <c r="I298" s="105">
        <v>125.8732</v>
      </c>
      <c r="J298" s="105">
        <v>0.59161099918565441</v>
      </c>
      <c r="K298" s="105">
        <v>3.0050490585183498</v>
      </c>
    </row>
    <row r="299" spans="1:11">
      <c r="B299" s="97" t="s">
        <v>11</v>
      </c>
      <c r="C299" s="105">
        <v>129.4854</v>
      </c>
      <c r="D299" s="105">
        <v>0.29689679718609696</v>
      </c>
      <c r="E299" s="105">
        <v>2.3708440261656305</v>
      </c>
      <c r="F299" s="105">
        <v>131.9255</v>
      </c>
      <c r="G299" s="105">
        <v>0.2710366963621258</v>
      </c>
      <c r="H299" s="105">
        <v>1.6683017277187906</v>
      </c>
      <c r="I299" s="105">
        <v>126.2915</v>
      </c>
      <c r="J299" s="105">
        <v>0.33231855549871181</v>
      </c>
      <c r="K299" s="105">
        <v>3.3473539496403415</v>
      </c>
    </row>
    <row r="300" spans="1:11">
      <c r="B300" s="97" t="s">
        <v>12</v>
      </c>
      <c r="C300" s="105">
        <v>129.60560000000001</v>
      </c>
      <c r="D300" s="105">
        <v>9.2828998481686575E-2</v>
      </c>
      <c r="E300" s="105">
        <v>2.4658738554123705</v>
      </c>
      <c r="F300" s="105">
        <v>131.881</v>
      </c>
      <c r="G300" s="105">
        <v>-3.3731158873762102E-2</v>
      </c>
      <c r="H300" s="105">
        <v>1.6340078313387574</v>
      </c>
      <c r="I300" s="105">
        <v>126.6272</v>
      </c>
      <c r="J300" s="105">
        <v>0.26581361374280466</v>
      </c>
      <c r="K300" s="105">
        <v>3.6220652858814706</v>
      </c>
    </row>
    <row r="301" spans="1:11">
      <c r="B301" s="97" t="s">
        <v>13</v>
      </c>
      <c r="C301" s="105">
        <v>129.8098</v>
      </c>
      <c r="D301" s="105">
        <v>0.15755492046638508</v>
      </c>
      <c r="E301" s="105">
        <v>2.6273138814704389</v>
      </c>
      <c r="F301" s="105">
        <v>131.833</v>
      </c>
      <c r="G301" s="105">
        <v>-3.6396448313258389E-2</v>
      </c>
      <c r="H301" s="105">
        <v>1.597016662209727</v>
      </c>
      <c r="I301" s="105">
        <v>127.16160000000001</v>
      </c>
      <c r="J301" s="105">
        <v>0.42202623133102968</v>
      </c>
      <c r="K301" s="105">
        <v>4.0593775828348555</v>
      </c>
    </row>
    <row r="302" spans="1:11">
      <c r="B302" s="97" t="s">
        <v>14</v>
      </c>
      <c r="C302" s="105">
        <v>130.72200000000001</v>
      </c>
      <c r="D302" s="105">
        <v>0.70272044175401227</v>
      </c>
      <c r="E302" s="105">
        <v>3.348496994938599</v>
      </c>
      <c r="F302" s="105">
        <v>132.994</v>
      </c>
      <c r="G302" s="105">
        <v>0.88065962240106987</v>
      </c>
      <c r="H302" s="105">
        <v>2.4917405655179081</v>
      </c>
      <c r="I302" s="105">
        <v>127.748</v>
      </c>
      <c r="J302" s="105">
        <v>0.46114550304494628</v>
      </c>
      <c r="K302" s="105">
        <v>4.5392427230546595</v>
      </c>
    </row>
    <row r="303" spans="1:11">
      <c r="C303" s="105"/>
      <c r="D303" s="105"/>
      <c r="E303" s="105"/>
      <c r="F303" s="105"/>
      <c r="G303" s="105"/>
      <c r="H303" s="105"/>
      <c r="I303" s="105"/>
      <c r="J303" s="105"/>
      <c r="K303" s="105"/>
    </row>
    <row r="304" spans="1:11">
      <c r="A304" s="111">
        <v>2025</v>
      </c>
      <c r="B304" s="97" t="s">
        <v>3</v>
      </c>
      <c r="C304" s="105">
        <v>131.2004</v>
      </c>
      <c r="D304" s="105">
        <v>0.36596747295787324</v>
      </c>
      <c r="E304" s="105">
        <v>0.36596747295787324</v>
      </c>
      <c r="F304" s="105">
        <v>133.6454</v>
      </c>
      <c r="G304" s="105">
        <v>0.48979653217438024</v>
      </c>
      <c r="H304" s="105">
        <v>0.48979653217438024</v>
      </c>
      <c r="I304" s="105">
        <v>128</v>
      </c>
      <c r="J304" s="105">
        <v>0.19726336224441532</v>
      </c>
      <c r="K304" s="105">
        <v>0.19726336224441532</v>
      </c>
    </row>
    <row r="305" spans="1:22">
      <c r="B305" s="97" t="s">
        <v>4</v>
      </c>
      <c r="C305" s="105">
        <v>131.62440000000001</v>
      </c>
      <c r="D305" s="105">
        <v>0.32316974643371577</v>
      </c>
      <c r="E305" s="105">
        <v>0.69031991554597827</v>
      </c>
      <c r="F305" s="105">
        <v>134.0513</v>
      </c>
      <c r="G305" s="105">
        <v>0.30371415701551108</v>
      </c>
      <c r="H305" s="105">
        <v>0.79499827059867911</v>
      </c>
      <c r="I305" s="105">
        <v>128.4478</v>
      </c>
      <c r="J305" s="105">
        <v>0.34984375000000068</v>
      </c>
      <c r="K305" s="105">
        <v>0.54779722578826018</v>
      </c>
    </row>
    <row r="306" spans="1:22">
      <c r="B306" s="97" t="s">
        <v>5</v>
      </c>
      <c r="C306" s="105">
        <v>132.03729999999999</v>
      </c>
      <c r="D306" s="105">
        <v>0.31369563697913883</v>
      </c>
      <c r="E306" s="105">
        <v>1.0061810559813811</v>
      </c>
      <c r="F306" s="105">
        <v>134.2184</v>
      </c>
      <c r="G306" s="105">
        <v>0.12465377060872918</v>
      </c>
      <c r="H306" s="105">
        <v>0.92064303652796831</v>
      </c>
      <c r="I306" s="105">
        <v>129.1823</v>
      </c>
      <c r="J306" s="105">
        <v>0.57182762180434388</v>
      </c>
      <c r="K306" s="105">
        <v>1.1227573034411353</v>
      </c>
    </row>
    <row r="307" spans="1:22">
      <c r="B307" s="97" t="s">
        <v>6</v>
      </c>
      <c r="C307" s="105">
        <v>132.07040000000001</v>
      </c>
      <c r="D307" s="105">
        <v>2.506867377629618E-2</v>
      </c>
      <c r="E307" s="105">
        <v>1.0315019660041891</v>
      </c>
      <c r="F307" s="105">
        <v>134.02430000000001</v>
      </c>
      <c r="G307" s="105">
        <v>-0.14461504532909952</v>
      </c>
      <c r="H307" s="105">
        <v>0.77469660285427455</v>
      </c>
      <c r="I307" s="105">
        <v>129.51300000000001</v>
      </c>
      <c r="J307" s="105">
        <v>0.25599482282014918</v>
      </c>
      <c r="K307" s="105">
        <v>1.3816263268309426</v>
      </c>
    </row>
    <row r="308" spans="1:22">
      <c r="B308" s="97" t="s">
        <v>7</v>
      </c>
      <c r="C308" s="105">
        <v>132.1823</v>
      </c>
      <c r="D308" s="105">
        <v>8.4727539251794326E-2</v>
      </c>
      <c r="E308" s="105">
        <v>1.1171034714891004</v>
      </c>
      <c r="F308" s="105">
        <v>133.92169999999999</v>
      </c>
      <c r="G308" s="105">
        <v>-7.6553281755642466E-2</v>
      </c>
      <c r="H308" s="105">
        <v>0.69755026542550613</v>
      </c>
      <c r="I308" s="105">
        <v>129.90549999999999</v>
      </c>
      <c r="J308" s="105">
        <v>0.3030583802398068</v>
      </c>
      <c r="K308" s="105">
        <v>1.6888718414378223</v>
      </c>
    </row>
    <row r="309" spans="1:22">
      <c r="B309" s="97" t="s">
        <v>8</v>
      </c>
      <c r="C309" s="105">
        <v>132.45519999999999</v>
      </c>
      <c r="D309" s="105">
        <v>0.20645729420656345</v>
      </c>
      <c r="E309" s="105">
        <v>1.3258671072963857</v>
      </c>
      <c r="F309" s="105">
        <v>134.07509999999999</v>
      </c>
      <c r="G309" s="105">
        <v>0.1145445435653869</v>
      </c>
      <c r="H309" s="105">
        <v>0.81289381475855294</v>
      </c>
      <c r="I309" s="105">
        <v>130.3348</v>
      </c>
      <c r="J309" s="105">
        <v>0.33047099622418585</v>
      </c>
      <c r="K309" s="105">
        <v>2.0249240692613579</v>
      </c>
    </row>
    <row r="310" spans="1:22">
      <c r="B310" s="97" t="s">
        <v>9</v>
      </c>
      <c r="C310" s="105">
        <v>132.95480000000001</v>
      </c>
      <c r="D310" s="105">
        <v>0.37718413471121703</v>
      </c>
      <c r="E310" s="105">
        <v>1.7080522023836808</v>
      </c>
      <c r="F310" s="105">
        <v>134.6644</v>
      </c>
      <c r="G310" s="105">
        <v>0.43952978591850211</v>
      </c>
      <c r="H310" s="105">
        <v>1.2559965111208049</v>
      </c>
      <c r="I310" s="105">
        <v>130.71700000000001</v>
      </c>
      <c r="J310" s="105">
        <v>0.29324478190015935</v>
      </c>
      <c r="K310" s="105">
        <v>2.3241068353320626</v>
      </c>
    </row>
    <row r="311" spans="1:22">
      <c r="B311" s="97" t="s">
        <v>10</v>
      </c>
      <c r="C311" s="105">
        <v>133.8965</v>
      </c>
      <c r="D311" s="105">
        <v>0.70828582345277002</v>
      </c>
      <c r="E311" s="105">
        <v>2.428435917443128</v>
      </c>
      <c r="F311" s="105">
        <v>135.75970000000001</v>
      </c>
      <c r="G311" s="105">
        <v>0.81335527429671206</v>
      </c>
      <c r="H311" s="105">
        <v>2.0795674992856839</v>
      </c>
      <c r="I311" s="105">
        <v>131.45769999999999</v>
      </c>
      <c r="J311" s="105">
        <v>0.56664397132735189</v>
      </c>
      <c r="K311" s="105">
        <v>2.9039202179290458</v>
      </c>
    </row>
    <row r="312" spans="1:22">
      <c r="B312" s="97" t="s">
        <v>11</v>
      </c>
      <c r="C312" s="105">
        <v>134.34829999999999</v>
      </c>
      <c r="D312" s="105">
        <v>0.33742480199256963</v>
      </c>
      <c r="E312" s="105">
        <v>2.7740548645216467</v>
      </c>
      <c r="F312" s="105">
        <v>136.30029999999999</v>
      </c>
      <c r="G312" s="105">
        <v>0.39820359060898092</v>
      </c>
      <c r="H312" s="105">
        <v>2.4860520023459731</v>
      </c>
      <c r="I312" s="105">
        <v>131.79320000000001</v>
      </c>
      <c r="J312" s="105">
        <v>0.25521517568010132</v>
      </c>
      <c r="K312" s="105">
        <v>3.1665466386949337</v>
      </c>
    </row>
    <row r="313" spans="1:22">
      <c r="B313" s="97" t="s">
        <v>12</v>
      </c>
      <c r="C313" s="105">
        <v>135.0898</v>
      </c>
      <c r="D313" s="105">
        <v>0.5519236194280186</v>
      </c>
      <c r="E313" s="105">
        <v>3.3412891479628337</v>
      </c>
      <c r="F313" s="105">
        <v>137.245</v>
      </c>
      <c r="G313" s="105">
        <v>0.69310192273972504</v>
      </c>
      <c r="H313" s="105">
        <v>3.1963847993142558</v>
      </c>
      <c r="I313" s="105">
        <v>132.2687</v>
      </c>
      <c r="J313" s="105">
        <v>0.36079251433305259</v>
      </c>
      <c r="K313" s="105">
        <v>3.5387638162632573</v>
      </c>
    </row>
    <row r="314" spans="1:22">
      <c r="B314" s="97" t="s">
        <v>13</v>
      </c>
      <c r="C314" s="105">
        <v>136.05510000000001</v>
      </c>
      <c r="D314" s="105">
        <v>0.71456172116621808</v>
      </c>
      <c r="E314" s="105">
        <v>4.0797264423738877</v>
      </c>
      <c r="F314" s="105">
        <v>138.50020000000001</v>
      </c>
      <c r="G314" s="105">
        <v>0.91456883675180567</v>
      </c>
      <c r="H314" s="105">
        <v>4.1401867753432464</v>
      </c>
      <c r="I314" s="105">
        <v>132.8546</v>
      </c>
      <c r="J314" s="105">
        <v>0.4429619403532481</v>
      </c>
      <c r="K314" s="105">
        <v>3.9974011334815485</v>
      </c>
    </row>
    <row r="315" spans="1:22">
      <c r="B315" s="97" t="s">
        <v>14</v>
      </c>
      <c r="C315" s="105">
        <v>137.19550000000001</v>
      </c>
      <c r="D315" s="105">
        <v>0.83818982162373601</v>
      </c>
      <c r="E315" s="105">
        <v>4.9521121157876991</v>
      </c>
      <c r="F315" s="105">
        <v>139.74639999999999</v>
      </c>
      <c r="G315" s="105">
        <v>0.89978209417747035</v>
      </c>
      <c r="H315" s="105">
        <v>5.0772215287907763</v>
      </c>
      <c r="I315" s="105">
        <v>133.85669999999999</v>
      </c>
      <c r="J315" s="105">
        <v>0.75428325402355778</v>
      </c>
      <c r="K315" s="105">
        <v>4.7818361148511013</v>
      </c>
    </row>
    <row r="316" spans="1:22" ht="3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</row>
    <row r="317" spans="1:22" ht="27.75" customHeight="1">
      <c r="A317" s="336" t="s">
        <v>355</v>
      </c>
      <c r="B317" s="336"/>
      <c r="C317" s="336"/>
      <c r="D317" s="336"/>
      <c r="E317" s="336"/>
      <c r="F317" s="336"/>
      <c r="G317" s="336"/>
      <c r="H317" s="336"/>
      <c r="I317" s="336"/>
      <c r="J317" s="336"/>
      <c r="K317" s="336"/>
      <c r="N317" s="251"/>
      <c r="O317" s="251"/>
      <c r="P317" s="251"/>
      <c r="Q317" s="251"/>
      <c r="R317" s="251"/>
      <c r="S317" s="251"/>
      <c r="T317" s="251"/>
      <c r="U317" s="251"/>
    </row>
    <row r="318" spans="1:22" ht="18.75" customHeight="1">
      <c r="A318" s="220" t="s">
        <v>308</v>
      </c>
      <c r="N318" s="251"/>
      <c r="O318" s="251"/>
      <c r="P318" s="251"/>
      <c r="Q318" s="251"/>
      <c r="R318" s="251"/>
      <c r="S318" s="251"/>
      <c r="T318" s="251"/>
      <c r="U318" s="251"/>
      <c r="V318" s="251"/>
    </row>
    <row r="319" spans="1:22">
      <c r="N319" s="251"/>
      <c r="O319" s="251"/>
      <c r="P319" s="251"/>
      <c r="Q319" s="251"/>
      <c r="R319" s="251"/>
      <c r="S319" s="251"/>
      <c r="T319" s="251"/>
      <c r="U319" s="251"/>
      <c r="V319" s="251"/>
    </row>
    <row r="320" spans="1:22">
      <c r="N320" s="251"/>
      <c r="O320" s="251"/>
      <c r="P320" s="251"/>
      <c r="Q320" s="251"/>
      <c r="R320" s="251"/>
      <c r="S320" s="251"/>
      <c r="T320" s="251"/>
      <c r="U320" s="251"/>
      <c r="V320" s="251"/>
    </row>
    <row r="321" spans="14:22">
      <c r="N321" s="251"/>
      <c r="O321" s="251"/>
      <c r="P321" s="251"/>
      <c r="Q321" s="251"/>
      <c r="R321" s="251"/>
      <c r="S321" s="251"/>
      <c r="T321" s="251"/>
      <c r="U321" s="251"/>
      <c r="V321" s="251"/>
    </row>
    <row r="322" spans="14:22">
      <c r="N322" s="251"/>
      <c r="O322" s="251"/>
      <c r="P322" s="251"/>
      <c r="Q322" s="251"/>
      <c r="R322" s="251"/>
      <c r="S322" s="251"/>
      <c r="T322" s="251"/>
      <c r="U322" s="251"/>
      <c r="V322" s="251"/>
    </row>
    <row r="323" spans="14:22">
      <c r="N323" s="251"/>
      <c r="O323" s="251"/>
      <c r="P323" s="251"/>
      <c r="Q323" s="251"/>
      <c r="R323" s="251"/>
      <c r="S323" s="251"/>
      <c r="T323" s="251"/>
      <c r="U323" s="251"/>
      <c r="V323" s="251"/>
    </row>
    <row r="324" spans="14:22">
      <c r="N324" s="251"/>
      <c r="O324" s="251"/>
      <c r="P324" s="251"/>
      <c r="Q324" s="251"/>
      <c r="R324" s="251"/>
      <c r="S324" s="251"/>
      <c r="T324" s="251"/>
      <c r="U324" s="251"/>
      <c r="V324" s="251"/>
    </row>
    <row r="325" spans="14:22">
      <c r="N325" s="251"/>
      <c r="O325" s="251"/>
      <c r="P325" s="251"/>
      <c r="Q325" s="251"/>
      <c r="R325" s="251"/>
      <c r="S325" s="251"/>
      <c r="T325" s="251"/>
      <c r="U325" s="251"/>
      <c r="V325" s="251"/>
    </row>
    <row r="326" spans="14:22">
      <c r="N326" s="251"/>
      <c r="O326" s="251"/>
      <c r="P326" s="251"/>
      <c r="Q326" s="251"/>
      <c r="R326" s="251"/>
      <c r="S326" s="251"/>
      <c r="T326" s="251"/>
      <c r="U326" s="251"/>
      <c r="V326" s="251"/>
    </row>
    <row r="327" spans="14:22">
      <c r="N327" s="251"/>
      <c r="O327" s="251"/>
      <c r="P327" s="251"/>
      <c r="Q327" s="251"/>
      <c r="R327" s="251"/>
      <c r="S327" s="251"/>
      <c r="T327" s="251"/>
      <c r="U327" s="251"/>
      <c r="V327" s="251"/>
    </row>
    <row r="328" spans="14:22">
      <c r="N328" s="251"/>
      <c r="O328" s="251"/>
      <c r="P328" s="251"/>
      <c r="Q328" s="251"/>
      <c r="R328" s="251"/>
      <c r="S328" s="251"/>
      <c r="T328" s="251"/>
      <c r="U328" s="251"/>
      <c r="V328" s="251"/>
    </row>
    <row r="329" spans="14:22">
      <c r="V329" s="251"/>
    </row>
    <row r="330" spans="14:22">
      <c r="N330" s="251"/>
      <c r="O330" s="251"/>
      <c r="P330" s="251"/>
      <c r="Q330" s="251"/>
      <c r="R330" s="251"/>
      <c r="S330" s="251"/>
      <c r="T330" s="251"/>
      <c r="U330" s="251"/>
    </row>
    <row r="331" spans="14:22">
      <c r="N331" s="251"/>
      <c r="O331" s="251"/>
      <c r="P331" s="251"/>
      <c r="Q331" s="251"/>
      <c r="R331" s="251"/>
      <c r="S331" s="251"/>
      <c r="T331" s="251"/>
      <c r="U331" s="251"/>
      <c r="V331" s="251"/>
    </row>
    <row r="332" spans="14:22">
      <c r="N332" s="251"/>
      <c r="O332" s="251"/>
      <c r="P332" s="251"/>
      <c r="Q332" s="251"/>
      <c r="R332" s="251"/>
      <c r="S332" s="251"/>
      <c r="T332" s="251"/>
      <c r="U332" s="251"/>
      <c r="V332" s="251"/>
    </row>
    <row r="333" spans="14:22">
      <c r="N333" s="251"/>
      <c r="O333" s="251"/>
      <c r="P333" s="251"/>
      <c r="Q333" s="251"/>
      <c r="R333" s="251"/>
      <c r="S333" s="251"/>
      <c r="T333" s="251"/>
      <c r="U333" s="251"/>
      <c r="V333" s="251"/>
    </row>
    <row r="334" spans="14:22">
      <c r="N334" s="251"/>
      <c r="O334" s="251"/>
      <c r="P334" s="251"/>
      <c r="Q334" s="251"/>
      <c r="R334" s="251"/>
      <c r="S334" s="251"/>
      <c r="T334" s="251"/>
      <c r="U334" s="251"/>
      <c r="V334" s="251"/>
    </row>
    <row r="335" spans="14:22">
      <c r="N335" s="251"/>
      <c r="O335" s="251"/>
      <c r="P335" s="251"/>
      <c r="Q335" s="251"/>
      <c r="R335" s="251"/>
      <c r="S335" s="251"/>
      <c r="T335" s="251"/>
      <c r="U335" s="251"/>
      <c r="V335" s="251"/>
    </row>
    <row r="336" spans="14:22">
      <c r="N336" s="251"/>
      <c r="O336" s="251"/>
      <c r="P336" s="251"/>
      <c r="Q336" s="251"/>
      <c r="R336" s="251"/>
      <c r="S336" s="251"/>
      <c r="T336" s="251"/>
      <c r="U336" s="251"/>
      <c r="V336" s="251"/>
    </row>
    <row r="337" spans="14:22">
      <c r="N337" s="251"/>
      <c r="O337" s="251"/>
      <c r="P337" s="251"/>
      <c r="Q337" s="251"/>
      <c r="R337" s="251"/>
      <c r="S337" s="251"/>
      <c r="T337" s="251"/>
      <c r="U337" s="251"/>
      <c r="V337" s="251"/>
    </row>
    <row r="338" spans="14:22">
      <c r="N338" s="251"/>
      <c r="O338" s="251"/>
      <c r="P338" s="251"/>
      <c r="Q338" s="251"/>
      <c r="R338" s="251"/>
      <c r="S338" s="251"/>
      <c r="T338" s="251"/>
      <c r="U338" s="251"/>
      <c r="V338" s="251"/>
    </row>
    <row r="339" spans="14:22">
      <c r="N339" s="251"/>
      <c r="O339" s="251"/>
      <c r="P339" s="251"/>
      <c r="Q339" s="251"/>
      <c r="R339" s="251"/>
      <c r="S339" s="251"/>
      <c r="T339" s="251"/>
      <c r="U339" s="251"/>
      <c r="V339" s="251"/>
    </row>
    <row r="340" spans="14:22">
      <c r="N340" s="251"/>
      <c r="O340" s="251"/>
      <c r="P340" s="251"/>
      <c r="Q340" s="251"/>
      <c r="R340" s="251"/>
      <c r="S340" s="251"/>
      <c r="T340" s="251"/>
      <c r="U340" s="251"/>
      <c r="V340" s="251"/>
    </row>
    <row r="341" spans="14:22">
      <c r="N341" s="251"/>
      <c r="O341" s="251"/>
      <c r="P341" s="251"/>
      <c r="Q341" s="251"/>
      <c r="R341" s="251"/>
      <c r="S341" s="251"/>
      <c r="T341" s="251"/>
      <c r="U341" s="251"/>
      <c r="V341" s="251"/>
    </row>
    <row r="342" spans="14:22">
      <c r="V342" s="251"/>
    </row>
    <row r="343" spans="14:22">
      <c r="N343" s="251"/>
      <c r="O343" s="251"/>
      <c r="P343" s="251"/>
      <c r="Q343" s="251"/>
      <c r="R343" s="251"/>
      <c r="S343" s="251"/>
      <c r="T343" s="251"/>
      <c r="U343" s="251"/>
    </row>
    <row r="344" spans="14:22">
      <c r="N344" s="251"/>
      <c r="O344" s="251"/>
      <c r="P344" s="251"/>
      <c r="Q344" s="251"/>
      <c r="R344" s="251"/>
      <c r="S344" s="251"/>
      <c r="T344" s="251"/>
      <c r="U344" s="251"/>
      <c r="V344" s="251"/>
    </row>
    <row r="345" spans="14:22">
      <c r="N345" s="251"/>
      <c r="O345" s="251"/>
      <c r="P345" s="251"/>
      <c r="Q345" s="251"/>
      <c r="R345" s="251"/>
      <c r="S345" s="251"/>
      <c r="T345" s="251"/>
      <c r="U345" s="251"/>
      <c r="V345" s="251"/>
    </row>
    <row r="346" spans="14:22">
      <c r="N346" s="251"/>
      <c r="O346" s="251"/>
      <c r="P346" s="251"/>
      <c r="Q346" s="251"/>
      <c r="R346" s="251"/>
      <c r="S346" s="251"/>
      <c r="T346" s="251"/>
      <c r="U346" s="251"/>
      <c r="V346" s="251"/>
    </row>
    <row r="347" spans="14:22">
      <c r="N347" s="251"/>
      <c r="O347" s="251"/>
      <c r="P347" s="251"/>
      <c r="Q347" s="251"/>
      <c r="R347" s="251"/>
      <c r="S347" s="251"/>
      <c r="T347" s="251"/>
      <c r="U347" s="251"/>
      <c r="V347" s="251"/>
    </row>
    <row r="348" spans="14:22">
      <c r="N348" s="251"/>
      <c r="O348" s="251"/>
      <c r="P348" s="251"/>
      <c r="Q348" s="251"/>
      <c r="R348" s="251"/>
      <c r="S348" s="251"/>
      <c r="T348" s="251"/>
      <c r="U348" s="251"/>
      <c r="V348" s="251"/>
    </row>
    <row r="349" spans="14:22">
      <c r="N349" s="251"/>
      <c r="O349" s="251"/>
      <c r="P349" s="251"/>
      <c r="Q349" s="251"/>
      <c r="R349" s="251"/>
      <c r="S349" s="251"/>
      <c r="T349" s="251"/>
      <c r="U349" s="251"/>
      <c r="V349" s="251"/>
    </row>
    <row r="350" spans="14:22">
      <c r="N350" s="251"/>
      <c r="O350" s="251"/>
      <c r="P350" s="251"/>
      <c r="Q350" s="251"/>
      <c r="R350" s="251"/>
      <c r="S350" s="251"/>
      <c r="T350" s="251"/>
      <c r="U350" s="251"/>
      <c r="V350" s="251"/>
    </row>
    <row r="351" spans="14:22">
      <c r="N351" s="251"/>
      <c r="O351" s="251"/>
      <c r="P351" s="251"/>
      <c r="Q351" s="251"/>
      <c r="R351" s="251"/>
      <c r="S351" s="251"/>
      <c r="T351" s="251"/>
      <c r="U351" s="251"/>
      <c r="V351" s="251"/>
    </row>
    <row r="352" spans="14:22">
      <c r="N352" s="251"/>
      <c r="O352" s="251"/>
      <c r="P352" s="251"/>
      <c r="Q352" s="251"/>
      <c r="R352" s="251"/>
      <c r="S352" s="251"/>
      <c r="T352" s="251"/>
      <c r="U352" s="251"/>
      <c r="V352" s="251"/>
    </row>
    <row r="353" spans="14:22">
      <c r="N353" s="251"/>
      <c r="O353" s="251"/>
      <c r="P353" s="251"/>
      <c r="Q353" s="251"/>
      <c r="R353" s="251"/>
      <c r="S353" s="251"/>
      <c r="T353" s="251"/>
      <c r="U353" s="251"/>
      <c r="V353" s="251"/>
    </row>
    <row r="354" spans="14:22">
      <c r="N354" s="251"/>
      <c r="O354" s="251"/>
      <c r="P354" s="251"/>
      <c r="Q354" s="251"/>
      <c r="R354" s="251"/>
      <c r="S354" s="251"/>
      <c r="T354" s="251"/>
      <c r="U354" s="251"/>
      <c r="V354" s="251"/>
    </row>
    <row r="355" spans="14:22">
      <c r="V355" s="251"/>
    </row>
  </sheetData>
  <mergeCells count="11">
    <mergeCell ref="A317:K317"/>
    <mergeCell ref="J5:K5"/>
    <mergeCell ref="A1:K1"/>
    <mergeCell ref="A2:K2"/>
    <mergeCell ref="A3:K3"/>
    <mergeCell ref="C5:C6"/>
    <mergeCell ref="D5:E5"/>
    <mergeCell ref="G5:H5"/>
    <mergeCell ref="A5:B6"/>
    <mergeCell ref="F5:F6"/>
    <mergeCell ref="I5:I6"/>
  </mergeCells>
  <printOptions horizontalCentered="1"/>
  <pageMargins left="0.31496062992126" right="0.31496062992126" top="0.94488188976377996" bottom="0.15748031496063" header="0.31496062992126" footer="0.15748031496063"/>
  <pageSetup scale="54" fitToHeight="3" orientation="portrait" r:id="rId1"/>
  <headerFooter alignWithMargins="0"/>
  <rowBreaks count="4" manualBreakCount="4">
    <brk id="68" max="16383" man="1"/>
    <brk id="133" max="16383" man="1"/>
    <brk id="198" max="16383" man="1"/>
    <brk id="289" max="1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376"/>
  <sheetViews>
    <sheetView showGridLines="0" view="pageBreakPreview" zoomScaleNormal="100" zoomScaleSheetLayoutView="100" workbookViewId="0">
      <pane ySplit="6" topLeftCell="A351" activePane="bottomLeft" state="frozen"/>
      <selection activeCell="B31" sqref="B31"/>
      <selection pane="bottomLeft" activeCell="H355" sqref="H355"/>
    </sheetView>
  </sheetViews>
  <sheetFormatPr defaultRowHeight="14.25"/>
  <cols>
    <col min="1" max="1" width="7" style="123" customWidth="1"/>
    <col min="2" max="2" width="13.42578125" style="64" customWidth="1"/>
    <col min="3" max="3" width="12.5703125" style="64" customWidth="1"/>
    <col min="4" max="4" width="10.28515625" style="64" customWidth="1"/>
    <col min="5" max="5" width="13" style="64" customWidth="1"/>
    <col min="6" max="6" width="13.85546875" style="64" bestFit="1" customWidth="1"/>
    <col min="7" max="7" width="13.7109375" style="64" customWidth="1"/>
    <col min="8" max="8" width="10.28515625" style="64" customWidth="1"/>
    <col min="9" max="10" width="13" style="64" customWidth="1"/>
    <col min="11" max="16384" width="9.140625" style="1"/>
  </cols>
  <sheetData>
    <row r="1" spans="1:10" ht="13.5" customHeight="1">
      <c r="A1" s="330" t="s">
        <v>164</v>
      </c>
      <c r="B1" s="330"/>
      <c r="C1" s="330"/>
      <c r="D1" s="330"/>
      <c r="E1" s="330"/>
      <c r="F1" s="330"/>
      <c r="G1" s="330"/>
      <c r="H1" s="330"/>
      <c r="I1" s="330"/>
      <c r="J1" s="330"/>
    </row>
    <row r="2" spans="1:10" ht="13.5" customHeight="1">
      <c r="A2" s="330" t="s">
        <v>364</v>
      </c>
      <c r="B2" s="330"/>
      <c r="C2" s="330"/>
      <c r="D2" s="330"/>
      <c r="E2" s="330"/>
      <c r="F2" s="330"/>
      <c r="G2" s="330"/>
      <c r="H2" s="330"/>
      <c r="I2" s="330"/>
      <c r="J2" s="330"/>
    </row>
    <row r="3" spans="1:10" ht="13.5" customHeight="1">
      <c r="A3" s="330" t="s">
        <v>281</v>
      </c>
      <c r="B3" s="330"/>
      <c r="C3" s="330"/>
      <c r="D3" s="330"/>
      <c r="E3" s="330"/>
      <c r="F3" s="330"/>
      <c r="G3" s="330"/>
      <c r="H3" s="330"/>
      <c r="I3" s="330"/>
      <c r="J3" s="330"/>
    </row>
    <row r="4" spans="1:10" ht="7.5" customHeight="1" thickBot="1">
      <c r="A4" s="231"/>
      <c r="B4" s="231"/>
      <c r="C4" s="231"/>
      <c r="D4" s="231"/>
      <c r="E4" s="231"/>
      <c r="F4" s="231"/>
      <c r="G4" s="231"/>
      <c r="H4" s="231"/>
      <c r="I4" s="231"/>
      <c r="J4" s="231"/>
    </row>
    <row r="5" spans="1:10" ht="17.25" customHeight="1" thickTop="1" thickBot="1">
      <c r="A5" s="345" t="s">
        <v>22</v>
      </c>
      <c r="B5" s="345"/>
      <c r="C5" s="113" t="s">
        <v>24</v>
      </c>
      <c r="D5" s="346" t="s">
        <v>282</v>
      </c>
      <c r="E5" s="346"/>
      <c r="F5" s="346"/>
      <c r="G5" s="113" t="s">
        <v>24</v>
      </c>
      <c r="H5" s="346" t="s">
        <v>300</v>
      </c>
      <c r="I5" s="346"/>
      <c r="J5" s="346"/>
    </row>
    <row r="6" spans="1:10" ht="17.25" customHeight="1" thickTop="1" thickBot="1">
      <c r="A6" s="345"/>
      <c r="B6" s="345"/>
      <c r="C6" s="114" t="s">
        <v>276</v>
      </c>
      <c r="D6" s="115" t="s">
        <v>26</v>
      </c>
      <c r="E6" s="116" t="s">
        <v>51</v>
      </c>
      <c r="F6" s="116" t="s">
        <v>271</v>
      </c>
      <c r="G6" s="114" t="s">
        <v>283</v>
      </c>
      <c r="H6" s="115" t="s">
        <v>26</v>
      </c>
      <c r="I6" s="115" t="s">
        <v>51</v>
      </c>
      <c r="J6" s="116" t="s">
        <v>271</v>
      </c>
    </row>
    <row r="7" spans="1:10" ht="12.75" customHeight="1" thickTop="1">
      <c r="A7" s="69" t="s">
        <v>28</v>
      </c>
      <c r="B7" s="117"/>
      <c r="C7" s="77">
        <v>24.083932611455452</v>
      </c>
      <c r="D7" s="77" t="s">
        <v>2</v>
      </c>
      <c r="E7" s="77">
        <v>9.0201892324093933</v>
      </c>
      <c r="F7" s="77" t="s">
        <v>2</v>
      </c>
      <c r="G7" s="77">
        <v>27.459916567749019</v>
      </c>
      <c r="H7" s="77" t="s">
        <v>2</v>
      </c>
      <c r="I7" s="77">
        <v>6.5731814198071836</v>
      </c>
      <c r="J7" s="77" t="s">
        <v>2</v>
      </c>
    </row>
    <row r="8" spans="1:10" ht="12.75" customHeight="1">
      <c r="A8" s="69" t="s">
        <v>29</v>
      </c>
      <c r="B8" s="117"/>
      <c r="C8" s="77">
        <v>25.141171879759746</v>
      </c>
      <c r="D8" s="77" t="s">
        <v>2</v>
      </c>
      <c r="E8" s="77">
        <v>4.3898116032820234</v>
      </c>
      <c r="F8" s="77" t="s">
        <v>2</v>
      </c>
      <c r="G8" s="77">
        <v>29.304126973203658</v>
      </c>
      <c r="H8" s="77" t="s">
        <v>2</v>
      </c>
      <c r="I8" s="77">
        <v>6.7160087719298378</v>
      </c>
      <c r="J8" s="77" t="s">
        <v>2</v>
      </c>
    </row>
    <row r="9" spans="1:10" ht="12.75" customHeight="1">
      <c r="A9" s="69" t="s">
        <v>30</v>
      </c>
      <c r="B9" s="117"/>
      <c r="C9" s="77">
        <v>27.783350072041294</v>
      </c>
      <c r="D9" s="77" t="s">
        <v>2</v>
      </c>
      <c r="E9" s="77">
        <v>10.50936768149886</v>
      </c>
      <c r="F9" s="77" t="s">
        <v>2</v>
      </c>
      <c r="G9" s="77">
        <v>31.390945139343206</v>
      </c>
      <c r="H9" s="77" t="s">
        <v>2</v>
      </c>
      <c r="I9" s="77">
        <v>7.1212432571281958</v>
      </c>
      <c r="J9" s="77" t="s">
        <v>2</v>
      </c>
    </row>
    <row r="10" spans="1:10" ht="12.75" customHeight="1">
      <c r="A10" s="69" t="s">
        <v>31</v>
      </c>
      <c r="B10" s="117"/>
      <c r="C10" s="77">
        <v>39.6331880721715</v>
      </c>
      <c r="D10" s="77" t="s">
        <v>2</v>
      </c>
      <c r="E10" s="77">
        <v>42.650860927152308</v>
      </c>
      <c r="F10" s="77" t="s">
        <v>2</v>
      </c>
      <c r="G10" s="77">
        <v>43.47067384285927</v>
      </c>
      <c r="H10" s="77" t="s">
        <v>2</v>
      </c>
      <c r="I10" s="77">
        <v>38.481570560856348</v>
      </c>
      <c r="J10" s="77" t="s">
        <v>2</v>
      </c>
    </row>
    <row r="11" spans="1:10" ht="12.75" customHeight="1">
      <c r="A11" s="69" t="s">
        <v>32</v>
      </c>
      <c r="B11" s="117"/>
      <c r="C11" s="77">
        <v>51.023478422368385</v>
      </c>
      <c r="D11" s="77" t="s">
        <v>2</v>
      </c>
      <c r="E11" s="77">
        <v>28.739273584187373</v>
      </c>
      <c r="F11" s="77" t="s">
        <v>2</v>
      </c>
      <c r="G11" s="77">
        <v>56.76103258518868</v>
      </c>
      <c r="H11" s="77" t="s">
        <v>2</v>
      </c>
      <c r="I11" s="77">
        <v>30.573160173160186</v>
      </c>
      <c r="J11" s="77" t="s">
        <v>2</v>
      </c>
    </row>
    <row r="12" spans="1:10" ht="12.75" customHeight="1">
      <c r="A12" s="69" t="s">
        <v>33</v>
      </c>
      <c r="B12" s="117"/>
      <c r="C12" s="77">
        <v>54.818205653400042</v>
      </c>
      <c r="D12" s="77" t="s">
        <v>2</v>
      </c>
      <c r="E12" s="77">
        <v>7.4372178227819052</v>
      </c>
      <c r="F12" s="77" t="s">
        <v>2</v>
      </c>
      <c r="G12" s="77">
        <v>58.939609628236354</v>
      </c>
      <c r="H12" s="77" t="s">
        <v>2</v>
      </c>
      <c r="I12" s="77">
        <v>3.838156114898017</v>
      </c>
      <c r="J12" s="77" t="s">
        <v>2</v>
      </c>
    </row>
    <row r="13" spans="1:10" ht="12.75" customHeight="1">
      <c r="A13" s="69" t="s">
        <v>34</v>
      </c>
      <c r="B13" s="117"/>
      <c r="C13" s="77">
        <v>57.559741521435903</v>
      </c>
      <c r="D13" s="77" t="s">
        <v>2</v>
      </c>
      <c r="E13" s="77">
        <v>5.0011412000053657</v>
      </c>
      <c r="F13" s="77" t="s">
        <v>2</v>
      </c>
      <c r="G13" s="77">
        <v>61.996858837115532</v>
      </c>
      <c r="H13" s="77" t="s">
        <v>2</v>
      </c>
      <c r="I13" s="77">
        <v>5.187087644731414</v>
      </c>
      <c r="J13" s="77" t="s">
        <v>2</v>
      </c>
    </row>
    <row r="14" spans="1:10" ht="12.75" customHeight="1">
      <c r="A14" s="69" t="s">
        <v>35</v>
      </c>
      <c r="B14" s="117"/>
      <c r="C14" s="77">
        <v>62.668934003558043</v>
      </c>
      <c r="D14" s="77" t="s">
        <v>2</v>
      </c>
      <c r="E14" s="77">
        <v>8.8763297872340488</v>
      </c>
      <c r="F14" s="77" t="s">
        <v>2</v>
      </c>
      <c r="G14" s="77">
        <v>64.514996416449165</v>
      </c>
      <c r="H14" s="77" t="s">
        <v>2</v>
      </c>
      <c r="I14" s="77">
        <v>4.0617180072776593</v>
      </c>
      <c r="J14" s="77" t="s">
        <v>2</v>
      </c>
    </row>
    <row r="15" spans="1:10" ht="12.75" customHeight="1">
      <c r="A15" s="69" t="s">
        <v>36</v>
      </c>
      <c r="B15" s="117"/>
      <c r="C15" s="77">
        <v>65.50246771951457</v>
      </c>
      <c r="D15" s="77" t="s">
        <v>2</v>
      </c>
      <c r="E15" s="77">
        <v>4.5214327657075781</v>
      </c>
      <c r="F15" s="77" t="s">
        <v>2</v>
      </c>
      <c r="G15" s="77">
        <v>70.03483107081604</v>
      </c>
      <c r="H15" s="77" t="s">
        <v>2</v>
      </c>
      <c r="I15" s="77">
        <v>8.5558939176496587</v>
      </c>
      <c r="J15" s="77" t="s">
        <v>2</v>
      </c>
    </row>
    <row r="16" spans="1:10" ht="12.75" customHeight="1">
      <c r="A16" s="69" t="s">
        <v>37</v>
      </c>
      <c r="B16" s="117"/>
      <c r="C16" s="77">
        <v>69.278059398178726</v>
      </c>
      <c r="D16" s="77" t="s">
        <v>2</v>
      </c>
      <c r="E16" s="77">
        <v>5.7640449438202346</v>
      </c>
      <c r="F16" s="77" t="s">
        <v>2</v>
      </c>
      <c r="G16" s="77">
        <v>72.257217520230029</v>
      </c>
      <c r="H16" s="77" t="s">
        <v>2</v>
      </c>
      <c r="I16" s="77">
        <v>3.1732588134135931</v>
      </c>
      <c r="J16" s="77" t="s">
        <v>2</v>
      </c>
    </row>
    <row r="17" spans="1:10" ht="12.75" customHeight="1">
      <c r="A17" s="69" t="s">
        <v>38</v>
      </c>
      <c r="B17" s="117"/>
      <c r="C17" s="77">
        <v>73.598278336533227</v>
      </c>
      <c r="D17" s="77" t="s">
        <v>2</v>
      </c>
      <c r="E17" s="77">
        <v>6.2360565175820781</v>
      </c>
      <c r="F17" s="77" t="s">
        <v>2</v>
      </c>
      <c r="G17" s="77">
        <v>75.27389410018921</v>
      </c>
      <c r="H17" s="77" t="s">
        <v>2</v>
      </c>
      <c r="I17" s="77">
        <v>4.174913847346251</v>
      </c>
      <c r="J17" s="77" t="s">
        <v>2</v>
      </c>
    </row>
    <row r="18" spans="1:10" ht="12.75" customHeight="1">
      <c r="A18" s="69" t="s">
        <v>39</v>
      </c>
      <c r="B18" s="117"/>
      <c r="C18" s="77">
        <v>79.309504735448201</v>
      </c>
      <c r="D18" s="77" t="s">
        <v>2</v>
      </c>
      <c r="E18" s="77">
        <v>7.7599999999999891</v>
      </c>
      <c r="F18" s="77" t="s">
        <v>2</v>
      </c>
      <c r="G18" s="77">
        <v>79.180609203989022</v>
      </c>
      <c r="H18" s="77" t="s">
        <v>2</v>
      </c>
      <c r="I18" s="77">
        <v>5.1899999999999835</v>
      </c>
      <c r="J18" s="77" t="s">
        <v>2</v>
      </c>
    </row>
    <row r="19" spans="1:10" ht="12.75" customHeight="1">
      <c r="A19" s="69" t="s">
        <v>143</v>
      </c>
      <c r="B19" s="69"/>
      <c r="C19" s="77">
        <v>82.407992253416253</v>
      </c>
      <c r="D19" s="77" t="s">
        <v>2</v>
      </c>
      <c r="E19" s="77">
        <v>3.9068299925760996</v>
      </c>
      <c r="F19" s="77" t="s">
        <v>2</v>
      </c>
      <c r="G19" s="77">
        <v>82.14640063153648</v>
      </c>
      <c r="H19" s="77" t="s">
        <v>2</v>
      </c>
      <c r="I19" s="77">
        <v>3.745603194219993</v>
      </c>
      <c r="J19" s="77" t="s">
        <v>2</v>
      </c>
    </row>
    <row r="20" spans="1:10" ht="12.75" customHeight="1">
      <c r="A20" s="69" t="s">
        <v>144</v>
      </c>
      <c r="B20" s="69"/>
      <c r="C20" s="77">
        <v>85.602157533221799</v>
      </c>
      <c r="D20" s="77" t="s">
        <v>2</v>
      </c>
      <c r="E20" s="77">
        <v>3.8760382245244251</v>
      </c>
      <c r="F20" s="77" t="s">
        <v>2</v>
      </c>
      <c r="G20" s="77">
        <v>85.77460232716561</v>
      </c>
      <c r="H20" s="77" t="s">
        <v>2</v>
      </c>
      <c r="I20" s="77">
        <v>4.4167506643452814</v>
      </c>
      <c r="J20" s="77" t="s">
        <v>2</v>
      </c>
    </row>
    <row r="21" spans="1:10" ht="12.75" customHeight="1">
      <c r="A21" s="69" t="s">
        <v>145</v>
      </c>
      <c r="B21" s="69"/>
      <c r="C21" s="77">
        <v>86.956365854614006</v>
      </c>
      <c r="D21" s="77" t="s">
        <v>2</v>
      </c>
      <c r="E21" s="77">
        <v>1.5819791935345107</v>
      </c>
      <c r="F21" s="77" t="s">
        <v>2</v>
      </c>
      <c r="G21" s="77">
        <v>88.318859947751989</v>
      </c>
      <c r="H21" s="77" t="s">
        <v>2</v>
      </c>
      <c r="I21" s="77">
        <v>2.9662132514260531</v>
      </c>
      <c r="J21" s="77" t="s">
        <v>2</v>
      </c>
    </row>
    <row r="22" spans="1:10" ht="12.75" customHeight="1">
      <c r="A22" s="69" t="s">
        <v>146</v>
      </c>
      <c r="B22" s="69"/>
      <c r="C22" s="77">
        <v>88.995038164535984</v>
      </c>
      <c r="D22" s="77" t="s">
        <v>2</v>
      </c>
      <c r="E22" s="77">
        <v>2.3444773592890433</v>
      </c>
      <c r="F22" s="77" t="s">
        <v>2</v>
      </c>
      <c r="G22" s="77">
        <v>89.929721281496043</v>
      </c>
      <c r="H22" s="77" t="s">
        <v>2</v>
      </c>
      <c r="I22" s="77">
        <v>1.8239154521435319</v>
      </c>
      <c r="J22" s="77" t="s">
        <v>2</v>
      </c>
    </row>
    <row r="23" spans="1:10" ht="12.75" customHeight="1">
      <c r="A23" s="69" t="s">
        <v>147</v>
      </c>
      <c r="B23" s="69"/>
      <c r="C23" s="77">
        <v>90.50380287043491</v>
      </c>
      <c r="D23" s="77" t="s">
        <v>2</v>
      </c>
      <c r="E23" s="77">
        <v>1.695335759179617</v>
      </c>
      <c r="F23" s="77" t="s">
        <v>2</v>
      </c>
      <c r="G23" s="77">
        <v>91.63091128816032</v>
      </c>
      <c r="H23" s="77" t="s">
        <v>2</v>
      </c>
      <c r="I23" s="77">
        <v>1.8916882899472576</v>
      </c>
      <c r="J23" s="77" t="s">
        <v>2</v>
      </c>
    </row>
    <row r="24" spans="1:10" ht="12.75" customHeight="1">
      <c r="A24" s="69" t="s">
        <v>149</v>
      </c>
      <c r="B24" s="69"/>
      <c r="C24" s="77">
        <v>94.308833860433666</v>
      </c>
      <c r="D24" s="77" t="s">
        <v>2</v>
      </c>
      <c r="E24" s="77">
        <v>4.2042774660486115</v>
      </c>
      <c r="F24" s="77" t="s">
        <v>2</v>
      </c>
      <c r="G24" s="77">
        <v>93.791272048835751</v>
      </c>
      <c r="H24" s="77" t="s">
        <v>2</v>
      </c>
      <c r="I24" s="77">
        <v>2.357676825761934</v>
      </c>
      <c r="J24" s="77" t="s">
        <v>2</v>
      </c>
    </row>
    <row r="25" spans="1:10" ht="12.75" customHeight="1">
      <c r="A25" s="69" t="s">
        <v>150</v>
      </c>
      <c r="B25" s="69"/>
      <c r="C25" s="77">
        <v>95.41280803548166</v>
      </c>
      <c r="D25" s="77" t="s">
        <v>2</v>
      </c>
      <c r="E25" s="77">
        <v>1.1705946620883312</v>
      </c>
      <c r="F25" s="77" t="s">
        <v>2</v>
      </c>
      <c r="G25" s="77">
        <v>96.109707987121581</v>
      </c>
      <c r="H25" s="77" t="s">
        <v>2</v>
      </c>
      <c r="I25" s="77">
        <v>2.4719101123595433</v>
      </c>
      <c r="J25" s="77" t="s">
        <v>2</v>
      </c>
    </row>
    <row r="26" spans="1:10" ht="12.75" customHeight="1">
      <c r="A26" s="69" t="s">
        <v>151</v>
      </c>
      <c r="B26" s="69"/>
      <c r="C26" s="77">
        <v>98.901366428633338</v>
      </c>
      <c r="D26" s="77" t="s">
        <v>2</v>
      </c>
      <c r="E26" s="77">
        <v>3.6562789262573281</v>
      </c>
      <c r="F26" s="77" t="s">
        <v>2</v>
      </c>
      <c r="G26" s="77">
        <v>98.270068747797012</v>
      </c>
      <c r="H26" s="77" t="s">
        <v>2</v>
      </c>
      <c r="I26" s="77">
        <v>2.2478070175438569</v>
      </c>
      <c r="J26" s="77" t="s">
        <v>2</v>
      </c>
    </row>
    <row r="27" spans="1:10" ht="12.75" customHeight="1">
      <c r="A27" s="69" t="s">
        <v>173</v>
      </c>
      <c r="B27" s="69"/>
      <c r="C27" s="77">
        <v>104.39400000000001</v>
      </c>
      <c r="D27" s="77" t="s">
        <v>2</v>
      </c>
      <c r="E27" s="77">
        <v>5.553647810649931</v>
      </c>
      <c r="F27" s="77" t="s">
        <v>2</v>
      </c>
      <c r="G27" s="77">
        <v>102.959</v>
      </c>
      <c r="H27" s="77" t="s">
        <v>2</v>
      </c>
      <c r="I27" s="77">
        <v>4.7714744804308484</v>
      </c>
      <c r="J27" s="77" t="s">
        <v>2</v>
      </c>
    </row>
    <row r="28" spans="1:10" ht="12.75" customHeight="1">
      <c r="A28" s="69" t="s">
        <v>233</v>
      </c>
      <c r="B28" s="69"/>
      <c r="C28" s="77">
        <v>113.26300000000001</v>
      </c>
      <c r="D28" s="77" t="s">
        <v>2</v>
      </c>
      <c r="E28" s="77">
        <v>8.4956989865317958</v>
      </c>
      <c r="F28" s="77" t="s">
        <v>2</v>
      </c>
      <c r="G28" s="77">
        <v>110.03400000000001</v>
      </c>
      <c r="H28" s="77" t="s">
        <v>2</v>
      </c>
      <c r="I28" s="77">
        <v>6.8716673627366331</v>
      </c>
      <c r="J28" s="77" t="s">
        <v>2</v>
      </c>
    </row>
    <row r="29" spans="1:10" ht="12.75" customHeight="1">
      <c r="A29" s="69" t="s">
        <v>266</v>
      </c>
      <c r="B29" s="69"/>
      <c r="C29" s="77">
        <v>122.128</v>
      </c>
      <c r="D29" s="77" t="s">
        <v>2</v>
      </c>
      <c r="E29" s="77">
        <v>7.8269161155893663</v>
      </c>
      <c r="F29" s="77" t="s">
        <v>2</v>
      </c>
      <c r="G29" s="77">
        <v>117.255</v>
      </c>
      <c r="H29" s="77" t="s">
        <v>2</v>
      </c>
      <c r="I29" s="77">
        <v>6.5625170401875765</v>
      </c>
      <c r="J29" s="77" t="s">
        <v>2</v>
      </c>
    </row>
    <row r="30" spans="1:10" ht="12.75" customHeight="1">
      <c r="A30" s="69" t="s">
        <v>312</v>
      </c>
      <c r="B30" s="69"/>
      <c r="C30" s="77">
        <v>126.4866</v>
      </c>
      <c r="D30" s="77" t="s">
        <v>2</v>
      </c>
      <c r="E30" s="77">
        <v>3.5688785536486245</v>
      </c>
      <c r="F30" s="77" t="s">
        <v>2</v>
      </c>
      <c r="G30" s="77">
        <v>122.31950000000001</v>
      </c>
      <c r="H30" s="77" t="s">
        <v>2</v>
      </c>
      <c r="I30" s="77">
        <v>4.3192187966398121</v>
      </c>
      <c r="J30" s="77" t="s">
        <v>2</v>
      </c>
    </row>
    <row r="31" spans="1:10" ht="12.75" customHeight="1">
      <c r="A31" s="69" t="s">
        <v>341</v>
      </c>
      <c r="B31" s="69"/>
      <c r="C31" s="77">
        <v>130.72200000000001</v>
      </c>
      <c r="D31" s="77" t="s">
        <v>2</v>
      </c>
      <c r="E31" s="77">
        <v>3.348496994938599</v>
      </c>
      <c r="F31" s="77" t="s">
        <v>2</v>
      </c>
      <c r="G31" s="77">
        <v>127.23</v>
      </c>
      <c r="H31" s="77" t="s">
        <v>2</v>
      </c>
      <c r="I31" s="77">
        <v>4.0144866517603406</v>
      </c>
      <c r="J31" s="77" t="s">
        <v>2</v>
      </c>
    </row>
    <row r="32" spans="1:10" ht="12.75" customHeight="1">
      <c r="A32" s="69" t="s">
        <v>359</v>
      </c>
      <c r="B32" s="69"/>
      <c r="C32" s="77">
        <v>137.19550000000001</v>
      </c>
      <c r="D32" s="77" t="s">
        <v>2</v>
      </c>
      <c r="E32" s="77">
        <v>4.9521121157876991</v>
      </c>
      <c r="F32" s="77" t="s">
        <v>2</v>
      </c>
      <c r="G32" s="77">
        <v>133.40199999999999</v>
      </c>
      <c r="H32" s="77" t="s">
        <v>2</v>
      </c>
      <c r="I32" s="77">
        <v>4.85105714061147</v>
      </c>
      <c r="J32" s="77" t="s">
        <v>2</v>
      </c>
    </row>
    <row r="33" spans="1:10" ht="12.75" customHeight="1">
      <c r="A33" s="64"/>
      <c r="C33" s="77"/>
      <c r="D33" s="77"/>
      <c r="E33" s="77"/>
      <c r="F33" s="77"/>
      <c r="G33" s="77"/>
      <c r="H33" s="77"/>
      <c r="I33" s="77"/>
      <c r="J33" s="77"/>
    </row>
    <row r="34" spans="1:10" ht="12.75" customHeight="1">
      <c r="A34" s="69">
        <v>2000</v>
      </c>
      <c r="B34" s="64" t="s">
        <v>3</v>
      </c>
      <c r="C34" s="77">
        <v>22.160397491233649</v>
      </c>
      <c r="D34" s="77">
        <v>0.31232254400908044</v>
      </c>
      <c r="E34" s="77">
        <v>0.31232254400908044</v>
      </c>
      <c r="F34" s="77">
        <v>5.9900000000000064</v>
      </c>
      <c r="G34" s="77">
        <v>25.848139242590793</v>
      </c>
      <c r="H34" s="77">
        <v>0.31570193990100304</v>
      </c>
      <c r="I34" s="77">
        <v>0.31570193990100304</v>
      </c>
      <c r="J34" s="77">
        <v>5.8843681437439566</v>
      </c>
    </row>
    <row r="35" spans="1:10" ht="12.75" customHeight="1">
      <c r="A35" s="69"/>
      <c r="B35" s="64" t="s">
        <v>4</v>
      </c>
      <c r="C35" s="77">
        <v>22.17085149514498</v>
      </c>
      <c r="D35" s="77">
        <v>4.7174261722826571E-2</v>
      </c>
      <c r="E35" s="77">
        <v>0.35964414158622393</v>
      </c>
      <c r="F35" s="77">
        <v>6.3270831244359726</v>
      </c>
      <c r="G35" s="77">
        <v>25.940295786560693</v>
      </c>
      <c r="H35" s="77">
        <v>0.35653066979015602</v>
      </c>
      <c r="I35" s="77">
        <v>0.67335818393203795</v>
      </c>
      <c r="J35" s="77">
        <v>5.7896898012538944</v>
      </c>
    </row>
    <row r="36" spans="1:10" ht="12.75" customHeight="1">
      <c r="A36" s="69"/>
      <c r="B36" s="64" t="s">
        <v>48</v>
      </c>
      <c r="C36" s="77">
        <v>22.160397491233649</v>
      </c>
      <c r="D36" s="77">
        <v>-4.7152018106388915E-2</v>
      </c>
      <c r="E36" s="77">
        <v>0.31232254400908044</v>
      </c>
      <c r="F36" s="77">
        <v>5.7256857855361609</v>
      </c>
      <c r="G36" s="77">
        <v>26.025015092610644</v>
      </c>
      <c r="H36" s="77">
        <v>0.32659344653209743</v>
      </c>
      <c r="I36" s="77">
        <v>1.0021507741645452</v>
      </c>
      <c r="J36" s="77">
        <v>5.8176493106230298</v>
      </c>
    </row>
    <row r="37" spans="1:10" ht="12.75" customHeight="1">
      <c r="A37" s="69"/>
      <c r="B37" s="64" t="s">
        <v>6</v>
      </c>
      <c r="C37" s="77">
        <v>22.175033096709509</v>
      </c>
      <c r="D37" s="77">
        <v>6.6043966411921673E-2</v>
      </c>
      <c r="E37" s="77">
        <v>0.37857278061708133</v>
      </c>
      <c r="F37" s="77">
        <v>5.5218386230225791</v>
      </c>
      <c r="G37" s="77">
        <v>26.108169195922464</v>
      </c>
      <c r="H37" s="77">
        <v>0.31951606181941372</v>
      </c>
      <c r="I37" s="77">
        <v>1.3248688686710697</v>
      </c>
      <c r="J37" s="77">
        <v>5.8914992046703807</v>
      </c>
    </row>
    <row r="38" spans="1:10" ht="12.75" customHeight="1">
      <c r="A38" s="69"/>
      <c r="B38" s="64" t="s">
        <v>7</v>
      </c>
      <c r="C38" s="77">
        <v>22.191759502967635</v>
      </c>
      <c r="D38" s="77">
        <v>7.5429002451454785E-2</v>
      </c>
      <c r="E38" s="77">
        <v>0.45428733674048871</v>
      </c>
      <c r="F38" s="77">
        <v>5.653991638463074</v>
      </c>
      <c r="G38" s="77">
        <v>26.162269999271523</v>
      </c>
      <c r="H38" s="77">
        <v>0.20721791307185544</v>
      </c>
      <c r="I38" s="77">
        <v>1.5348321473635185</v>
      </c>
      <c r="J38" s="77">
        <v>5.7456336031100452</v>
      </c>
    </row>
    <row r="39" spans="1:10" ht="12.75" customHeight="1">
      <c r="A39" s="69"/>
      <c r="B39" s="64" t="s">
        <v>8</v>
      </c>
      <c r="C39" s="77">
        <v>22.409202784323263</v>
      </c>
      <c r="D39" s="77">
        <v>0.9798379498775267</v>
      </c>
      <c r="E39" s="77">
        <v>1.4385765663448957</v>
      </c>
      <c r="F39" s="77">
        <v>7.2765488940045975</v>
      </c>
      <c r="G39" s="77">
        <v>26.664462953818344</v>
      </c>
      <c r="H39" s="77">
        <v>1.9195312737037229</v>
      </c>
      <c r="I39" s="77">
        <v>3.4838250041347329</v>
      </c>
      <c r="J39" s="77">
        <v>7.5427520654359537</v>
      </c>
    </row>
    <row r="40" spans="1:10" ht="12.75" customHeight="1">
      <c r="A40" s="69"/>
      <c r="B40" s="64" t="s">
        <v>9</v>
      </c>
      <c r="C40" s="77">
        <v>22.511652022654282</v>
      </c>
      <c r="D40" s="77">
        <v>0.45717484605338754</v>
      </c>
      <c r="E40" s="77">
        <v>1.9023282226008131</v>
      </c>
      <c r="F40" s="77">
        <v>8.0373269114991217</v>
      </c>
      <c r="G40" s="77">
        <v>26.75882077399968</v>
      </c>
      <c r="H40" s="77">
        <v>0.35387106931334955</v>
      </c>
      <c r="I40" s="77">
        <v>3.8500243222432173</v>
      </c>
      <c r="J40" s="77">
        <v>7.6422922375877</v>
      </c>
    </row>
    <row r="41" spans="1:10" ht="12.75" customHeight="1">
      <c r="A41" s="69"/>
      <c r="B41" s="64" t="s">
        <v>49</v>
      </c>
      <c r="C41" s="77">
        <v>22.768820518872957</v>
      </c>
      <c r="D41" s="77">
        <v>1.1423794928949516</v>
      </c>
      <c r="E41" s="77">
        <v>3.066439522998321</v>
      </c>
      <c r="F41" s="77">
        <v>8.9653792275365518</v>
      </c>
      <c r="G41" s="77">
        <v>26.85536405369761</v>
      </c>
      <c r="H41" s="77">
        <v>0.36079048667099212</v>
      </c>
      <c r="I41" s="77">
        <v>4.2247053304033777</v>
      </c>
      <c r="J41" s="77">
        <v>7.6298114073788614</v>
      </c>
    </row>
    <row r="42" spans="1:10" ht="12.75" customHeight="1">
      <c r="A42" s="69"/>
      <c r="B42" s="64" t="s">
        <v>11</v>
      </c>
      <c r="C42" s="77">
        <v>23.644866046642264</v>
      </c>
      <c r="D42" s="77">
        <v>3.8475665748392895</v>
      </c>
      <c r="E42" s="77">
        <v>7.0319893999621463</v>
      </c>
      <c r="F42" s="77">
        <v>12.706796890572036</v>
      </c>
      <c r="G42" s="77">
        <v>27.182691142785288</v>
      </c>
      <c r="H42" s="77">
        <v>1.21885180343555</v>
      </c>
      <c r="I42" s="77">
        <v>5.4950500309483896</v>
      </c>
      <c r="J42" s="77">
        <v>7.9867082317298665</v>
      </c>
    </row>
    <row r="43" spans="1:10" ht="12.75" customHeight="1">
      <c r="A43" s="69"/>
      <c r="B43" s="64" t="s">
        <v>12</v>
      </c>
      <c r="C43" s="77">
        <v>23.707590070110228</v>
      </c>
      <c r="D43" s="77">
        <v>0.26527544433634365</v>
      </c>
      <c r="E43" s="77">
        <v>7.3159189854249407</v>
      </c>
      <c r="F43" s="77">
        <v>9.1758135952243247</v>
      </c>
      <c r="G43" s="77">
        <v>27.261328825476749</v>
      </c>
      <c r="H43" s="77">
        <v>0.28929322074253694</v>
      </c>
      <c r="I43" s="77">
        <v>5.8002400589068692</v>
      </c>
      <c r="J43" s="77">
        <v>7.7726526252624772</v>
      </c>
    </row>
    <row r="44" spans="1:10" ht="12.75" customHeight="1">
      <c r="A44" s="69"/>
      <c r="B44" s="64" t="s">
        <v>13</v>
      </c>
      <c r="C44" s="77">
        <v>23.820493312352578</v>
      </c>
      <c r="D44" s="77">
        <v>0.47623247199930496</v>
      </c>
      <c r="E44" s="77">
        <v>7.8269922392580016</v>
      </c>
      <c r="F44" s="77">
        <v>8.1442809682012332</v>
      </c>
      <c r="G44" s="77">
        <v>27.331695472374701</v>
      </c>
      <c r="H44" s="77">
        <v>0.25811891763760642</v>
      </c>
      <c r="I44" s="77">
        <v>6.073330493404927</v>
      </c>
      <c r="J44" s="77">
        <v>6.4622555315466013</v>
      </c>
    </row>
    <row r="45" spans="1:10" ht="12.75" customHeight="1">
      <c r="A45" s="69"/>
      <c r="B45" s="64" t="s">
        <v>14</v>
      </c>
      <c r="C45" s="77">
        <v>24.083934210918052</v>
      </c>
      <c r="D45" s="77">
        <v>1.1059422452383005</v>
      </c>
      <c r="E45" s="77">
        <v>9.0194964982017964</v>
      </c>
      <c r="F45" s="77">
        <v>9.0194964982017964</v>
      </c>
      <c r="G45" s="77">
        <v>27.459315436569504</v>
      </c>
      <c r="H45" s="77">
        <v>0.46693028730615538</v>
      </c>
      <c r="I45" s="77">
        <v>6.5686190002330003</v>
      </c>
      <c r="J45" s="77">
        <v>6.5686190002330003</v>
      </c>
    </row>
    <row r="46" spans="1:10" ht="12.75" customHeight="1">
      <c r="A46" s="69"/>
      <c r="C46" s="77"/>
      <c r="D46" s="77"/>
      <c r="E46" s="77"/>
      <c r="F46" s="77"/>
      <c r="G46" s="77"/>
      <c r="H46" s="77"/>
      <c r="I46" s="77"/>
      <c r="J46" s="77"/>
    </row>
    <row r="47" spans="1:10" ht="12.75" customHeight="1">
      <c r="A47" s="69">
        <v>2001</v>
      </c>
      <c r="B47" s="64" t="s">
        <v>3</v>
      </c>
      <c r="C47" s="77">
        <v>24.686084836210558</v>
      </c>
      <c r="D47" s="77">
        <v>2.5002170327285356</v>
      </c>
      <c r="E47" s="77">
        <v>2.5002170327285356</v>
      </c>
      <c r="F47" s="77">
        <v>11.39730163222945</v>
      </c>
      <c r="G47" s="77">
        <v>28.14114459455585</v>
      </c>
      <c r="H47" s="77">
        <v>2.4830522798769739</v>
      </c>
      <c r="I47" s="77">
        <v>2.4830522798769739</v>
      </c>
      <c r="J47" s="77">
        <v>8.871065458308891</v>
      </c>
    </row>
    <row r="48" spans="1:10" ht="12.75" customHeight="1">
      <c r="A48" s="69"/>
      <c r="B48" s="64" t="s">
        <v>4</v>
      </c>
      <c r="C48" s="77">
        <v>24.71953764872681</v>
      </c>
      <c r="D48" s="77">
        <v>0.13551283137123171</v>
      </c>
      <c r="E48" s="77">
        <v>2.6391179789912345</v>
      </c>
      <c r="F48" s="77">
        <v>11.495662014334208</v>
      </c>
      <c r="G48" s="77">
        <v>28.288268738000177</v>
      </c>
      <c r="H48" s="77">
        <v>0.52280795811265879</v>
      </c>
      <c r="I48" s="77">
        <v>3.0188418329129219</v>
      </c>
      <c r="J48" s="77">
        <v>9.0514501868399488</v>
      </c>
    </row>
    <row r="49" spans="1:10" ht="12.75" customHeight="1">
      <c r="A49" s="69"/>
      <c r="B49" s="64" t="s">
        <v>5</v>
      </c>
      <c r="C49" s="77">
        <v>24.614997609613528</v>
      </c>
      <c r="D49" s="77">
        <v>-0.4229045081620475</v>
      </c>
      <c r="E49" s="77">
        <v>2.2050525219203143</v>
      </c>
      <c r="F49" s="77">
        <v>11.076516652514412</v>
      </c>
      <c r="G49" s="77">
        <v>28.376227412322262</v>
      </c>
      <c r="H49" s="77">
        <v>0.310936929851513</v>
      </c>
      <c r="I49" s="77">
        <v>3.3391654568767581</v>
      </c>
      <c r="J49" s="77">
        <v>9.0344321082803205</v>
      </c>
    </row>
    <row r="50" spans="1:10" ht="12.75" customHeight="1">
      <c r="A50" s="69"/>
      <c r="B50" s="64" t="s">
        <v>6</v>
      </c>
      <c r="C50" s="77">
        <v>24.767626066718918</v>
      </c>
      <c r="D50" s="77">
        <v>0.62006285568672048</v>
      </c>
      <c r="E50" s="77">
        <v>2.8387880892438488</v>
      </c>
      <c r="F50" s="77">
        <v>11.691495379973604</v>
      </c>
      <c r="G50" s="77">
        <v>28.441197155675273</v>
      </c>
      <c r="H50" s="77">
        <v>0.22895835450205126</v>
      </c>
      <c r="I50" s="77">
        <v>3.575769109662974</v>
      </c>
      <c r="J50" s="77">
        <v>8.9360075087807189</v>
      </c>
    </row>
    <row r="51" spans="1:10" ht="12.75" customHeight="1">
      <c r="A51" s="69"/>
      <c r="B51" s="64" t="s">
        <v>7</v>
      </c>
      <c r="C51" s="77">
        <v>24.832440890969149</v>
      </c>
      <c r="D51" s="77">
        <v>0.2616917102819416</v>
      </c>
      <c r="E51" s="77">
        <v>3.1079086726278016</v>
      </c>
      <c r="F51" s="77">
        <v>11.899378179762564</v>
      </c>
      <c r="G51" s="77">
        <v>28.58272696958905</v>
      </c>
      <c r="H51" s="77">
        <v>0.4976225618742447</v>
      </c>
      <c r="I51" s="77">
        <v>4.0911855053874291</v>
      </c>
      <c r="J51" s="77">
        <v>9.2517085496974119</v>
      </c>
    </row>
    <row r="52" spans="1:10" ht="12.75" customHeight="1">
      <c r="A52" s="69"/>
      <c r="B52" s="64" t="s">
        <v>8</v>
      </c>
      <c r="C52" s="77">
        <v>24.692357238557356</v>
      </c>
      <c r="D52" s="77">
        <v>-0.56411551738652088</v>
      </c>
      <c r="E52" s="77">
        <v>2.5262609601527819</v>
      </c>
      <c r="F52" s="77">
        <v>10.188467997760785</v>
      </c>
      <c r="G52" s="77">
        <v>28.624409724586776</v>
      </c>
      <c r="H52" s="77">
        <v>0.1458319741222569</v>
      </c>
      <c r="I52" s="77">
        <v>4.2429837360971945</v>
      </c>
      <c r="J52" s="77">
        <v>7.3504078224375657</v>
      </c>
    </row>
    <row r="53" spans="1:10" ht="12.75" customHeight="1">
      <c r="A53" s="69"/>
      <c r="B53" s="64" t="s">
        <v>9</v>
      </c>
      <c r="C53" s="77">
        <v>24.633814816653917</v>
      </c>
      <c r="D53" s="77">
        <v>-0.23708721422524004</v>
      </c>
      <c r="E53" s="77">
        <v>2.2831843041930755</v>
      </c>
      <c r="F53" s="77">
        <v>9.4269527259217778</v>
      </c>
      <c r="G53" s="77">
        <v>28.637457935852002</v>
      </c>
      <c r="H53" s="77">
        <v>4.5584210786420165E-2</v>
      </c>
      <c r="I53" s="77">
        <v>4.2905020775335201</v>
      </c>
      <c r="J53" s="77">
        <v>7.0206276192772643</v>
      </c>
    </row>
    <row r="54" spans="1:10" ht="12.75" customHeight="1">
      <c r="A54" s="69"/>
      <c r="B54" s="64" t="s">
        <v>49</v>
      </c>
      <c r="C54" s="77">
        <v>24.81571448471103</v>
      </c>
      <c r="D54" s="77">
        <v>0.73841453063996365</v>
      </c>
      <c r="E54" s="77">
        <v>3.0384581994964854</v>
      </c>
      <c r="F54" s="77">
        <v>8.9898989898989932</v>
      </c>
      <c r="G54" s="77">
        <v>28.670345359245058</v>
      </c>
      <c r="H54" s="77">
        <v>0.11484058210307069</v>
      </c>
      <c r="I54" s="77">
        <v>4.4102698971975718</v>
      </c>
      <c r="J54" s="77">
        <v>6.7583567361752195</v>
      </c>
    </row>
    <row r="55" spans="1:10" ht="12.75" customHeight="1">
      <c r="A55" s="69"/>
      <c r="B55" s="64" t="s">
        <v>11</v>
      </c>
      <c r="C55" s="77">
        <v>25.041520969195719</v>
      </c>
      <c r="D55" s="77">
        <v>0.90993344005392274</v>
      </c>
      <c r="E55" s="77">
        <v>3.9760395867696863</v>
      </c>
      <c r="F55" s="77">
        <v>5.9067998938898247</v>
      </c>
      <c r="G55" s="77">
        <v>28.860538095818054</v>
      </c>
      <c r="H55" s="77">
        <v>0.66337790560191401</v>
      </c>
      <c r="I55" s="77">
        <v>5.1029045588749211</v>
      </c>
      <c r="J55" s="77">
        <v>6.1724828649943664</v>
      </c>
    </row>
    <row r="56" spans="1:10" ht="12.75" customHeight="1">
      <c r="A56" s="69"/>
      <c r="B56" s="64" t="s">
        <v>12</v>
      </c>
      <c r="C56" s="77">
        <v>25.104244992663688</v>
      </c>
      <c r="D56" s="77">
        <v>0.25048008683308254</v>
      </c>
      <c r="E56" s="77">
        <v>4.2364788610122384</v>
      </c>
      <c r="F56" s="77">
        <v>5.8911720610283158</v>
      </c>
      <c r="G56" s="77">
        <v>29.225467590434285</v>
      </c>
      <c r="H56" s="77">
        <v>1.2644583874515725</v>
      </c>
      <c r="I56" s="77">
        <v>6.4318870510248427</v>
      </c>
      <c r="J56" s="77">
        <v>7.2048533566785311</v>
      </c>
    </row>
    <row r="57" spans="1:10" ht="12.75" customHeight="1">
      <c r="A57" s="69"/>
      <c r="B57" s="64" t="s">
        <v>13</v>
      </c>
      <c r="C57" s="77">
        <v>25.0791553832765</v>
      </c>
      <c r="D57" s="77">
        <v>-9.994170067459951E-2</v>
      </c>
      <c r="E57" s="77">
        <v>4.1323031513152086</v>
      </c>
      <c r="F57" s="77">
        <v>5.2839462828052186</v>
      </c>
      <c r="G57" s="77">
        <v>29.263276698340025</v>
      </c>
      <c r="H57" s="77">
        <v>0.12937041225686841</v>
      </c>
      <c r="I57" s="77">
        <v>6.569578422075506</v>
      </c>
      <c r="J57" s="77">
        <v>7.067184060782683</v>
      </c>
    </row>
    <row r="58" spans="1:10" ht="12.75" customHeight="1">
      <c r="A58" s="69"/>
      <c r="B58" s="64" t="s">
        <v>14</v>
      </c>
      <c r="C58" s="77">
        <v>25.139788605962206</v>
      </c>
      <c r="D58" s="77">
        <v>0.24176740308463618</v>
      </c>
      <c r="E58" s="77">
        <v>4.3840611164163601</v>
      </c>
      <c r="F58" s="77">
        <v>4.3840611164163601</v>
      </c>
      <c r="G58" s="77">
        <v>29.303872354657646</v>
      </c>
      <c r="H58" s="77">
        <v>0.1387256004722337</v>
      </c>
      <c r="I58" s="77">
        <v>6.7174177096622545</v>
      </c>
      <c r="J58" s="77">
        <v>6.7174177096622545</v>
      </c>
    </row>
    <row r="59" spans="1:10" ht="12.75" customHeight="1">
      <c r="A59" s="69"/>
      <c r="C59" s="77"/>
      <c r="D59" s="77"/>
      <c r="E59" s="77"/>
      <c r="F59" s="77"/>
      <c r="G59" s="77"/>
      <c r="H59" s="77"/>
      <c r="I59" s="77"/>
      <c r="J59" s="77"/>
    </row>
    <row r="60" spans="1:10" ht="12.75" customHeight="1">
      <c r="A60" s="69">
        <v>2002</v>
      </c>
      <c r="B60" s="64" t="s">
        <v>3</v>
      </c>
      <c r="C60" s="77">
        <v>25.281963059156269</v>
      </c>
      <c r="D60" s="77">
        <v>0.56553559547569687</v>
      </c>
      <c r="E60" s="77">
        <v>0.56553559547569687</v>
      </c>
      <c r="F60" s="77">
        <v>2.4138223087998734</v>
      </c>
      <c r="G60" s="77">
        <v>29.397883650081859</v>
      </c>
      <c r="H60" s="77">
        <v>0.32081526388874071</v>
      </c>
      <c r="I60" s="77">
        <v>0.32081526388874071</v>
      </c>
      <c r="J60" s="77">
        <v>4.46584200334601</v>
      </c>
    </row>
    <row r="61" spans="1:10" ht="12.75" customHeight="1">
      <c r="A61" s="69"/>
      <c r="B61" s="64" t="s">
        <v>4</v>
      </c>
      <c r="C61" s="77">
        <v>25.292417063067592</v>
      </c>
      <c r="D61" s="77">
        <v>4.1349652662892034E-2</v>
      </c>
      <c r="E61" s="77">
        <v>0.6071190951430161</v>
      </c>
      <c r="F61" s="77">
        <v>2.3175167047280398</v>
      </c>
      <c r="G61" s="77">
        <v>29.447253990533209</v>
      </c>
      <c r="H61" s="77">
        <v>0.16793841706088664</v>
      </c>
      <c r="I61" s="77">
        <v>0.48929245302549162</v>
      </c>
      <c r="J61" s="77">
        <v>4.0970526095722049</v>
      </c>
    </row>
    <row r="62" spans="1:10" ht="12.75" customHeight="1">
      <c r="A62" s="69"/>
      <c r="B62" s="64" t="s">
        <v>5</v>
      </c>
      <c r="C62" s="77">
        <v>25.580947571020257</v>
      </c>
      <c r="D62" s="77">
        <v>1.1407787054641849</v>
      </c>
      <c r="E62" s="77">
        <v>1.7548236859614041</v>
      </c>
      <c r="F62" s="77">
        <v>3.9242334154421021</v>
      </c>
      <c r="G62" s="77">
        <v>29.555624929861285</v>
      </c>
      <c r="H62" s="77">
        <v>0.36801713111489498</v>
      </c>
      <c r="I62" s="77">
        <v>0.85911026418876713</v>
      </c>
      <c r="J62" s="77">
        <v>4.1562872343871682</v>
      </c>
    </row>
    <row r="63" spans="1:10" ht="12.75" customHeight="1">
      <c r="A63" s="69"/>
      <c r="B63" s="64" t="s">
        <v>6</v>
      </c>
      <c r="C63" s="77">
        <v>25.754484035948309</v>
      </c>
      <c r="D63" s="77">
        <v>0.67838169186760222</v>
      </c>
      <c r="E63" s="77">
        <v>2.4451097804391253</v>
      </c>
      <c r="F63" s="77">
        <v>3.9844673307445566</v>
      </c>
      <c r="G63" s="77">
        <v>29.666648276597734</v>
      </c>
      <c r="H63" s="77">
        <v>0.37564202076565412</v>
      </c>
      <c r="I63" s="77">
        <v>1.2379794641114383</v>
      </c>
      <c r="J63" s="77">
        <v>4.3087184910496346</v>
      </c>
    </row>
    <row r="64" spans="1:10" ht="12.75" customHeight="1">
      <c r="A64" s="69"/>
      <c r="B64" s="64" t="s">
        <v>7</v>
      </c>
      <c r="C64" s="77">
        <v>25.662488801528617</v>
      </c>
      <c r="D64" s="77">
        <v>-0.35720084429291532</v>
      </c>
      <c r="E64" s="77">
        <v>2.0791749833665829</v>
      </c>
      <c r="F64" s="77">
        <v>3.3425949313800052</v>
      </c>
      <c r="G64" s="77">
        <v>29.720441320505319</v>
      </c>
      <c r="H64" s="77">
        <v>0.18132497950575921</v>
      </c>
      <c r="I64" s="77">
        <v>1.4215492096267601</v>
      </c>
      <c r="J64" s="77">
        <v>3.9804261928078288</v>
      </c>
    </row>
    <row r="65" spans="1:10" ht="12.75" customHeight="1">
      <c r="A65" s="69"/>
      <c r="B65" s="64" t="s">
        <v>8</v>
      </c>
      <c r="C65" s="77">
        <v>25.691760012480337</v>
      </c>
      <c r="D65" s="77">
        <v>0.11406224539678433</v>
      </c>
      <c r="E65" s="77">
        <v>2.1956087824351211</v>
      </c>
      <c r="F65" s="77">
        <v>4.0474174428450471</v>
      </c>
      <c r="G65" s="77">
        <v>29.780416708341285</v>
      </c>
      <c r="H65" s="77">
        <v>0.20179844299481609</v>
      </c>
      <c r="I65" s="77">
        <v>1.6262163167930055</v>
      </c>
      <c r="J65" s="77">
        <v>4.0385356235365988</v>
      </c>
    </row>
    <row r="66" spans="1:10" ht="12.75" customHeight="1">
      <c r="A66" s="69"/>
      <c r="B66" s="64" t="s">
        <v>9</v>
      </c>
      <c r="C66" s="77">
        <v>25.794209250811356</v>
      </c>
      <c r="D66" s="77">
        <v>0.39876302083334814</v>
      </c>
      <c r="E66" s="77">
        <v>2.6031270791749828</v>
      </c>
      <c r="F66" s="77">
        <v>4.7105754540825107</v>
      </c>
      <c r="G66" s="77">
        <v>29.869393563467192</v>
      </c>
      <c r="H66" s="77">
        <v>0.29877639388768973</v>
      </c>
      <c r="I66" s="77">
        <v>1.9298514611488127</v>
      </c>
      <c r="J66" s="77">
        <v>4.3018330410985905</v>
      </c>
    </row>
    <row r="67" spans="1:10" ht="12.75" customHeight="1">
      <c r="A67" s="69"/>
      <c r="B67" s="64" t="s">
        <v>49</v>
      </c>
      <c r="C67" s="77">
        <v>26.024197336860574</v>
      </c>
      <c r="D67" s="77">
        <v>0.89162681364998164</v>
      </c>
      <c r="E67" s="77">
        <v>3.5179640718562721</v>
      </c>
      <c r="F67" s="77">
        <v>4.8698289662144845</v>
      </c>
      <c r="G67" s="77">
        <v>30.06669730955954</v>
      </c>
      <c r="H67" s="77">
        <v>0.66055491107683828</v>
      </c>
      <c r="I67" s="77">
        <v>2.603154100828764</v>
      </c>
      <c r="J67" s="77">
        <v>4.8703701780286046</v>
      </c>
    </row>
    <row r="68" spans="1:10" ht="12.75" customHeight="1">
      <c r="A68" s="69"/>
      <c r="B68" s="64" t="s">
        <v>11</v>
      </c>
      <c r="C68" s="77">
        <v>26.390087473757063</v>
      </c>
      <c r="D68" s="77">
        <v>1.4059612758094309</v>
      </c>
      <c r="E68" s="77">
        <v>4.9733865602128891</v>
      </c>
      <c r="F68" s="77">
        <v>5.3853218669115632</v>
      </c>
      <c r="G68" s="77">
        <v>30.538127296028492</v>
      </c>
      <c r="H68" s="77">
        <v>1.5679473592168147</v>
      </c>
      <c r="I68" s="77">
        <v>4.2119175460258562</v>
      </c>
      <c r="J68" s="77">
        <v>5.8127440127442531</v>
      </c>
    </row>
    <row r="69" spans="1:10" ht="12.75" customHeight="1">
      <c r="A69" s="69"/>
      <c r="B69" s="64" t="s">
        <v>12</v>
      </c>
      <c r="C69" s="77">
        <v>27.157411360848553</v>
      </c>
      <c r="D69" s="77">
        <v>2.9076216130565546</v>
      </c>
      <c r="E69" s="77">
        <v>8.0256154357950535</v>
      </c>
      <c r="F69" s="77">
        <v>8.1785625052052779</v>
      </c>
      <c r="G69" s="77">
        <v>30.745373286203531</v>
      </c>
      <c r="H69" s="77">
        <v>0.67864669030308633</v>
      </c>
      <c r="I69" s="77">
        <v>4.9191482753533355</v>
      </c>
      <c r="J69" s="77">
        <v>5.2006206267396715</v>
      </c>
    </row>
    <row r="70" spans="1:10" ht="12.75" customHeight="1">
      <c r="A70" s="69"/>
      <c r="B70" s="64" t="s">
        <v>13</v>
      </c>
      <c r="C70" s="77">
        <v>27.287041009349029</v>
      </c>
      <c r="D70" s="77">
        <v>0.47732696897375693</v>
      </c>
      <c r="E70" s="77">
        <v>8.5412508316699878</v>
      </c>
      <c r="F70" s="77">
        <v>8.8036681950812721</v>
      </c>
      <c r="G70" s="77">
        <v>30.866107169852572</v>
      </c>
      <c r="H70" s="77">
        <v>0.39268960088774119</v>
      </c>
      <c r="I70" s="77">
        <v>5.3311548599706438</v>
      </c>
      <c r="J70" s="77">
        <v>5.4772761370344814</v>
      </c>
    </row>
    <row r="71" spans="1:10" ht="12.75" customHeight="1">
      <c r="A71" s="69"/>
      <c r="B71" s="64" t="s">
        <v>14</v>
      </c>
      <c r="C71" s="77">
        <v>27.78256079474599</v>
      </c>
      <c r="D71" s="77">
        <v>1.8159528005516901</v>
      </c>
      <c r="E71" s="77">
        <v>10.512308715901518</v>
      </c>
      <c r="F71" s="77">
        <v>10.512308715901518</v>
      </c>
      <c r="G71" s="77">
        <v>31.391013246729333</v>
      </c>
      <c r="H71" s="77">
        <v>1.7005904696315133</v>
      </c>
      <c r="I71" s="77">
        <v>7.1224064410721155</v>
      </c>
      <c r="J71" s="77">
        <v>7.1224064410721155</v>
      </c>
    </row>
    <row r="72" spans="1:10" ht="12.75" customHeight="1">
      <c r="A72" s="69"/>
      <c r="C72" s="77"/>
      <c r="D72" s="77"/>
      <c r="E72" s="77"/>
      <c r="F72" s="77"/>
      <c r="G72" s="77"/>
      <c r="H72" s="77"/>
      <c r="I72" s="77"/>
      <c r="J72" s="77"/>
    </row>
    <row r="73" spans="1:10" ht="12.75" customHeight="1">
      <c r="A73" s="69">
        <v>2003</v>
      </c>
      <c r="B73" s="64" t="s">
        <v>3</v>
      </c>
      <c r="C73" s="77">
        <v>28.696240736596078</v>
      </c>
      <c r="D73" s="77">
        <v>3.2886815171583317</v>
      </c>
      <c r="E73" s="77">
        <v>3.2886815171583317</v>
      </c>
      <c r="F73" s="77">
        <v>13.504796559708886</v>
      </c>
      <c r="G73" s="77">
        <v>32.564325642190163</v>
      </c>
      <c r="H73" s="77">
        <v>3.7377334278404506</v>
      </c>
      <c r="I73" s="77">
        <v>3.7377334278404506</v>
      </c>
      <c r="J73" s="77">
        <v>10.770986203625865</v>
      </c>
    </row>
    <row r="74" spans="1:10" ht="12.75" customHeight="1">
      <c r="A74" s="69"/>
      <c r="B74" s="64" t="s">
        <v>4</v>
      </c>
      <c r="C74" s="77">
        <v>29.837817963713125</v>
      </c>
      <c r="D74" s="77">
        <v>3.9781420765027331</v>
      </c>
      <c r="E74" s="77">
        <v>7.3976520168573145</v>
      </c>
      <c r="F74" s="77">
        <v>17.971397867239823</v>
      </c>
      <c r="G74" s="77">
        <v>33.488596602125831</v>
      </c>
      <c r="H74" s="77">
        <v>2.8382929531271639</v>
      </c>
      <c r="I74" s="77">
        <v>6.6821142054567018</v>
      </c>
      <c r="J74" s="77">
        <v>13.724005005328666</v>
      </c>
    </row>
    <row r="75" spans="1:10" ht="12.75" customHeight="1">
      <c r="A75" s="69"/>
      <c r="B75" s="64" t="s">
        <v>5</v>
      </c>
      <c r="C75" s="77">
        <v>30.366790561626335</v>
      </c>
      <c r="D75" s="77">
        <v>1.7728260107911176</v>
      </c>
      <c r="E75" s="77">
        <v>9.3016255267910797</v>
      </c>
      <c r="F75" s="77">
        <v>18.708622803432775</v>
      </c>
      <c r="G75" s="77">
        <v>34.002992592955756</v>
      </c>
      <c r="H75" s="77">
        <v>1.5360332860209214</v>
      </c>
      <c r="I75" s="77">
        <v>8.3207869898833877</v>
      </c>
      <c r="J75" s="77">
        <v>15.047449254240309</v>
      </c>
    </row>
    <row r="76" spans="1:10" ht="12.75" customHeight="1">
      <c r="A76" s="69"/>
      <c r="B76" s="64" t="s">
        <v>6</v>
      </c>
      <c r="C76" s="77">
        <v>30.45460419448149</v>
      </c>
      <c r="D76" s="77">
        <v>0.28917653538969024</v>
      </c>
      <c r="E76" s="77">
        <v>9.6177001806140758</v>
      </c>
      <c r="F76" s="77">
        <v>18.249715862964756</v>
      </c>
      <c r="G76" s="77">
        <v>34.292931415843384</v>
      </c>
      <c r="H76" s="77">
        <v>0.85268619253144884</v>
      </c>
      <c r="I76" s="77">
        <v>9.2444233841875381</v>
      </c>
      <c r="J76" s="77">
        <v>15.594222495619947</v>
      </c>
    </row>
    <row r="77" spans="1:10" ht="12.75" customHeight="1">
      <c r="A77" s="69"/>
      <c r="B77" s="64" t="s">
        <v>7</v>
      </c>
      <c r="C77" s="77">
        <v>30.818403530595717</v>
      </c>
      <c r="D77" s="77">
        <v>1.1945626802142062</v>
      </c>
      <c r="E77" s="77">
        <v>10.927152317880795</v>
      </c>
      <c r="F77" s="77">
        <v>20.091249796317424</v>
      </c>
      <c r="G77" s="77">
        <v>34.812026862557857</v>
      </c>
      <c r="H77" s="77">
        <v>1.5137097509099195</v>
      </c>
      <c r="I77" s="77">
        <v>10.8980668732793</v>
      </c>
      <c r="J77" s="77">
        <v>17.131594672989081</v>
      </c>
    </row>
    <row r="78" spans="1:10" ht="12.75" customHeight="1">
      <c r="A78" s="69"/>
      <c r="B78" s="64" t="s">
        <v>8</v>
      </c>
      <c r="C78" s="77">
        <v>32.401139722770814</v>
      </c>
      <c r="D78" s="77">
        <v>5.1356852103120687</v>
      </c>
      <c r="E78" s="77">
        <v>16.62402167369055</v>
      </c>
      <c r="F78" s="77">
        <v>26.11490885416665</v>
      </c>
      <c r="G78" s="77">
        <v>36.646337582136795</v>
      </c>
      <c r="H78" s="77">
        <v>5.2691867865695352</v>
      </c>
      <c r="I78" s="77">
        <v>16.741493159527177</v>
      </c>
      <c r="J78" s="77">
        <v>23.055153798007176</v>
      </c>
    </row>
    <row r="79" spans="1:10" ht="12.75" customHeight="1">
      <c r="A79" s="69"/>
      <c r="B79" s="64" t="s">
        <v>9</v>
      </c>
      <c r="C79" s="77">
        <v>33.586623766315441</v>
      </c>
      <c r="D79" s="77">
        <v>3.6587726656772235</v>
      </c>
      <c r="E79" s="77">
        <v>20.891029500301016</v>
      </c>
      <c r="F79" s="77">
        <v>30.209937586123026</v>
      </c>
      <c r="G79" s="77">
        <v>37.413394589294271</v>
      </c>
      <c r="H79" s="77">
        <v>2.0931341513684476</v>
      </c>
      <c r="I79" s="77">
        <v>19.185049221666706</v>
      </c>
      <c r="J79" s="77">
        <v>25.256626016853701</v>
      </c>
    </row>
    <row r="80" spans="1:10" ht="12.75" customHeight="1">
      <c r="A80" s="69"/>
      <c r="B80" s="64" t="s">
        <v>49</v>
      </c>
      <c r="C80" s="77">
        <v>34.615297751190141</v>
      </c>
      <c r="D80" s="77">
        <v>3.0627490039840666</v>
      </c>
      <c r="E80" s="77">
        <v>24.593618302227572</v>
      </c>
      <c r="F80" s="77">
        <v>33.011970756005461</v>
      </c>
      <c r="G80" s="77">
        <v>38.458315819812633</v>
      </c>
      <c r="H80" s="77">
        <v>2.7929067703932997</v>
      </c>
      <c r="I80" s="77">
        <v>22.513776530675234</v>
      </c>
      <c r="J80" s="77">
        <v>27.91001094618073</v>
      </c>
    </row>
    <row r="81" spans="1:10" ht="12.75" customHeight="1">
      <c r="A81" s="69"/>
      <c r="B81" s="64" t="s">
        <v>11</v>
      </c>
      <c r="C81" s="77">
        <v>35.135907145974286</v>
      </c>
      <c r="D81" s="77">
        <v>1.5039864701618777</v>
      </c>
      <c r="E81" s="77">
        <v>26.467489464178186</v>
      </c>
      <c r="F81" s="77">
        <v>33.140548249088894</v>
      </c>
      <c r="G81" s="77">
        <v>39.354183615402818</v>
      </c>
      <c r="H81" s="77">
        <v>2.3294514502079755</v>
      </c>
      <c r="I81" s="77">
        <v>25.367675474773588</v>
      </c>
      <c r="J81" s="77">
        <v>28.869014245417922</v>
      </c>
    </row>
    <row r="82" spans="1:10" ht="12.75" customHeight="1">
      <c r="A82" s="69"/>
      <c r="B82" s="64" t="s">
        <v>12</v>
      </c>
      <c r="C82" s="77">
        <v>36.047496287042115</v>
      </c>
      <c r="D82" s="77">
        <v>2.5944659327581165</v>
      </c>
      <c r="E82" s="77">
        <v>29.748645394340766</v>
      </c>
      <c r="F82" s="77">
        <v>32.735391485102824</v>
      </c>
      <c r="G82" s="77">
        <v>40.105490868590913</v>
      </c>
      <c r="H82" s="77">
        <v>1.9090911922615472</v>
      </c>
      <c r="I82" s="77">
        <v>27.761058725205533</v>
      </c>
      <c r="J82" s="77">
        <v>30.443987442453913</v>
      </c>
    </row>
    <row r="83" spans="1:10" ht="12.75" customHeight="1">
      <c r="A83" s="69"/>
      <c r="B83" s="64" t="s">
        <v>13</v>
      </c>
      <c r="C83" s="77">
        <v>38.215656698251593</v>
      </c>
      <c r="D83" s="77">
        <v>6.0147323241111161</v>
      </c>
      <c r="E83" s="77">
        <v>37.552679108970487</v>
      </c>
      <c r="F83" s="77">
        <v>40.050570837483711</v>
      </c>
      <c r="G83" s="77">
        <v>42.123984186137356</v>
      </c>
      <c r="H83" s="77">
        <v>5.032960010788079</v>
      </c>
      <c r="I83" s="77">
        <v>34.191221720204609</v>
      </c>
      <c r="J83" s="77">
        <v>36.473264847860484</v>
      </c>
    </row>
    <row r="84" spans="1:10" ht="12.75" customHeight="1">
      <c r="A84" s="69"/>
      <c r="B84" s="64" t="s">
        <v>14</v>
      </c>
      <c r="C84" s="77">
        <v>39.633219628627707</v>
      </c>
      <c r="D84" s="77">
        <v>3.7093773935879204</v>
      </c>
      <c r="E84" s="77">
        <v>42.655027092113173</v>
      </c>
      <c r="F84" s="77">
        <v>42.655027092113173</v>
      </c>
      <c r="G84" s="77">
        <v>43.468760725864733</v>
      </c>
      <c r="H84" s="77">
        <v>3.192424851801956</v>
      </c>
      <c r="I84" s="77">
        <v>38.475175631337088</v>
      </c>
      <c r="J84" s="77">
        <v>38.475175631337088</v>
      </c>
    </row>
    <row r="85" spans="1:10" ht="12.75" customHeight="1">
      <c r="A85" s="72"/>
      <c r="B85" s="118"/>
      <c r="C85" s="119"/>
      <c r="D85" s="119"/>
      <c r="E85" s="119"/>
      <c r="F85" s="119"/>
      <c r="G85" s="119"/>
      <c r="H85" s="119"/>
      <c r="I85" s="119"/>
      <c r="J85" s="119"/>
    </row>
    <row r="86" spans="1:10" ht="12.75" customHeight="1">
      <c r="A86" s="69">
        <v>2004</v>
      </c>
      <c r="B86" s="64" t="s">
        <v>3</v>
      </c>
      <c r="C86" s="77">
        <v>43.292120997592598</v>
      </c>
      <c r="D86" s="77">
        <v>9.2319054652880261</v>
      </c>
      <c r="E86" s="77">
        <v>9.2319054652880261</v>
      </c>
      <c r="F86" s="77">
        <v>50.863387978142072</v>
      </c>
      <c r="G86" s="77">
        <v>46.826428568126779</v>
      </c>
      <c r="H86" s="77">
        <v>7.7243238274887549</v>
      </c>
      <c r="I86" s="77">
        <v>7.7243238274887549</v>
      </c>
      <c r="J86" s="77">
        <v>43.796708958894314</v>
      </c>
    </row>
    <row r="87" spans="1:10" ht="12.75" customHeight="1">
      <c r="A87" s="69"/>
      <c r="B87" s="64" t="s">
        <v>4</v>
      </c>
      <c r="C87" s="77">
        <v>48.163686820271572</v>
      </c>
      <c r="D87" s="77">
        <v>11.252776972858115</v>
      </c>
      <c r="E87" s="77">
        <v>21.523528170500118</v>
      </c>
      <c r="F87" s="77">
        <v>61.418260808632908</v>
      </c>
      <c r="G87" s="77">
        <v>51.231590801342008</v>
      </c>
      <c r="H87" s="77">
        <v>9.40742731811428</v>
      </c>
      <c r="I87" s="77">
        <v>17.858411295489841</v>
      </c>
      <c r="J87" s="77">
        <v>52.982196925176204</v>
      </c>
    </row>
    <row r="88" spans="1:10" ht="12.75" customHeight="1">
      <c r="A88" s="69"/>
      <c r="B88" s="64" t="s">
        <v>5</v>
      </c>
      <c r="C88" s="77">
        <v>49.292719242695021</v>
      </c>
      <c r="D88" s="77">
        <v>2.3441569716964761</v>
      </c>
      <c r="E88" s="77">
        <v>24.37223042836041</v>
      </c>
      <c r="F88" s="77">
        <v>62.324428532084838</v>
      </c>
      <c r="G88" s="77">
        <v>52.569654024440574</v>
      </c>
      <c r="H88" s="77">
        <v>2.6117932357148543</v>
      </c>
      <c r="I88" s="77">
        <v>20.936629309426436</v>
      </c>
      <c r="J88" s="77">
        <v>54.603021721479863</v>
      </c>
    </row>
    <row r="89" spans="1:10" ht="12.75" customHeight="1">
      <c r="A89" s="69"/>
      <c r="B89" s="64" t="s">
        <v>6</v>
      </c>
      <c r="C89" s="77">
        <v>49.635610570986593</v>
      </c>
      <c r="D89" s="77">
        <v>0.69562266711911125</v>
      </c>
      <c r="E89" s="77">
        <v>25.237391854821702</v>
      </c>
      <c r="F89" s="77">
        <v>62.982287518879623</v>
      </c>
      <c r="G89" s="77">
        <v>53.386762684916285</v>
      </c>
      <c r="H89" s="77">
        <v>1.5543352446181657</v>
      </c>
      <c r="I89" s="77">
        <v>22.81638996243607</v>
      </c>
      <c r="J89" s="77">
        <v>55.678620872438799</v>
      </c>
    </row>
    <row r="90" spans="1:10" ht="12.75" customHeight="1">
      <c r="A90" s="69"/>
      <c r="B90" s="64" t="s">
        <v>7</v>
      </c>
      <c r="C90" s="77">
        <v>50.940270259120354</v>
      </c>
      <c r="D90" s="77">
        <v>2.6284751474304757</v>
      </c>
      <c r="E90" s="77">
        <v>28.529225575015825</v>
      </c>
      <c r="F90" s="77">
        <v>65.291723202170957</v>
      </c>
      <c r="G90" s="77">
        <v>55.046773944594968</v>
      </c>
      <c r="H90" s="77">
        <v>3.1094061077947543</v>
      </c>
      <c r="I90" s="77">
        <v>26.635250293301095</v>
      </c>
      <c r="J90" s="77">
        <v>58.125736722904328</v>
      </c>
    </row>
    <row r="91" spans="1:10" ht="12.75" customHeight="1">
      <c r="A91" s="69"/>
      <c r="B91" s="64" t="s">
        <v>8</v>
      </c>
      <c r="C91" s="77">
        <v>51.954308638519194</v>
      </c>
      <c r="D91" s="77">
        <v>1.9906419307174517</v>
      </c>
      <c r="E91" s="77">
        <v>31.087782232538498</v>
      </c>
      <c r="F91" s="77">
        <v>60.347163967219466</v>
      </c>
      <c r="G91" s="77">
        <v>55.751695840277918</v>
      </c>
      <c r="H91" s="77">
        <v>1.2805871174075723</v>
      </c>
      <c r="I91" s="77">
        <v>28.256924994653932</v>
      </c>
      <c r="J91" s="77">
        <v>52.134427390785177</v>
      </c>
    </row>
    <row r="92" spans="1:10" ht="12.75" customHeight="1">
      <c r="A92" s="69"/>
      <c r="B92" s="64" t="s">
        <v>9</v>
      </c>
      <c r="C92" s="77">
        <v>52.274201158205841</v>
      </c>
      <c r="D92" s="77">
        <v>0.61571894241216896</v>
      </c>
      <c r="E92" s="77">
        <v>31.894914538932273</v>
      </c>
      <c r="F92" s="77">
        <v>55.639940239043817</v>
      </c>
      <c r="G92" s="77">
        <v>56.088634264036614</v>
      </c>
      <c r="H92" s="77">
        <v>0.60435547059229933</v>
      </c>
      <c r="I92" s="77">
        <v>29.032052737272586</v>
      </c>
      <c r="J92" s="77">
        <v>49.915918830006966</v>
      </c>
    </row>
    <row r="93" spans="1:10" ht="12.75" customHeight="1">
      <c r="A93" s="69"/>
      <c r="B93" s="64" t="s">
        <v>49</v>
      </c>
      <c r="C93" s="77">
        <v>52.558550064593973</v>
      </c>
      <c r="D93" s="77">
        <v>0.54395648348133374</v>
      </c>
      <c r="E93" s="77">
        <v>32.612365477948948</v>
      </c>
      <c r="F93" s="77">
        <v>51.8361923169848</v>
      </c>
      <c r="G93" s="77">
        <v>56.762093478187488</v>
      </c>
      <c r="H93" s="77">
        <v>1.2007053175525195</v>
      </c>
      <c r="I93" s="77">
        <v>30.581347455836184</v>
      </c>
      <c r="J93" s="77">
        <v>47.593809734500311</v>
      </c>
    </row>
    <row r="94" spans="1:10" ht="12.75" customHeight="1">
      <c r="A94" s="69"/>
      <c r="B94" s="64" t="s">
        <v>11</v>
      </c>
      <c r="C94" s="77">
        <v>51.962671841648259</v>
      </c>
      <c r="D94" s="77">
        <v>-1.1337417455644871</v>
      </c>
      <c r="E94" s="77">
        <v>31.108883730744875</v>
      </c>
      <c r="F94" s="77">
        <v>47.890508777149662</v>
      </c>
      <c r="G94" s="77">
        <v>57.163382299688678</v>
      </c>
      <c r="H94" s="77">
        <v>0.7069662109192576</v>
      </c>
      <c r="I94" s="77">
        <v>31.504513460112026</v>
      </c>
      <c r="J94" s="77">
        <v>45.25363518737948</v>
      </c>
    </row>
    <row r="95" spans="1:10" ht="12.75" customHeight="1">
      <c r="A95" s="69"/>
      <c r="B95" s="64" t="s">
        <v>12</v>
      </c>
      <c r="C95" s="77">
        <v>52.663090103707255</v>
      </c>
      <c r="D95" s="77">
        <v>1.3479258037259134</v>
      </c>
      <c r="E95" s="77">
        <v>32.876134205528594</v>
      </c>
      <c r="F95" s="77">
        <v>46.093614059509314</v>
      </c>
      <c r="G95" s="77">
        <v>58.1424434049014</v>
      </c>
      <c r="H95" s="77">
        <v>1.7127417339999784</v>
      </c>
      <c r="I95" s="77">
        <v>33.756846144236974</v>
      </c>
      <c r="J95" s="77">
        <v>44.973773280596689</v>
      </c>
    </row>
    <row r="96" spans="1:10" ht="12.75" customHeight="1">
      <c r="A96" s="69"/>
      <c r="B96" s="64" t="s">
        <v>13</v>
      </c>
      <c r="C96" s="77">
        <v>51.793316978284743</v>
      </c>
      <c r="D96" s="77">
        <v>-1.6515801175162825</v>
      </c>
      <c r="E96" s="77">
        <v>30.681578392065845</v>
      </c>
      <c r="F96" s="77">
        <v>35.529051318525021</v>
      </c>
      <c r="G96" s="77">
        <v>57.463293493679913</v>
      </c>
      <c r="H96" s="77">
        <v>-1.1680794123011262</v>
      </c>
      <c r="I96" s="77">
        <v>32.194459961882856</v>
      </c>
      <c r="J96" s="77">
        <v>36.414668754411395</v>
      </c>
    </row>
    <row r="97" spans="1:10" ht="12.75" customHeight="1">
      <c r="A97" s="69"/>
      <c r="B97" s="64" t="s">
        <v>14</v>
      </c>
      <c r="C97" s="77">
        <v>51.02390229041098</v>
      </c>
      <c r="D97" s="77">
        <v>-1.4855481995801778</v>
      </c>
      <c r="E97" s="77">
        <v>28.740240557079556</v>
      </c>
      <c r="F97" s="77">
        <v>28.740240557079556</v>
      </c>
      <c r="G97" s="77">
        <v>56.761698751523021</v>
      </c>
      <c r="H97" s="77">
        <v>-1.2209441880216221</v>
      </c>
      <c r="I97" s="77">
        <v>30.580439386091673</v>
      </c>
      <c r="J97" s="77">
        <v>30.580439386091673</v>
      </c>
    </row>
    <row r="98" spans="1:10" ht="12.75" customHeight="1">
      <c r="A98" s="69"/>
      <c r="C98" s="77"/>
      <c r="D98" s="77"/>
      <c r="E98" s="77"/>
      <c r="F98" s="77"/>
      <c r="G98" s="77"/>
      <c r="H98" s="77"/>
      <c r="I98" s="77"/>
      <c r="J98" s="77"/>
    </row>
    <row r="99" spans="1:10" ht="12.75" customHeight="1">
      <c r="A99" s="69">
        <v>2005</v>
      </c>
      <c r="B99" s="64" t="s">
        <v>3</v>
      </c>
      <c r="C99" s="77">
        <v>51.425336040605991</v>
      </c>
      <c r="D99" s="77">
        <v>0.78675626946402843</v>
      </c>
      <c r="E99" s="77">
        <v>0.78675626946402843</v>
      </c>
      <c r="F99" s="77">
        <v>18.786825074857539</v>
      </c>
      <c r="G99" s="77">
        <v>56.888472592503803</v>
      </c>
      <c r="H99" s="77">
        <v>0.223343986824176</v>
      </c>
      <c r="I99" s="77">
        <v>0.223343986824176</v>
      </c>
      <c r="J99" s="77">
        <v>21.487959539211854</v>
      </c>
    </row>
    <row r="100" spans="1:10" ht="12.75" customHeight="1">
      <c r="A100" s="69"/>
      <c r="B100" s="64" t="s">
        <v>4</v>
      </c>
      <c r="C100" s="77">
        <v>51.446244048428646</v>
      </c>
      <c r="D100" s="77">
        <v>4.0657017401191098E-2</v>
      </c>
      <c r="E100" s="77">
        <v>0.8277331584986225</v>
      </c>
      <c r="F100" s="77">
        <v>6.8154193436360533</v>
      </c>
      <c r="G100" s="77">
        <v>57.01584181699252</v>
      </c>
      <c r="H100" s="77">
        <v>0.22389285330453035</v>
      </c>
      <c r="I100" s="77">
        <v>0.4477368913534896</v>
      </c>
      <c r="J100" s="77">
        <v>11.290399000257079</v>
      </c>
    </row>
    <row r="101" spans="1:10" ht="12.75" customHeight="1">
      <c r="A101" s="69"/>
      <c r="B101" s="64" t="s">
        <v>5</v>
      </c>
      <c r="C101" s="77">
        <v>51.408609634347862</v>
      </c>
      <c r="D101" s="77">
        <v>-7.3152889539140897E-2</v>
      </c>
      <c r="E101" s="77">
        <v>0.75397475823635318</v>
      </c>
      <c r="F101" s="77">
        <v>4.2925008483203353</v>
      </c>
      <c r="G101" s="77">
        <v>56.917394121851068</v>
      </c>
      <c r="H101" s="77">
        <v>-0.17266726580560388</v>
      </c>
      <c r="I101" s="77">
        <v>0.2742965304995737</v>
      </c>
      <c r="J101" s="77">
        <v>8.2704369623379126</v>
      </c>
    </row>
    <row r="102" spans="1:10" ht="12.75" customHeight="1">
      <c r="A102" s="69"/>
      <c r="B102" s="64" t="s">
        <v>6</v>
      </c>
      <c r="C102" s="77">
        <v>51.569601294582313</v>
      </c>
      <c r="D102" s="77">
        <v>0.31316089149178161</v>
      </c>
      <c r="E102" s="77">
        <v>1.0694968038026609</v>
      </c>
      <c r="F102" s="77">
        <v>3.8963774220724279</v>
      </c>
      <c r="G102" s="77">
        <v>56.938541747317061</v>
      </c>
      <c r="H102" s="77">
        <v>3.7154943215989E-2</v>
      </c>
      <c r="I102" s="77">
        <v>0.31155338843571467</v>
      </c>
      <c r="J102" s="77">
        <v>6.6529208436238108</v>
      </c>
    </row>
    <row r="103" spans="1:10" ht="12.75" customHeight="1">
      <c r="A103" s="69"/>
      <c r="B103" s="64" t="s">
        <v>7</v>
      </c>
      <c r="C103" s="77">
        <v>51.414882036694657</v>
      </c>
      <c r="D103" s="77">
        <v>-0.30002027163996692</v>
      </c>
      <c r="E103" s="77">
        <v>0.7662678249467314</v>
      </c>
      <c r="F103" s="77">
        <v>0.93170251190279885</v>
      </c>
      <c r="G103" s="77">
        <v>56.88820308923394</v>
      </c>
      <c r="H103" s="77">
        <v>-8.8408758879909843E-2</v>
      </c>
      <c r="I103" s="77">
        <v>0.22286918907183928</v>
      </c>
      <c r="J103" s="77">
        <v>3.3452081070043826</v>
      </c>
    </row>
    <row r="104" spans="1:10" ht="12.75" customHeight="1">
      <c r="A104" s="69"/>
      <c r="B104" s="64" t="s">
        <v>8</v>
      </c>
      <c r="C104" s="77">
        <v>51.444153247646376</v>
      </c>
      <c r="D104" s="77">
        <v>5.6931397665804795E-2</v>
      </c>
      <c r="E104" s="77">
        <v>0.82363546959514089</v>
      </c>
      <c r="F104" s="77">
        <v>-0.98193086240895289</v>
      </c>
      <c r="G104" s="77">
        <v>56.84358178066752</v>
      </c>
      <c r="H104" s="77">
        <v>-7.8436839526163649E-2</v>
      </c>
      <c r="I104" s="77">
        <v>0.14425753799749419</v>
      </c>
      <c r="J104" s="77">
        <v>1.9584802290458114</v>
      </c>
    </row>
    <row r="105" spans="1:10" ht="12.75" customHeight="1">
      <c r="A105" s="69"/>
      <c r="B105" s="64" t="s">
        <v>9</v>
      </c>
      <c r="C105" s="77">
        <v>51.751500962639433</v>
      </c>
      <c r="D105" s="77">
        <v>0.59743954480797612</v>
      </c>
      <c r="E105" s="77">
        <v>1.4259957384035626</v>
      </c>
      <c r="F105" s="77">
        <v>-0.99992000639947953</v>
      </c>
      <c r="G105" s="77">
        <v>56.855331899031697</v>
      </c>
      <c r="H105" s="77">
        <v>2.067096758524567E-2</v>
      </c>
      <c r="I105" s="77">
        <v>0.16495832501166596</v>
      </c>
      <c r="J105" s="77">
        <v>1.3669393898697146</v>
      </c>
    </row>
    <row r="106" spans="1:10" ht="12.75" customHeight="1">
      <c r="A106" s="69"/>
      <c r="B106" s="64" t="s">
        <v>49</v>
      </c>
      <c r="C106" s="77">
        <v>52.443556021569357</v>
      </c>
      <c r="D106" s="77">
        <v>1.3372656755009649</v>
      </c>
      <c r="E106" s="77">
        <v>2.7823307654482932</v>
      </c>
      <c r="F106" s="77">
        <v>-0.21879226668789498</v>
      </c>
      <c r="G106" s="77">
        <v>57.113386205890556</v>
      </c>
      <c r="H106" s="77">
        <v>0.45387881530114527</v>
      </c>
      <c r="I106" s="77">
        <v>0.61958585120411858</v>
      </c>
      <c r="J106" s="77">
        <v>0.61888613716840624</v>
      </c>
    </row>
    <row r="107" spans="1:10" ht="12.75" customHeight="1">
      <c r="A107" s="69"/>
      <c r="B107" s="64" t="s">
        <v>11</v>
      </c>
      <c r="C107" s="77">
        <v>54.153831061462661</v>
      </c>
      <c r="D107" s="77">
        <v>3.2611729059522476</v>
      </c>
      <c r="E107" s="77">
        <v>6.1342402884772884</v>
      </c>
      <c r="F107" s="77">
        <v>4.2167947531485117</v>
      </c>
      <c r="G107" s="77">
        <v>57.937302543858699</v>
      </c>
      <c r="H107" s="77">
        <v>1.4425975987450101</v>
      </c>
      <c r="I107" s="77">
        <v>2.071121580560753</v>
      </c>
      <c r="J107" s="77">
        <v>1.3538741289180756</v>
      </c>
    </row>
    <row r="108" spans="1:10" ht="12.75" customHeight="1">
      <c r="A108" s="69"/>
      <c r="B108" s="64" t="s">
        <v>12</v>
      </c>
      <c r="C108" s="77">
        <v>54.755981686755163</v>
      </c>
      <c r="D108" s="77">
        <v>1.1119261804563463</v>
      </c>
      <c r="E108" s="77">
        <v>7.3143746926733089</v>
      </c>
      <c r="F108" s="77">
        <v>3.9741146577735309</v>
      </c>
      <c r="G108" s="77">
        <v>58.412441622807691</v>
      </c>
      <c r="H108" s="77">
        <v>0.82009182010036596</v>
      </c>
      <c r="I108" s="77">
        <v>2.9081984993276411</v>
      </c>
      <c r="J108" s="77">
        <v>0.46437370377787612</v>
      </c>
    </row>
    <row r="109" spans="1:10" ht="12.75" customHeight="1">
      <c r="A109" s="69"/>
      <c r="B109" s="64" t="s">
        <v>13</v>
      </c>
      <c r="C109" s="77">
        <v>54.29600551465672</v>
      </c>
      <c r="D109" s="77">
        <v>-0.84004734812326287</v>
      </c>
      <c r="E109" s="77">
        <v>6.4128831339124615</v>
      </c>
      <c r="F109" s="77">
        <v>4.8320684643952783</v>
      </c>
      <c r="G109" s="77">
        <v>58.662755556958665</v>
      </c>
      <c r="H109" s="77">
        <v>0.428528455919297</v>
      </c>
      <c r="I109" s="77">
        <v>3.3491894133711675</v>
      </c>
      <c r="J109" s="77">
        <v>2.0873534918611547</v>
      </c>
    </row>
    <row r="110" spans="1:10" ht="12.75" customHeight="1">
      <c r="A110" s="69"/>
      <c r="B110" s="64" t="s">
        <v>14</v>
      </c>
      <c r="C110" s="77">
        <v>54.818705710223135</v>
      </c>
      <c r="D110" s="77">
        <v>0.9626862797951441</v>
      </c>
      <c r="E110" s="77">
        <v>7.4373053597770689</v>
      </c>
      <c r="F110" s="77">
        <v>7.4373053597770689</v>
      </c>
      <c r="G110" s="77">
        <v>58.939673799936976</v>
      </c>
      <c r="H110" s="77">
        <v>0.47205120241826659</v>
      </c>
      <c r="I110" s="77">
        <v>3.8370505046865233</v>
      </c>
      <c r="J110" s="77">
        <v>3.8370505046865233</v>
      </c>
    </row>
    <row r="111" spans="1:10" ht="12.75" customHeight="1">
      <c r="A111" s="69"/>
      <c r="C111" s="77"/>
      <c r="D111" s="77"/>
      <c r="E111" s="77"/>
      <c r="F111" s="77"/>
      <c r="G111" s="77"/>
      <c r="H111" s="77"/>
      <c r="I111" s="77"/>
      <c r="J111" s="77"/>
    </row>
    <row r="112" spans="1:10" ht="12.75" customHeight="1">
      <c r="A112" s="69">
        <v>2006</v>
      </c>
      <c r="B112" s="64" t="s">
        <v>3</v>
      </c>
      <c r="C112" s="77">
        <v>55.667570827822992</v>
      </c>
      <c r="D112" s="77">
        <v>1.5484953659559819</v>
      </c>
      <c r="E112" s="77">
        <v>1.5484953659559819</v>
      </c>
      <c r="F112" s="77">
        <v>8.2493088307041607</v>
      </c>
      <c r="G112" s="77">
        <v>59.302890170011935</v>
      </c>
      <c r="H112" s="77">
        <v>0.61625106936942231</v>
      </c>
      <c r="I112" s="77">
        <v>0.61625106936942231</v>
      </c>
      <c r="J112" s="77">
        <v>4.2441244552350321</v>
      </c>
    </row>
    <row r="113" spans="1:10" ht="12.75" customHeight="1">
      <c r="A113" s="69"/>
      <c r="B113" s="64" t="s">
        <v>4</v>
      </c>
      <c r="C113" s="77">
        <v>55.600665202790502</v>
      </c>
      <c r="D113" s="77">
        <v>-0.12018779342720665</v>
      </c>
      <c r="E113" s="77">
        <v>1.4264464701171153</v>
      </c>
      <c r="F113" s="77">
        <v>8.0752661952369529</v>
      </c>
      <c r="G113" s="77">
        <v>59.549385507933351</v>
      </c>
      <c r="H113" s="77">
        <v>0.4156548478746247</v>
      </c>
      <c r="I113" s="77">
        <v>1.0344673946889538</v>
      </c>
      <c r="J113" s="77">
        <v>4.4435785041513798</v>
      </c>
    </row>
    <row r="114" spans="1:10" ht="12.75" customHeight="1">
      <c r="A114" s="69"/>
      <c r="B114" s="64" t="s">
        <v>5</v>
      </c>
      <c r="C114" s="77">
        <v>55.652935222347139</v>
      </c>
      <c r="D114" s="77">
        <v>9.4009701801223144E-2</v>
      </c>
      <c r="E114" s="77">
        <v>1.5217971699912347</v>
      </c>
      <c r="F114" s="77">
        <v>8.256059866601607</v>
      </c>
      <c r="G114" s="77">
        <v>59.568615636906344</v>
      </c>
      <c r="H114" s="77">
        <v>3.2292741241524148E-2</v>
      </c>
      <c r="I114" s="77">
        <v>1.0670941938094591</v>
      </c>
      <c r="J114" s="77">
        <v>4.6580163339513314</v>
      </c>
    </row>
    <row r="115" spans="1:10" ht="12.75" customHeight="1">
      <c r="A115" s="69"/>
      <c r="B115" s="64" t="s">
        <v>6</v>
      </c>
      <c r="C115" s="77">
        <v>55.983281745945106</v>
      </c>
      <c r="D115" s="77">
        <v>0.59358328950334105</v>
      </c>
      <c r="E115" s="77">
        <v>2.1244135931957731</v>
      </c>
      <c r="F115" s="77">
        <v>8.5586863977295877</v>
      </c>
      <c r="G115" s="77">
        <v>59.670328190620104</v>
      </c>
      <c r="H115" s="77">
        <v>0.17074856050665055</v>
      </c>
      <c r="I115" s="77">
        <v>1.2396648022912959</v>
      </c>
      <c r="J115" s="77">
        <v>4.797780834335752</v>
      </c>
    </row>
    <row r="116" spans="1:10" ht="12.75" customHeight="1">
      <c r="A116" s="69"/>
      <c r="B116" s="64" t="s">
        <v>7</v>
      </c>
      <c r="C116" s="77">
        <v>56.30317426563176</v>
      </c>
      <c r="D116" s="77">
        <v>0.5714072303555584</v>
      </c>
      <c r="E116" s="77">
        <v>2.7079598764255142</v>
      </c>
      <c r="F116" s="77">
        <v>9.507543410190733</v>
      </c>
      <c r="G116" s="77">
        <v>59.81495529058428</v>
      </c>
      <c r="H116" s="77">
        <v>0.24237691386941318</v>
      </c>
      <c r="I116" s="77">
        <v>1.4850463774508382</v>
      </c>
      <c r="J116" s="77">
        <v>5.1447436241912614</v>
      </c>
    </row>
    <row r="117" spans="1:10" ht="12.75" customHeight="1">
      <c r="A117" s="69"/>
      <c r="B117" s="64" t="s">
        <v>8</v>
      </c>
      <c r="C117" s="77">
        <v>56.729697625213937</v>
      </c>
      <c r="D117" s="77">
        <v>0.75754762523669861</v>
      </c>
      <c r="E117" s="77">
        <v>3.4860215873984357</v>
      </c>
      <c r="F117" s="77">
        <v>10.274334484860791</v>
      </c>
      <c r="G117" s="77">
        <v>59.915846320270134</v>
      </c>
      <c r="H117" s="77">
        <v>0.16867191356362277</v>
      </c>
      <c r="I117" s="77">
        <v>1.6562231471566102</v>
      </c>
      <c r="J117" s="77">
        <v>5.4047694451363482</v>
      </c>
    </row>
    <row r="118" spans="1:10" ht="12.75" customHeight="1">
      <c r="A118" s="69"/>
      <c r="B118" s="64" t="s">
        <v>9</v>
      </c>
      <c r="C118" s="77">
        <v>57.2377622153045</v>
      </c>
      <c r="D118" s="77">
        <v>0.89558839789187772</v>
      </c>
      <c r="E118" s="77">
        <v>4.4128303901750821</v>
      </c>
      <c r="F118" s="77">
        <v>10.601163542339997</v>
      </c>
      <c r="G118" s="77">
        <v>60.120526058919246</v>
      </c>
      <c r="H118" s="77">
        <v>0.34161202957065928</v>
      </c>
      <c r="I118" s="77">
        <v>2.0034930342344826</v>
      </c>
      <c r="J118" s="77">
        <v>5.7429867187938521</v>
      </c>
    </row>
    <row r="119" spans="1:10" ht="12.75" customHeight="1">
      <c r="A119" s="69"/>
      <c r="B119" s="64" t="s">
        <v>49</v>
      </c>
      <c r="C119" s="77">
        <v>57.346483855982299</v>
      </c>
      <c r="D119" s="77">
        <v>0.18994739918174464</v>
      </c>
      <c r="E119" s="77">
        <v>4.6111598459132486</v>
      </c>
      <c r="F119" s="77">
        <v>9.3489614479926431</v>
      </c>
      <c r="G119" s="77">
        <v>60.466768479501923</v>
      </c>
      <c r="H119" s="77">
        <v>0.57591382391324331</v>
      </c>
      <c r="I119" s="77">
        <v>2.5909452514930154</v>
      </c>
      <c r="J119" s="77">
        <v>5.8714471271631652</v>
      </c>
    </row>
    <row r="120" spans="1:10" ht="12.75" customHeight="1">
      <c r="A120" s="69"/>
      <c r="B120" s="64" t="s">
        <v>11</v>
      </c>
      <c r="C120" s="77">
        <v>56.715062019738085</v>
      </c>
      <c r="D120" s="77">
        <v>-1.1010646055125917</v>
      </c>
      <c r="E120" s="77">
        <v>3.4593233914336885</v>
      </c>
      <c r="F120" s="77">
        <v>4.7295471217327467</v>
      </c>
      <c r="G120" s="77">
        <v>61.10366202675381</v>
      </c>
      <c r="H120" s="77">
        <v>1.0532951623961617</v>
      </c>
      <c r="I120" s="77">
        <v>3.6715307148835086</v>
      </c>
      <c r="J120" s="77">
        <v>5.4651482617751546</v>
      </c>
    </row>
    <row r="121" spans="1:10" ht="12.75" customHeight="1">
      <c r="A121" s="69"/>
      <c r="B121" s="64" t="s">
        <v>12</v>
      </c>
      <c r="C121" s="77">
        <v>56.773604441641531</v>
      </c>
      <c r="D121" s="77">
        <v>0.10322200103223267</v>
      </c>
      <c r="E121" s="77">
        <v>3.5661161752927439</v>
      </c>
      <c r="F121" s="77">
        <v>3.6847531406315914</v>
      </c>
      <c r="G121" s="77">
        <v>61.415753385441739</v>
      </c>
      <c r="H121" s="77">
        <v>0.51075720887445719</v>
      </c>
      <c r="I121" s="77">
        <v>4.2010405315602739</v>
      </c>
      <c r="J121" s="77">
        <v>5.1415617618377096</v>
      </c>
    </row>
    <row r="122" spans="1:10" ht="12.75" customHeight="1">
      <c r="A122" s="69"/>
      <c r="B122" s="64" t="s">
        <v>13</v>
      </c>
      <c r="C122" s="77">
        <v>57.137403777755743</v>
      </c>
      <c r="D122" s="77">
        <v>0.64078957059732211</v>
      </c>
      <c r="E122" s="77">
        <v>4.2297570464167267</v>
      </c>
      <c r="F122" s="77">
        <v>5.2331626169663803</v>
      </c>
      <c r="G122" s="77">
        <v>61.605906089929839</v>
      </c>
      <c r="H122" s="77">
        <v>0.30961552045891683</v>
      </c>
      <c r="I122" s="77">
        <v>4.5236631255256787</v>
      </c>
      <c r="J122" s="77">
        <v>5.0170683341213218</v>
      </c>
    </row>
    <row r="123" spans="1:10" ht="12.75" customHeight="1">
      <c r="A123" s="69"/>
      <c r="B123" s="64" t="s">
        <v>14</v>
      </c>
      <c r="C123" s="77">
        <v>57.559745535773409</v>
      </c>
      <c r="D123" s="77">
        <v>0.73916861826699432</v>
      </c>
      <c r="E123" s="77">
        <v>5.0001907013997648</v>
      </c>
      <c r="F123" s="77">
        <v>5.0001907013997648</v>
      </c>
      <c r="G123" s="77">
        <v>61.996919311062037</v>
      </c>
      <c r="H123" s="77">
        <v>0.63470086871446618</v>
      </c>
      <c r="I123" s="77">
        <v>5.1870757233955622</v>
      </c>
      <c r="J123" s="77">
        <v>5.1870757233955622</v>
      </c>
    </row>
    <row r="124" spans="1:10" ht="12.75" customHeight="1">
      <c r="A124" s="69"/>
      <c r="C124" s="77"/>
      <c r="D124" s="77"/>
      <c r="E124" s="77"/>
      <c r="F124" s="77"/>
      <c r="G124" s="77"/>
      <c r="H124" s="77"/>
      <c r="I124" s="77"/>
      <c r="J124" s="77"/>
    </row>
    <row r="125" spans="1:10" ht="12.75" customHeight="1">
      <c r="A125" s="69">
        <v>2007</v>
      </c>
      <c r="B125" s="64" t="s">
        <v>3</v>
      </c>
      <c r="C125" s="77">
        <v>58.097081336815677</v>
      </c>
      <c r="D125" s="77">
        <v>0.93352706138756236</v>
      </c>
      <c r="E125" s="77">
        <v>0.93352706138756236</v>
      </c>
      <c r="F125" s="77">
        <v>4.3643192488262761</v>
      </c>
      <c r="G125" s="77">
        <v>62.498677716495166</v>
      </c>
      <c r="H125" s="77">
        <v>0.80932796501649307</v>
      </c>
      <c r="I125" s="77">
        <v>0.80932796501649307</v>
      </c>
      <c r="J125" s="77">
        <v>5.3889237730596617</v>
      </c>
    </row>
    <row r="126" spans="1:10" ht="12.75" customHeight="1">
      <c r="A126" s="69"/>
      <c r="B126" s="64" t="s">
        <v>4</v>
      </c>
      <c r="C126" s="77">
        <v>58.274799403308265</v>
      </c>
      <c r="D126" s="77">
        <v>0.30589844171735603</v>
      </c>
      <c r="E126" s="77">
        <v>1.2422811478387308</v>
      </c>
      <c r="F126" s="77">
        <v>4.8095363441507111</v>
      </c>
      <c r="G126" s="77">
        <v>62.535695852745029</v>
      </c>
      <c r="H126" s="77">
        <v>5.9230271107146848E-2</v>
      </c>
      <c r="I126" s="77">
        <v>0.86903760327146085</v>
      </c>
      <c r="J126" s="77">
        <v>5.0148466173741246</v>
      </c>
    </row>
    <row r="127" spans="1:10" ht="12.75" customHeight="1">
      <c r="A127" s="69"/>
      <c r="B127" s="64" t="s">
        <v>5</v>
      </c>
      <c r="C127" s="77">
        <v>58.734775575406708</v>
      </c>
      <c r="D127" s="77">
        <v>0.78932261768083212</v>
      </c>
      <c r="E127" s="77">
        <v>2.0414093715946269</v>
      </c>
      <c r="F127" s="77">
        <v>5.5376061311894098</v>
      </c>
      <c r="G127" s="77">
        <v>62.538065776865459</v>
      </c>
      <c r="H127" s="77">
        <v>3.7897141594411821E-3</v>
      </c>
      <c r="I127" s="77">
        <v>0.87286025147199631</v>
      </c>
      <c r="J127" s="77">
        <v>4.9849238700779175</v>
      </c>
    </row>
    <row r="128" spans="1:10" ht="12.75" customHeight="1">
      <c r="A128" s="69"/>
      <c r="B128" s="64" t="s">
        <v>6</v>
      </c>
      <c r="C128" s="77">
        <v>59.211478153763274</v>
      </c>
      <c r="D128" s="77">
        <v>0.81161896625372432</v>
      </c>
      <c r="E128" s="77">
        <v>2.8695968034871067</v>
      </c>
      <c r="F128" s="77">
        <v>5.7663579324768399</v>
      </c>
      <c r="G128" s="77">
        <v>62.582376122191988</v>
      </c>
      <c r="H128" s="77">
        <v>7.0853399087567048E-2</v>
      </c>
      <c r="I128" s="77">
        <v>0.94433210171700477</v>
      </c>
      <c r="J128" s="77">
        <v>4.88022777798236</v>
      </c>
    </row>
    <row r="129" spans="1:10" ht="12.75" customHeight="1">
      <c r="A129" s="69"/>
      <c r="B129" s="64" t="s">
        <v>7</v>
      </c>
      <c r="C129" s="77">
        <v>59.84080918922524</v>
      </c>
      <c r="D129" s="77">
        <v>1.0628531073446412</v>
      </c>
      <c r="E129" s="77">
        <v>3.9629495096258793</v>
      </c>
      <c r="F129" s="77">
        <v>6.2831891269634843</v>
      </c>
      <c r="G129" s="77">
        <v>62.653613739756914</v>
      </c>
      <c r="H129" s="77">
        <v>0.11383015791193163</v>
      </c>
      <c r="I129" s="77">
        <v>1.0592371943515255</v>
      </c>
      <c r="J129" s="77">
        <v>4.745733630297444</v>
      </c>
    </row>
    <row r="130" spans="1:10" ht="12.75" customHeight="1">
      <c r="A130" s="69"/>
      <c r="B130" s="64" t="s">
        <v>8</v>
      </c>
      <c r="C130" s="77">
        <v>60.081251279185786</v>
      </c>
      <c r="D130" s="77">
        <v>0.40180287201703191</v>
      </c>
      <c r="E130" s="77">
        <v>4.38067562658917</v>
      </c>
      <c r="F130" s="77">
        <v>5.9079349869163078</v>
      </c>
      <c r="G130" s="77">
        <v>62.740299008121525</v>
      </c>
      <c r="H130" s="77">
        <v>0.1383563743420746</v>
      </c>
      <c r="I130" s="77">
        <v>1.1990590908713905</v>
      </c>
      <c r="J130" s="77">
        <v>4.7140328666205544</v>
      </c>
    </row>
    <row r="131" spans="1:10" ht="12.75" customHeight="1">
      <c r="A131" s="69"/>
      <c r="B131" s="64" t="s">
        <v>9</v>
      </c>
      <c r="C131" s="77">
        <v>60.235970537073449</v>
      </c>
      <c r="D131" s="77">
        <v>0.25751670378619806</v>
      </c>
      <c r="E131" s="77">
        <v>4.6494733018525247</v>
      </c>
      <c r="F131" s="77">
        <v>5.2381648158971394</v>
      </c>
      <c r="G131" s="77">
        <v>62.903585894642411</v>
      </c>
      <c r="H131" s="77">
        <v>0.26025838113992172</v>
      </c>
      <c r="I131" s="77">
        <v>1.4624381237901218</v>
      </c>
      <c r="J131" s="77">
        <v>4.6291342045073236</v>
      </c>
    </row>
    <row r="132" spans="1:10" ht="12.75" customHeight="1">
      <c r="A132" s="69"/>
      <c r="B132" s="64" t="s">
        <v>49</v>
      </c>
      <c r="C132" s="77">
        <v>59.849172392354305</v>
      </c>
      <c r="D132" s="77">
        <v>-0.64213814647691159</v>
      </c>
      <c r="E132" s="77">
        <v>3.9774791136941712</v>
      </c>
      <c r="F132" s="77">
        <v>4.3641534198629595</v>
      </c>
      <c r="G132" s="77">
        <v>63.072391880583659</v>
      </c>
      <c r="H132" s="77">
        <v>0.26835669785818528</v>
      </c>
      <c r="I132" s="77">
        <v>1.7347193723055376</v>
      </c>
      <c r="J132" s="77">
        <v>4.3091824924711197</v>
      </c>
    </row>
    <row r="133" spans="1:10" ht="12.75" customHeight="1">
      <c r="A133" s="69"/>
      <c r="B133" s="64" t="s">
        <v>11</v>
      </c>
      <c r="C133" s="77">
        <v>60.578861865365013</v>
      </c>
      <c r="D133" s="77">
        <v>1.2192139737991159</v>
      </c>
      <c r="E133" s="77">
        <v>5.2451870686523794</v>
      </c>
      <c r="F133" s="77">
        <v>6.8126520681265346</v>
      </c>
      <c r="G133" s="77">
        <v>63.736362211176797</v>
      </c>
      <c r="H133" s="77">
        <v>1.0527115125905651</v>
      </c>
      <c r="I133" s="77">
        <v>2.8056924754394919</v>
      </c>
      <c r="J133" s="77">
        <v>4.3085800377566263</v>
      </c>
    </row>
    <row r="134" spans="1:10" ht="12.75" customHeight="1">
      <c r="A134" s="69"/>
      <c r="B134" s="64" t="s">
        <v>12</v>
      </c>
      <c r="C134" s="77">
        <v>60.867392373317671</v>
      </c>
      <c r="D134" s="77">
        <v>0.47628908676744519</v>
      </c>
      <c r="E134" s="77">
        <v>5.7464584090083592</v>
      </c>
      <c r="F134" s="77">
        <v>7.2107240185607768</v>
      </c>
      <c r="G134" s="77">
        <v>63.898713051801387</v>
      </c>
      <c r="H134" s="77">
        <v>0.25472247707936102</v>
      </c>
      <c r="I134" s="77">
        <v>3.0675616818915286</v>
      </c>
      <c r="J134" s="77">
        <v>4.0428709728214773</v>
      </c>
    </row>
    <row r="135" spans="1:10" ht="12.75" customHeight="1">
      <c r="A135" s="69"/>
      <c r="B135" s="64" t="s">
        <v>13</v>
      </c>
      <c r="C135" s="77">
        <v>61.962971983224875</v>
      </c>
      <c r="D135" s="77">
        <v>1.799945039846107</v>
      </c>
      <c r="E135" s="77">
        <v>7.6498365419542358</v>
      </c>
      <c r="F135" s="77">
        <v>8.4455503512880661</v>
      </c>
      <c r="G135" s="77">
        <v>64.055017847603551</v>
      </c>
      <c r="H135" s="77">
        <v>0.24461337065655453</v>
      </c>
      <c r="I135" s="77">
        <v>3.3196787185751253</v>
      </c>
      <c r="J135" s="77">
        <v>3.975449616954907</v>
      </c>
    </row>
    <row r="136" spans="1:10" ht="12.75" customHeight="1">
      <c r="A136" s="69"/>
      <c r="B136" s="64" t="s">
        <v>14</v>
      </c>
      <c r="C136" s="77">
        <v>62.669662647630666</v>
      </c>
      <c r="D136" s="77">
        <v>1.1405047914698319</v>
      </c>
      <c r="E136" s="77">
        <v>8.8775880857246747</v>
      </c>
      <c r="F136" s="77">
        <v>8.8775880857246747</v>
      </c>
      <c r="G136" s="77">
        <v>64.51515326377762</v>
      </c>
      <c r="H136" s="77">
        <v>0.71834406052122546</v>
      </c>
      <c r="I136" s="77">
        <v>4.0618694939996036</v>
      </c>
      <c r="J136" s="77">
        <v>4.0618694939996036</v>
      </c>
    </row>
    <row r="137" spans="1:10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</row>
    <row r="138" spans="1:10" ht="12.75" customHeight="1">
      <c r="A138" s="69">
        <v>2008</v>
      </c>
      <c r="B138" s="64" t="s">
        <v>3</v>
      </c>
      <c r="C138" s="77">
        <v>63.353354503431525</v>
      </c>
      <c r="D138" s="77">
        <v>1.0909454860879242</v>
      </c>
      <c r="E138" s="77">
        <v>1.0909454860879242</v>
      </c>
      <c r="F138" s="77">
        <v>9.0473962644401986</v>
      </c>
      <c r="G138" s="77">
        <v>65.217784014921776</v>
      </c>
      <c r="H138" s="77">
        <v>1.0890941361812567</v>
      </c>
      <c r="I138" s="77">
        <v>1.0890941361812567</v>
      </c>
      <c r="J138" s="77">
        <v>4.3506621224227215</v>
      </c>
    </row>
    <row r="139" spans="1:10" ht="12.75" customHeight="1">
      <c r="A139" s="69"/>
      <c r="B139" s="64" t="s">
        <v>4</v>
      </c>
      <c r="C139" s="77">
        <v>63.332446495608885</v>
      </c>
      <c r="D139" s="77">
        <v>-3.3002211148125404E-2</v>
      </c>
      <c r="E139" s="77">
        <v>1.0575832388069806</v>
      </c>
      <c r="F139" s="77">
        <v>8.6789609644087449</v>
      </c>
      <c r="G139" s="77">
        <v>65.4818552727248</v>
      </c>
      <c r="H139" s="77">
        <v>0.40490682379303866</v>
      </c>
      <c r="I139" s="77">
        <v>1.4984107764492327</v>
      </c>
      <c r="J139" s="77">
        <v>4.7111643674953241</v>
      </c>
    </row>
    <row r="140" spans="1:10" ht="12.75" customHeight="1">
      <c r="A140" s="69"/>
      <c r="B140" s="64" t="s">
        <v>5</v>
      </c>
      <c r="C140" s="77">
        <v>64.415481300822478</v>
      </c>
      <c r="D140" s="77">
        <v>1.7100789013237971</v>
      </c>
      <c r="E140" s="77">
        <v>2.7857476479615562</v>
      </c>
      <c r="F140" s="77">
        <v>9.671792681190361</v>
      </c>
      <c r="G140" s="77">
        <v>65.760133069855456</v>
      </c>
      <c r="H140" s="77">
        <v>0.42496932313793589</v>
      </c>
      <c r="I140" s="77">
        <v>1.9297478857216666</v>
      </c>
      <c r="J140" s="77">
        <v>5.1521697272925993</v>
      </c>
    </row>
    <row r="141" spans="1:10" ht="12.75" customHeight="1">
      <c r="A141" s="69"/>
      <c r="B141" s="64" t="s">
        <v>6</v>
      </c>
      <c r="C141" s="77">
        <v>65.626054953754291</v>
      </c>
      <c r="D141" s="77">
        <v>1.8793209776364117</v>
      </c>
      <c r="E141" s="77">
        <v>4.7174217655301165</v>
      </c>
      <c r="F141" s="77">
        <v>10.833333333333318</v>
      </c>
      <c r="G141" s="77">
        <v>66.671984403270244</v>
      </c>
      <c r="H141" s="77">
        <v>1.3866324334322</v>
      </c>
      <c r="I141" s="77">
        <v>3.3431388292207487</v>
      </c>
      <c r="J141" s="77">
        <v>6.5347603182936087</v>
      </c>
    </row>
    <row r="142" spans="1:10" ht="12.75" customHeight="1">
      <c r="A142" s="69"/>
      <c r="B142" s="64" t="s">
        <v>7</v>
      </c>
      <c r="C142" s="77">
        <v>65.845589035892203</v>
      </c>
      <c r="D142" s="77">
        <v>0.33452274754686151</v>
      </c>
      <c r="E142" s="77">
        <v>5.0677253619803908</v>
      </c>
      <c r="F142" s="77">
        <v>10.034589986373653</v>
      </c>
      <c r="G142" s="77">
        <v>66.813337511358228</v>
      </c>
      <c r="H142" s="77">
        <v>0.21201275071249803</v>
      </c>
      <c r="I142" s="77">
        <v>3.5622394605252072</v>
      </c>
      <c r="J142" s="77">
        <v>6.6392399788453904</v>
      </c>
    </row>
    <row r="143" spans="1:10" ht="12.75" customHeight="1">
      <c r="A143" s="69"/>
      <c r="B143" s="64" t="s">
        <v>8</v>
      </c>
      <c r="C143" s="77">
        <v>67.413689622591434</v>
      </c>
      <c r="D143" s="77">
        <v>2.3814815990854887</v>
      </c>
      <c r="E143" s="77">
        <v>7.5698939080536487</v>
      </c>
      <c r="F143" s="77">
        <v>12.204203786191536</v>
      </c>
      <c r="G143" s="77">
        <v>67.191551254624926</v>
      </c>
      <c r="H143" s="77">
        <v>0.56607521395319882</v>
      </c>
      <c r="I143" s="77">
        <v>4.1484796291261228</v>
      </c>
      <c r="J143" s="77">
        <v>7.0947259048402156</v>
      </c>
    </row>
    <row r="144" spans="1:10" ht="12.75" customHeight="1">
      <c r="A144" s="69"/>
      <c r="B144" s="64" t="s">
        <v>9</v>
      </c>
      <c r="C144" s="77">
        <v>68.505087630934099</v>
      </c>
      <c r="D144" s="77">
        <v>1.6189560524765056</v>
      </c>
      <c r="E144" s="77">
        <v>9.3114032161206275</v>
      </c>
      <c r="F144" s="77">
        <v>13.727872266574103</v>
      </c>
      <c r="G144" s="77">
        <v>67.661003675509164</v>
      </c>
      <c r="H144" s="77">
        <v>0.69867775355449968</v>
      </c>
      <c r="I144" s="77">
        <v>4.8761418869600615</v>
      </c>
      <c r="J144" s="77">
        <v>7.5630311264527572</v>
      </c>
    </row>
    <row r="145" spans="1:10" ht="12.75" customHeight="1">
      <c r="A145" s="69"/>
      <c r="B145" s="64" t="s">
        <v>49</v>
      </c>
      <c r="C145" s="77">
        <v>68.567811654402064</v>
      </c>
      <c r="D145" s="77">
        <v>9.1561117045624307E-2</v>
      </c>
      <c r="E145" s="77">
        <v>9.411489957963548</v>
      </c>
      <c r="F145" s="77">
        <v>14.567685589519641</v>
      </c>
      <c r="G145" s="77">
        <v>68.579983883012176</v>
      </c>
      <c r="H145" s="77">
        <v>1.3582124969802267</v>
      </c>
      <c r="I145" s="77">
        <v>6.3005827524194702</v>
      </c>
      <c r="J145" s="77">
        <v>8.7321755814432365</v>
      </c>
    </row>
    <row r="146" spans="1:10" ht="12.75" customHeight="1">
      <c r="A146" s="69"/>
      <c r="B146" s="64" t="s">
        <v>11</v>
      </c>
      <c r="C146" s="77">
        <v>69.410404369655126</v>
      </c>
      <c r="D146" s="77">
        <v>1.2288458606494856</v>
      </c>
      <c r="E146" s="77">
        <v>10.755988523386929</v>
      </c>
      <c r="F146" s="77">
        <v>14.578587699316614</v>
      </c>
      <c r="G146" s="77">
        <v>69.453241488769748</v>
      </c>
      <c r="H146" s="77">
        <v>1.2733418066227964</v>
      </c>
      <c r="I146" s="77">
        <v>7.6541525132896915</v>
      </c>
      <c r="J146" s="77">
        <v>8.9695725944497706</v>
      </c>
    </row>
    <row r="147" spans="1:10" ht="12.75" customHeight="1">
      <c r="A147" s="69"/>
      <c r="B147" s="64" t="s">
        <v>12</v>
      </c>
      <c r="C147" s="77">
        <v>68.684896498208943</v>
      </c>
      <c r="D147" s="77">
        <v>-1.045243689378883</v>
      </c>
      <c r="E147" s="77">
        <v>9.5983185427370277</v>
      </c>
      <c r="F147" s="77">
        <v>12.84350096180269</v>
      </c>
      <c r="G147" s="77">
        <v>69.747239916317838</v>
      </c>
      <c r="H147" s="77">
        <v>0.42330411258864054</v>
      </c>
      <c r="I147" s="77">
        <v>8.1098569682509059</v>
      </c>
      <c r="J147" s="77">
        <v>9.1528085390001124</v>
      </c>
    </row>
    <row r="148" spans="1:10" ht="12.75" customHeight="1">
      <c r="A148" s="69"/>
      <c r="B148" s="64" t="s">
        <v>13</v>
      </c>
      <c r="C148" s="77">
        <v>66.433104055708839</v>
      </c>
      <c r="D148" s="77">
        <v>-3.2784390125110252</v>
      </c>
      <c r="E148" s="77">
        <v>6.0052045105758234</v>
      </c>
      <c r="F148" s="77">
        <v>7.2141989472263468</v>
      </c>
      <c r="G148" s="77">
        <v>69.871253463768511</v>
      </c>
      <c r="H148" s="77">
        <v>0.17780423655395783</v>
      </c>
      <c r="I148" s="77">
        <v>8.3020808740728924</v>
      </c>
      <c r="J148" s="77">
        <v>9.080062439452675</v>
      </c>
    </row>
    <row r="149" spans="1:10" ht="12.75" customHeight="1">
      <c r="A149" s="69"/>
      <c r="B149" s="64" t="s">
        <v>14</v>
      </c>
      <c r="C149" s="77">
        <v>65.500606906818362</v>
      </c>
      <c r="D149" s="77">
        <v>-1.4036633725687642</v>
      </c>
      <c r="E149" s="77">
        <v>4.5172482818442772</v>
      </c>
      <c r="F149" s="77">
        <v>4.5172482818442772</v>
      </c>
      <c r="G149" s="77">
        <v>70.035348714033688</v>
      </c>
      <c r="H149" s="77">
        <v>0.23485373759648542</v>
      </c>
      <c r="I149" s="77">
        <v>8.5564323589004232</v>
      </c>
      <c r="J149" s="77">
        <v>8.5564323589004232</v>
      </c>
    </row>
    <row r="150" spans="1:10" ht="12.75" customHeight="1">
      <c r="A150" s="69"/>
      <c r="C150" s="77"/>
      <c r="D150" s="77"/>
      <c r="E150" s="77"/>
      <c r="F150" s="77"/>
      <c r="G150" s="77"/>
      <c r="H150" s="77"/>
      <c r="I150" s="77"/>
      <c r="J150" s="77"/>
    </row>
    <row r="151" spans="1:10" ht="12.75" customHeight="1">
      <c r="A151" s="69">
        <v>2009</v>
      </c>
      <c r="B151" s="64" t="s">
        <v>3</v>
      </c>
      <c r="C151" s="77">
        <v>65.684597375657745</v>
      </c>
      <c r="D151" s="77">
        <v>0.28089887640450062</v>
      </c>
      <c r="E151" s="77">
        <v>0.28089887640450062</v>
      </c>
      <c r="F151" s="77">
        <v>3.679746543018414</v>
      </c>
      <c r="G151" s="77">
        <v>70.377025633786005</v>
      </c>
      <c r="H151" s="77">
        <v>0.48786352324372562</v>
      </c>
      <c r="I151" s="77">
        <v>0.48786352324372562</v>
      </c>
      <c r="J151" s="77">
        <v>7.9107895136145689</v>
      </c>
    </row>
    <row r="152" spans="1:10" ht="12.75" customHeight="1">
      <c r="A152" s="69"/>
      <c r="B152" s="64" t="s">
        <v>4</v>
      </c>
      <c r="C152" s="77">
        <v>65.885314250755243</v>
      </c>
      <c r="D152" s="77">
        <v>0.30557677616500634</v>
      </c>
      <c r="E152" s="77">
        <v>0.5873340143003114</v>
      </c>
      <c r="F152" s="77">
        <v>4.0309002674061567</v>
      </c>
      <c r="G152" s="77">
        <v>70.56460702304885</v>
      </c>
      <c r="H152" s="77">
        <v>0.26653781908736462</v>
      </c>
      <c r="I152" s="77">
        <v>0.75570168312606434</v>
      </c>
      <c r="J152" s="77">
        <v>7.7620765770226585</v>
      </c>
    </row>
    <row r="153" spans="1:10" ht="12.75" customHeight="1">
      <c r="A153" s="69"/>
      <c r="B153" s="64" t="s">
        <v>5</v>
      </c>
      <c r="C153" s="77">
        <v>65.987763489086248</v>
      </c>
      <c r="D153" s="77">
        <v>0.15549631886264681</v>
      </c>
      <c r="E153" s="77">
        <v>0.74374361593461114</v>
      </c>
      <c r="F153" s="77">
        <v>2.44084520756922</v>
      </c>
      <c r="G153" s="77">
        <v>70.720550188467797</v>
      </c>
      <c r="H153" s="77">
        <v>0.22099345833246353</v>
      </c>
      <c r="I153" s="77">
        <v>0.97836519274274725</v>
      </c>
      <c r="J153" s="77">
        <v>7.5431981157078942</v>
      </c>
    </row>
    <row r="154" spans="1:10" ht="12.75" customHeight="1">
      <c r="A154" s="69"/>
      <c r="B154" s="64" t="s">
        <v>6</v>
      </c>
      <c r="C154" s="77">
        <v>66.081849524288216</v>
      </c>
      <c r="D154" s="77">
        <v>0.14258103355409002</v>
      </c>
      <c r="E154" s="77">
        <v>0.88738508682328909</v>
      </c>
      <c r="F154" s="77">
        <v>0.69453294252581621</v>
      </c>
      <c r="G154" s="77">
        <v>70.872803538184968</v>
      </c>
      <c r="H154" s="77">
        <v>0.21528869516911353</v>
      </c>
      <c r="I154" s="77">
        <v>1.1957601975693066</v>
      </c>
      <c r="J154" s="77">
        <v>6.3007261183434471</v>
      </c>
    </row>
    <row r="155" spans="1:10" ht="12.75" customHeight="1">
      <c r="A155" s="69"/>
      <c r="B155" s="64" t="s">
        <v>7</v>
      </c>
      <c r="C155" s="77">
        <v>66.157118352449771</v>
      </c>
      <c r="D155" s="77">
        <v>0.11390242359043956</v>
      </c>
      <c r="E155" s="77">
        <v>1.0022982635342181</v>
      </c>
      <c r="F155" s="77">
        <v>0.47312101101830706</v>
      </c>
      <c r="G155" s="77">
        <v>70.929498235338443</v>
      </c>
      <c r="H155" s="77">
        <v>7.9994997125987233E-2</v>
      </c>
      <c r="I155" s="77">
        <v>1.2767117430309671</v>
      </c>
      <c r="J155" s="77">
        <v>6.1606871880640179</v>
      </c>
    </row>
    <row r="156" spans="1:10" ht="12.75" customHeight="1">
      <c r="A156" s="69"/>
      <c r="B156" s="64" t="s">
        <v>8</v>
      </c>
      <c r="C156" s="77">
        <v>67.587226087519483</v>
      </c>
      <c r="D156" s="77">
        <v>2.1616838379369341</v>
      </c>
      <c r="E156" s="77">
        <v>3.18564862104187</v>
      </c>
      <c r="F156" s="77">
        <v>0.2574202152405114</v>
      </c>
      <c r="G156" s="77">
        <v>70.850334030652917</v>
      </c>
      <c r="H156" s="77">
        <v>-0.11160970633524725</v>
      </c>
      <c r="I156" s="77">
        <v>1.1636771024685633</v>
      </c>
      <c r="J156" s="77">
        <v>5.4453018388620045</v>
      </c>
    </row>
    <row r="157" spans="1:10" ht="12.75" customHeight="1">
      <c r="A157" s="69"/>
      <c r="B157" s="64" t="s">
        <v>9</v>
      </c>
      <c r="C157" s="77">
        <v>67.668767318027832</v>
      </c>
      <c r="D157" s="77">
        <v>0.12064591969311866</v>
      </c>
      <c r="E157" s="77">
        <v>3.3101378958120264</v>
      </c>
      <c r="F157" s="77">
        <v>-1.2208148939417129</v>
      </c>
      <c r="G157" s="77">
        <v>71.015344426431753</v>
      </c>
      <c r="H157" s="77">
        <v>0.23289995458235513</v>
      </c>
      <c r="I157" s="77">
        <v>1.3992872604940532</v>
      </c>
      <c r="J157" s="77">
        <v>4.9575687156658832</v>
      </c>
    </row>
    <row r="158" spans="1:10" ht="12.75" customHeight="1">
      <c r="A158" s="69"/>
      <c r="B158" s="64" t="s">
        <v>49</v>
      </c>
      <c r="C158" s="77">
        <v>68.245828333933162</v>
      </c>
      <c r="D158" s="77">
        <v>0.85277305731501496</v>
      </c>
      <c r="E158" s="77">
        <v>4.1911389172625046</v>
      </c>
      <c r="F158" s="77">
        <v>-0.4695837780149259</v>
      </c>
      <c r="G158" s="77">
        <v>71.235626405028697</v>
      </c>
      <c r="H158" s="77">
        <v>0.3101892701867337</v>
      </c>
      <c r="I158" s="77">
        <v>1.7138169696219396</v>
      </c>
      <c r="J158" s="77">
        <v>3.8723288803139244</v>
      </c>
    </row>
    <row r="159" spans="1:10" ht="12.75" customHeight="1">
      <c r="A159" s="69"/>
      <c r="B159" s="64" t="s">
        <v>11</v>
      </c>
      <c r="C159" s="77">
        <v>68.321097162094716</v>
      </c>
      <c r="D159" s="77">
        <v>0.11029073864157191</v>
      </c>
      <c r="E159" s="77">
        <v>4.3060520939734337</v>
      </c>
      <c r="F159" s="77">
        <v>-1.5693716488945131</v>
      </c>
      <c r="G159" s="77">
        <v>71.753257304177808</v>
      </c>
      <c r="H159" s="77">
        <v>0.72664609728563256</v>
      </c>
      <c r="I159" s="77">
        <v>2.452916451031939</v>
      </c>
      <c r="J159" s="77">
        <v>3.3116032687689145</v>
      </c>
    </row>
    <row r="160" spans="1:10" ht="12.75" customHeight="1">
      <c r="A160" s="69"/>
      <c r="B160" s="64" t="s">
        <v>12</v>
      </c>
      <c r="C160" s="77">
        <v>68.477907220764649</v>
      </c>
      <c r="D160" s="77">
        <v>0.22951923371179461</v>
      </c>
      <c r="E160" s="77">
        <v>4.5454545454545414</v>
      </c>
      <c r="F160" s="77">
        <v>-0.30136068917231418</v>
      </c>
      <c r="G160" s="77">
        <v>71.866648960274134</v>
      </c>
      <c r="H160" s="77">
        <v>0.15802997711398259</v>
      </c>
      <c r="I160" s="77">
        <v>2.6148227714521077</v>
      </c>
      <c r="J160" s="77">
        <v>3.0386995191482136</v>
      </c>
    </row>
    <row r="161" spans="1:10" ht="12.75" customHeight="1">
      <c r="A161" s="69"/>
      <c r="B161" s="64" t="s">
        <v>13</v>
      </c>
      <c r="C161" s="77">
        <v>69.209687494557627</v>
      </c>
      <c r="D161" s="77">
        <v>1.0686370297997128</v>
      </c>
      <c r="E161" s="77">
        <v>5.6626659856996886</v>
      </c>
      <c r="F161" s="77">
        <v>4.1795178447787462</v>
      </c>
      <c r="G161" s="77">
        <v>72.105193375595235</v>
      </c>
      <c r="H161" s="77">
        <v>0.33192644818176298</v>
      </c>
      <c r="I161" s="77">
        <v>2.9554285079854026</v>
      </c>
      <c r="J161" s="77">
        <v>3.1972231798949036</v>
      </c>
    </row>
    <row r="162" spans="1:10" ht="12.75" customHeight="1">
      <c r="A162" s="69"/>
      <c r="B162" s="64" t="s">
        <v>14</v>
      </c>
      <c r="C162" s="77">
        <v>69.276593119590117</v>
      </c>
      <c r="D162" s="77">
        <v>9.6670896018347108E-2</v>
      </c>
      <c r="E162" s="77">
        <v>5.7648110316649515</v>
      </c>
      <c r="F162" s="77">
        <v>5.7648110316649515</v>
      </c>
      <c r="G162" s="77">
        <v>72.257271890421237</v>
      </c>
      <c r="H162" s="77">
        <v>0.21091201299998641</v>
      </c>
      <c r="I162" s="77">
        <v>3.1725738747443666</v>
      </c>
      <c r="J162" s="77">
        <v>3.1725738747443666</v>
      </c>
    </row>
    <row r="163" spans="1:10" ht="12.75" customHeight="1">
      <c r="A163" s="69"/>
      <c r="C163" s="77"/>
      <c r="D163" s="77"/>
      <c r="E163" s="77"/>
      <c r="F163" s="77"/>
      <c r="G163" s="77"/>
      <c r="H163" s="77"/>
      <c r="I163" s="77"/>
      <c r="J163" s="77"/>
    </row>
    <row r="164" spans="1:10" ht="12.75" customHeight="1">
      <c r="A164" s="69">
        <v>2010</v>
      </c>
      <c r="B164" s="64" t="s">
        <v>3</v>
      </c>
      <c r="C164" s="77">
        <v>70.186091459875684</v>
      </c>
      <c r="D164" s="77">
        <v>1.3128508480714673</v>
      </c>
      <c r="E164" s="77">
        <v>1.3128508480714673</v>
      </c>
      <c r="F164" s="77">
        <v>6.8531958237840307</v>
      </c>
      <c r="G164" s="77">
        <v>72.39171348731216</v>
      </c>
      <c r="H164" s="77">
        <v>0.18605960808319999</v>
      </c>
      <c r="I164" s="77">
        <v>0.18605960808319999</v>
      </c>
      <c r="J164" s="77">
        <v>2.8627067361581604</v>
      </c>
    </row>
    <row r="165" spans="1:10" ht="12.75" customHeight="1">
      <c r="A165" s="69"/>
      <c r="B165" s="64" t="s">
        <v>4</v>
      </c>
      <c r="C165" s="77">
        <v>70.284359096642177</v>
      </c>
      <c r="D165" s="77">
        <v>0.14001012839228721</v>
      </c>
      <c r="E165" s="77">
        <v>1.454699100621748</v>
      </c>
      <c r="F165" s="77">
        <v>6.6768215283066867</v>
      </c>
      <c r="G165" s="77">
        <v>72.611596144086931</v>
      </c>
      <c r="H165" s="77">
        <v>0.30374009148617098</v>
      </c>
      <c r="I165" s="77">
        <v>0.49036483719318014</v>
      </c>
      <c r="J165" s="77">
        <v>2.9008722749202853</v>
      </c>
    </row>
    <row r="166" spans="1:10" ht="12.75" customHeight="1">
      <c r="A166" s="69"/>
      <c r="B166" s="64" t="s">
        <v>5</v>
      </c>
      <c r="C166" s="77">
        <v>70.888600522716956</v>
      </c>
      <c r="D166" s="77">
        <v>0.85970966206569965</v>
      </c>
      <c r="E166" s="77">
        <v>2.3269149514094645</v>
      </c>
      <c r="F166" s="77">
        <v>7.4268876144609086</v>
      </c>
      <c r="G166" s="77">
        <v>72.732227132416654</v>
      </c>
      <c r="H166" s="77">
        <v>0.16613185046965295</v>
      </c>
      <c r="I166" s="77">
        <v>0.65731133984090473</v>
      </c>
      <c r="J166" s="77">
        <v>2.8445436843856697</v>
      </c>
    </row>
    <row r="167" spans="1:10" ht="12.75" customHeight="1">
      <c r="A167" s="69"/>
      <c r="B167" s="64" t="s">
        <v>6</v>
      </c>
      <c r="C167" s="77">
        <v>71.141587417371085</v>
      </c>
      <c r="D167" s="77">
        <v>0.35687951629550518</v>
      </c>
      <c r="E167" s="77">
        <v>2.6920987505281602</v>
      </c>
      <c r="F167" s="77">
        <v>7.6567740302474041</v>
      </c>
      <c r="G167" s="77">
        <v>72.924306204133302</v>
      </c>
      <c r="H167" s="77">
        <v>0.26409073293871543</v>
      </c>
      <c r="I167" s="77">
        <v>0.92313797111469587</v>
      </c>
      <c r="J167" s="77">
        <v>2.8946260956687286</v>
      </c>
    </row>
    <row r="168" spans="1:10" ht="12.75" customHeight="1">
      <c r="A168" s="69"/>
      <c r="B168" s="64" t="s">
        <v>7</v>
      </c>
      <c r="C168" s="77">
        <v>71.384120308113907</v>
      </c>
      <c r="D168" s="77">
        <v>0.34091577029331521</v>
      </c>
      <c r="E168" s="77">
        <v>3.0421923100139026</v>
      </c>
      <c r="F168" s="77">
        <v>7.9008912205296822</v>
      </c>
      <c r="G168" s="77">
        <v>73.186802102198584</v>
      </c>
      <c r="H168" s="77">
        <v>0.35995666154229333</v>
      </c>
      <c r="I168" s="77">
        <v>1.286417529279249</v>
      </c>
      <c r="J168" s="77">
        <v>3.1824613496779453</v>
      </c>
    </row>
    <row r="169" spans="1:10" ht="12.75" customHeight="1">
      <c r="A169" s="69"/>
      <c r="B169" s="64" t="s">
        <v>8</v>
      </c>
      <c r="C169" s="77">
        <v>71.262853862742489</v>
      </c>
      <c r="D169" s="77">
        <v>-0.16987874172574857</v>
      </c>
      <c r="E169" s="77">
        <v>2.8671455302710314</v>
      </c>
      <c r="F169" s="77">
        <v>5.4383468415516667</v>
      </c>
      <c r="G169" s="77">
        <v>73.326215094608528</v>
      </c>
      <c r="H169" s="77">
        <v>0.19048925271425432</v>
      </c>
      <c r="I169" s="77">
        <v>1.4793572691318202</v>
      </c>
      <c r="J169" s="77">
        <v>3.494522782185383</v>
      </c>
    </row>
    <row r="170" spans="1:10" ht="12.75" customHeight="1">
      <c r="A170" s="69"/>
      <c r="B170" s="64" t="s">
        <v>9</v>
      </c>
      <c r="C170" s="77">
        <v>71.507477554267567</v>
      </c>
      <c r="D170" s="77">
        <v>0.34326956929937591</v>
      </c>
      <c r="E170" s="77">
        <v>3.2202571376833466</v>
      </c>
      <c r="F170" s="77">
        <v>5.6727946856171663</v>
      </c>
      <c r="G170" s="77">
        <v>73.412023444709519</v>
      </c>
      <c r="H170" s="77">
        <v>0.11702274553551106</v>
      </c>
      <c r="I170" s="77">
        <v>1.5981111991599573</v>
      </c>
      <c r="J170" s="77">
        <v>3.3748748775845216</v>
      </c>
    </row>
    <row r="171" spans="1:10" ht="12.75" customHeight="1">
      <c r="A171" s="69"/>
      <c r="B171" s="64" t="s">
        <v>49</v>
      </c>
      <c r="C171" s="77">
        <v>71.6642876129375</v>
      </c>
      <c r="D171" s="77">
        <v>0.21929183357212167</v>
      </c>
      <c r="E171" s="77">
        <v>3.4466107321784456</v>
      </c>
      <c r="F171" s="77">
        <v>5.0090377133053421</v>
      </c>
      <c r="G171" s="77">
        <v>73.754015031602634</v>
      </c>
      <c r="H171" s="77">
        <v>0.46585228256335043</v>
      </c>
      <c r="I171" s="77">
        <v>2.0714083192224786</v>
      </c>
      <c r="J171" s="77">
        <v>3.535293719823529</v>
      </c>
    </row>
    <row r="172" spans="1:10" ht="12.75" customHeight="1">
      <c r="A172" s="69"/>
      <c r="B172" s="64" t="s">
        <v>11</v>
      </c>
      <c r="C172" s="77">
        <v>72.216259019455634</v>
      </c>
      <c r="D172" s="77">
        <v>0.77021822849807631</v>
      </c>
      <c r="E172" s="77">
        <v>4.2433753848011291</v>
      </c>
      <c r="F172" s="77">
        <v>5.7012577654007579</v>
      </c>
      <c r="G172" s="77">
        <v>74.519812388630754</v>
      </c>
      <c r="H172" s="77">
        <v>1.0383127707691342</v>
      </c>
      <c r="I172" s="77">
        <v>3.1312287871048783</v>
      </c>
      <c r="J172" s="77">
        <v>3.8556508629634889</v>
      </c>
    </row>
    <row r="173" spans="1:10" ht="12.75" customHeight="1">
      <c r="A173" s="69"/>
      <c r="B173" s="64" t="s">
        <v>12</v>
      </c>
      <c r="C173" s="77">
        <v>72.703415601723535</v>
      </c>
      <c r="D173" s="77">
        <v>0.67458019687318682</v>
      </c>
      <c r="E173" s="77">
        <v>4.9465805516991868</v>
      </c>
      <c r="F173" s="77">
        <v>6.1706155349291691</v>
      </c>
      <c r="G173" s="77">
        <v>74.895637352255051</v>
      </c>
      <c r="H173" s="77">
        <v>0.50432891814637948</v>
      </c>
      <c r="I173" s="77">
        <v>3.6513493975179667</v>
      </c>
      <c r="J173" s="77">
        <v>4.2147344224373828</v>
      </c>
    </row>
    <row r="174" spans="1:10" ht="12.75" customHeight="1">
      <c r="A174" s="69"/>
      <c r="B174" s="64" t="s">
        <v>13</v>
      </c>
      <c r="C174" s="77">
        <v>72.929222086208213</v>
      </c>
      <c r="D174" s="77">
        <v>0.31058579932705666</v>
      </c>
      <c r="E174" s="77">
        <v>5.2725297277720795</v>
      </c>
      <c r="F174" s="77">
        <v>5.3742976255211072</v>
      </c>
      <c r="G174" s="77">
        <v>75.069704323644331</v>
      </c>
      <c r="H174" s="77">
        <v>0.23241269791269836</v>
      </c>
      <c r="I174" s="77">
        <v>3.8922482950756399</v>
      </c>
      <c r="J174" s="77">
        <v>4.1113695273057305</v>
      </c>
    </row>
    <row r="175" spans="1:10" ht="12.75" customHeight="1">
      <c r="A175" s="69"/>
      <c r="B175" s="64" t="s">
        <v>14</v>
      </c>
      <c r="C175" s="77">
        <v>73.598278336533227</v>
      </c>
      <c r="D175" s="77">
        <v>0.91740489091483024</v>
      </c>
      <c r="E175" s="77">
        <v>6.2383050642844218</v>
      </c>
      <c r="F175" s="77">
        <v>6.2383050642844218</v>
      </c>
      <c r="G175" s="77">
        <v>75.273894099401815</v>
      </c>
      <c r="H175" s="77">
        <v>0.2720002397733845</v>
      </c>
      <c r="I175" s="77">
        <v>4.1748354595442017</v>
      </c>
      <c r="J175" s="77">
        <v>4.1748354595442017</v>
      </c>
    </row>
    <row r="176" spans="1:10" ht="12.75" customHeight="1">
      <c r="A176" s="69"/>
      <c r="C176" s="77"/>
      <c r="D176" s="77"/>
      <c r="E176" s="77"/>
      <c r="F176" s="77"/>
      <c r="G176" s="77"/>
      <c r="H176" s="77"/>
      <c r="I176" s="77"/>
      <c r="J176" s="77"/>
    </row>
    <row r="177" spans="1:10" ht="12.75" customHeight="1">
      <c r="A177" s="69">
        <v>2011</v>
      </c>
      <c r="B177" s="64" t="s">
        <v>50</v>
      </c>
      <c r="C177" s="77">
        <v>74.513840919039694</v>
      </c>
      <c r="D177" s="77">
        <v>1.2440000000000007</v>
      </c>
      <c r="E177" s="77">
        <v>1.2440000000000007</v>
      </c>
      <c r="F177" s="77">
        <v>6.1661069439065797</v>
      </c>
      <c r="G177" s="77">
        <v>75.866826563222801</v>
      </c>
      <c r="H177" s="77">
        <v>0.78769999999999119</v>
      </c>
      <c r="I177" s="77">
        <v>0.78769999999999119</v>
      </c>
      <c r="J177" s="77">
        <v>4.8004293703031609</v>
      </c>
    </row>
    <row r="178" spans="1:10" ht="12.75" customHeight="1">
      <c r="A178" s="69"/>
      <c r="B178" s="64" t="s">
        <v>4</v>
      </c>
      <c r="C178" s="77">
        <v>75.409531966395306</v>
      </c>
      <c r="D178" s="77">
        <v>1.2020465410296</v>
      </c>
      <c r="E178" s="77">
        <v>2.4610000000000021</v>
      </c>
      <c r="F178" s="77">
        <v>7.2920532187053633</v>
      </c>
      <c r="G178" s="77">
        <v>76.384635680732586</v>
      </c>
      <c r="H178" s="77">
        <v>0.68252376033979267</v>
      </c>
      <c r="I178" s="77">
        <v>1.4755999999999991</v>
      </c>
      <c r="J178" s="77">
        <v>5.1961941852354032</v>
      </c>
    </row>
    <row r="179" spans="1:10" ht="12.75" customHeight="1">
      <c r="A179" s="69"/>
      <c r="B179" s="64" t="s">
        <v>5</v>
      </c>
      <c r="C179" s="77">
        <v>76.280935581899854</v>
      </c>
      <c r="D179" s="77">
        <v>1.1555616283268622</v>
      </c>
      <c r="E179" s="77">
        <v>3.6449999999999871</v>
      </c>
      <c r="F179" s="77">
        <v>7.6067731897949908</v>
      </c>
      <c r="G179" s="77">
        <v>76.778092325190158</v>
      </c>
      <c r="H179" s="77">
        <v>0.51509919625998268</v>
      </c>
      <c r="I179" s="77">
        <v>1.9982999999999862</v>
      </c>
      <c r="J179" s="77">
        <v>5.5626856928326696</v>
      </c>
    </row>
    <row r="180" spans="1:10" ht="12.75" customHeight="1">
      <c r="A180" s="69"/>
      <c r="B180" s="64" t="s">
        <v>6</v>
      </c>
      <c r="C180" s="77">
        <v>76.94773598362886</v>
      </c>
      <c r="D180" s="77">
        <v>0.87413768150901294</v>
      </c>
      <c r="E180" s="77">
        <v>4.5510000000000161</v>
      </c>
      <c r="F180" s="77">
        <v>8.1613986657262281</v>
      </c>
      <c r="G180" s="77">
        <v>77.140009208020089</v>
      </c>
      <c r="H180" s="77">
        <v>0.47138040535970038</v>
      </c>
      <c r="I180" s="77">
        <v>2.4791000000000007</v>
      </c>
      <c r="J180" s="77">
        <v>5.7809298755424399</v>
      </c>
    </row>
    <row r="181" spans="1:10" ht="12.75" customHeight="1">
      <c r="A181" s="69"/>
      <c r="B181" s="64" t="s">
        <v>7</v>
      </c>
      <c r="C181" s="77">
        <v>77.115540058236149</v>
      </c>
      <c r="D181" s="77">
        <v>0.21807538904456969</v>
      </c>
      <c r="E181" s="77">
        <v>4.7789999999999999</v>
      </c>
      <c r="F181" s="77">
        <v>8.0289842129927855</v>
      </c>
      <c r="G181" s="77">
        <v>77.289728983383796</v>
      </c>
      <c r="H181" s="77">
        <v>0.19408835557688242</v>
      </c>
      <c r="I181" s="77">
        <v>2.6780000000000026</v>
      </c>
      <c r="J181" s="77">
        <v>5.6061021431922375</v>
      </c>
    </row>
    <row r="182" spans="1:10" ht="12.75" customHeight="1">
      <c r="A182" s="69"/>
      <c r="B182" s="64" t="s">
        <v>8</v>
      </c>
      <c r="C182" s="77">
        <v>77.901569670870316</v>
      </c>
      <c r="D182" s="77">
        <v>1.0192882161501826</v>
      </c>
      <c r="E182" s="77">
        <v>5.84699999999998</v>
      </c>
      <c r="F182" s="77">
        <v>9.3158152505574456</v>
      </c>
      <c r="G182" s="77">
        <v>77.618901722280484</v>
      </c>
      <c r="H182" s="77">
        <v>0.42589454410877359</v>
      </c>
      <c r="I182" s="77">
        <v>3.1152999999999986</v>
      </c>
      <c r="J182" s="77">
        <v>5.8542318352765799</v>
      </c>
    </row>
    <row r="183" spans="1:10" ht="12.75" customHeight="1">
      <c r="A183" s="69"/>
      <c r="B183" s="64" t="s">
        <v>9</v>
      </c>
      <c r="C183" s="77">
        <v>78.566456517362568</v>
      </c>
      <c r="D183" s="77">
        <v>0.85349608397027321</v>
      </c>
      <c r="E183" s="77">
        <v>6.7504000000000008</v>
      </c>
      <c r="F183" s="77">
        <v>9.8716654600742757</v>
      </c>
      <c r="G183" s="77">
        <v>77.878747204711615</v>
      </c>
      <c r="H183" s="77">
        <v>0.33477088269151523</v>
      </c>
      <c r="I183" s="77">
        <v>3.4604999999999997</v>
      </c>
      <c r="J183" s="77">
        <v>6.0844580361774536</v>
      </c>
    </row>
    <row r="184" spans="1:10" ht="12.75" customHeight="1">
      <c r="A184" s="69"/>
      <c r="B184" s="64" t="s">
        <v>49</v>
      </c>
      <c r="C184" s="77">
        <v>78.95696898221621</v>
      </c>
      <c r="D184" s="77">
        <v>0.49704731785547018</v>
      </c>
      <c r="E184" s="77">
        <v>7.2810000000000041</v>
      </c>
      <c r="F184" s="77">
        <v>10.176172277978758</v>
      </c>
      <c r="G184" s="77">
        <v>78.334831729059886</v>
      </c>
      <c r="H184" s="77">
        <v>0.58563413090018113</v>
      </c>
      <c r="I184" s="77">
        <v>4.0664000000000033</v>
      </c>
      <c r="J184" s="77">
        <v>6.21093874753047</v>
      </c>
    </row>
    <row r="185" spans="1:10" ht="12.75" customHeight="1">
      <c r="A185" s="69"/>
      <c r="B185" s="64" t="s">
        <v>11</v>
      </c>
      <c r="C185" s="77">
        <v>79.125509039606868</v>
      </c>
      <c r="D185" s="77">
        <v>0.21345811467081699</v>
      </c>
      <c r="E185" s="77">
        <v>7.5099999999999945</v>
      </c>
      <c r="F185" s="77">
        <v>9.5674438332368226</v>
      </c>
      <c r="G185" s="77">
        <v>78.601000218595374</v>
      </c>
      <c r="H185" s="77">
        <v>0.33978306158375382</v>
      </c>
      <c r="I185" s="77">
        <v>4.4200000000000017</v>
      </c>
      <c r="J185" s="77">
        <v>5.4766480203689794</v>
      </c>
    </row>
    <row r="186" spans="1:10" ht="12.75" customHeight="1">
      <c r="A186" s="69"/>
      <c r="B186" s="64" t="s">
        <v>12</v>
      </c>
      <c r="C186" s="77">
        <v>79.149060488674564</v>
      </c>
      <c r="D186" s="77">
        <v>2.9764673053667146E-2</v>
      </c>
      <c r="E186" s="77">
        <v>7.5420000000000043</v>
      </c>
      <c r="F186" s="77">
        <v>8.8656699738302702</v>
      </c>
      <c r="G186" s="77">
        <v>78.945754653570631</v>
      </c>
      <c r="H186" s="77">
        <v>0.43861329247270042</v>
      </c>
      <c r="I186" s="77">
        <v>4.8780000000000046</v>
      </c>
      <c r="J186" s="77">
        <v>5.4076812007977759</v>
      </c>
    </row>
    <row r="187" spans="1:10" ht="12.75" customHeight="1">
      <c r="A187" s="69"/>
      <c r="B187" s="64" t="s">
        <v>13</v>
      </c>
      <c r="C187" s="77">
        <v>79.220450818660993</v>
      </c>
      <c r="D187" s="77">
        <v>9.0197318257034809E-2</v>
      </c>
      <c r="E187" s="77">
        <v>7.6389999999999958</v>
      </c>
      <c r="F187" s="77">
        <v>8.6264854505317956</v>
      </c>
      <c r="G187" s="77">
        <v>79.07447301248061</v>
      </c>
      <c r="H187" s="77">
        <v>0.1630465874635334</v>
      </c>
      <c r="I187" s="77">
        <v>5.0489999999999924</v>
      </c>
      <c r="J187" s="77">
        <v>5.334733531879543</v>
      </c>
    </row>
    <row r="188" spans="1:10" ht="12.75" customHeight="1">
      <c r="A188" s="69"/>
      <c r="B188" s="64" t="s">
        <v>14</v>
      </c>
      <c r="C188" s="77">
        <v>79.309504735448201</v>
      </c>
      <c r="D188" s="77">
        <v>0.1124127871868108</v>
      </c>
      <c r="E188" s="77">
        <v>7.7599999999999891</v>
      </c>
      <c r="F188" s="77">
        <v>7.7599999999999891</v>
      </c>
      <c r="G188" s="77">
        <v>79.18060920316077</v>
      </c>
      <c r="H188" s="77">
        <v>0.13422307684984869</v>
      </c>
      <c r="I188" s="77">
        <v>5.1900000000000057</v>
      </c>
      <c r="J188" s="77">
        <v>5.1900000000000057</v>
      </c>
    </row>
    <row r="189" spans="1:10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</row>
    <row r="190" spans="1:10" ht="12.75" customHeight="1">
      <c r="A190" s="69">
        <v>2012</v>
      </c>
      <c r="B190" s="64" t="s">
        <v>50</v>
      </c>
      <c r="C190" s="77">
        <v>79.65541664362992</v>
      </c>
      <c r="D190" s="77">
        <v>0.4361544172234666</v>
      </c>
      <c r="E190" s="77">
        <v>0.4361544172234666</v>
      </c>
      <c r="F190" s="77">
        <v>6.9001619849077711</v>
      </c>
      <c r="G190" s="77">
        <v>79.489232168968314</v>
      </c>
      <c r="H190" s="77">
        <v>0.38977089076908111</v>
      </c>
      <c r="I190" s="77">
        <v>0.38977089076908111</v>
      </c>
      <c r="J190" s="77">
        <v>4.7746897686920198</v>
      </c>
    </row>
    <row r="191" spans="1:10" ht="12.75" customHeight="1">
      <c r="A191" s="69"/>
      <c r="B191" s="64" t="s">
        <v>4</v>
      </c>
      <c r="C191" s="77">
        <v>79.935090101308731</v>
      </c>
      <c r="D191" s="77">
        <v>0.35110413009329378</v>
      </c>
      <c r="E191" s="77">
        <v>0.78878990348922873</v>
      </c>
      <c r="F191" s="77">
        <v>6.0013078146807119</v>
      </c>
      <c r="G191" s="77">
        <v>79.632252567757178</v>
      </c>
      <c r="H191" s="77">
        <v>0.17992424242423422</v>
      </c>
      <c r="I191" s="77">
        <v>0.570396425515729</v>
      </c>
      <c r="J191" s="77">
        <v>4.2516624686131488</v>
      </c>
    </row>
    <row r="192" spans="1:10" ht="12.75" customHeight="1">
      <c r="A192" s="69"/>
      <c r="B192" s="64" t="s">
        <v>5</v>
      </c>
      <c r="C192" s="77">
        <v>80.052847346647184</v>
      </c>
      <c r="D192" s="77">
        <v>0.14731608507503324</v>
      </c>
      <c r="E192" s="77">
        <v>0.93726800296956014</v>
      </c>
      <c r="F192" s="77">
        <v>4.9447633749819087</v>
      </c>
      <c r="G192" s="77">
        <v>79.805382524185802</v>
      </c>
      <c r="H192" s="77">
        <v>0.21741185367236682</v>
      </c>
      <c r="I192" s="77">
        <v>0.78904838863009807</v>
      </c>
      <c r="J192" s="77">
        <v>3.9429088524024491</v>
      </c>
    </row>
    <row r="193" spans="1:10" ht="12.75" customHeight="1">
      <c r="A193" s="69"/>
      <c r="B193" s="64" t="s">
        <v>6</v>
      </c>
      <c r="C193" s="77">
        <v>80.060207174480837</v>
      </c>
      <c r="D193" s="77">
        <v>9.1937115013429604E-3</v>
      </c>
      <c r="E193" s="77">
        <v>0.9465478841870878</v>
      </c>
      <c r="F193" s="77">
        <v>4.0449158783751216</v>
      </c>
      <c r="G193" s="77">
        <v>80.023676817074076</v>
      </c>
      <c r="H193" s="77">
        <v>0.27353329560462214</v>
      </c>
      <c r="I193" s="77">
        <v>1.0647399942960378</v>
      </c>
      <c r="J193" s="77">
        <v>3.7382256479614018</v>
      </c>
    </row>
    <row r="194" spans="1:10" ht="12.75" customHeight="1">
      <c r="A194" s="69"/>
      <c r="B194" s="64" t="s">
        <v>7</v>
      </c>
      <c r="C194" s="77">
        <v>79.846772167304891</v>
      </c>
      <c r="D194" s="77">
        <v>-0.26659312373598087</v>
      </c>
      <c r="E194" s="77">
        <v>0.67743132887898572</v>
      </c>
      <c r="F194" s="77">
        <v>3.5417402342072357</v>
      </c>
      <c r="G194" s="77">
        <v>80.129060268813234</v>
      </c>
      <c r="H194" s="77">
        <v>0.13169033957294296</v>
      </c>
      <c r="I194" s="77">
        <v>1.1978324935830509</v>
      </c>
      <c r="J194" s="77">
        <v>3.6736204444963949</v>
      </c>
    </row>
    <row r="195" spans="1:10" ht="12.75" customHeight="1">
      <c r="A195" s="69"/>
      <c r="B195" s="64" t="s">
        <v>8</v>
      </c>
      <c r="C195" s="77">
        <v>80.016048207478917</v>
      </c>
      <c r="D195" s="77">
        <v>0.21200110609271849</v>
      </c>
      <c r="E195" s="77">
        <v>0.89086859688196629</v>
      </c>
      <c r="F195" s="77">
        <v>2.7142951618846167</v>
      </c>
      <c r="G195" s="77">
        <v>80.226916331142448</v>
      </c>
      <c r="H195" s="77">
        <v>0.12212306247063598</v>
      </c>
      <c r="I195" s="77">
        <v>1.3214183857781059</v>
      </c>
      <c r="J195" s="77">
        <v>3.3600251369098277</v>
      </c>
    </row>
    <row r="196" spans="1:10" ht="12.75" customHeight="1">
      <c r="A196" s="69"/>
      <c r="B196" s="64" t="s">
        <v>9</v>
      </c>
      <c r="C196" s="77">
        <v>79.854131995138545</v>
      </c>
      <c r="D196" s="77">
        <v>-0.20235467255335093</v>
      </c>
      <c r="E196" s="77">
        <v>0.68671121009651337</v>
      </c>
      <c r="F196" s="77">
        <v>1.6389634137202291</v>
      </c>
      <c r="G196" s="77">
        <v>80.339827172291564</v>
      </c>
      <c r="H196" s="77">
        <v>0.14073935072247412</v>
      </c>
      <c r="I196" s="77">
        <v>1.4640174921570548</v>
      </c>
      <c r="J196" s="77">
        <v>3.1601432430734544</v>
      </c>
    </row>
    <row r="197" spans="1:10" ht="12.75" customHeight="1">
      <c r="A197" s="69"/>
      <c r="B197" s="64" t="s">
        <v>49</v>
      </c>
      <c r="C197" s="77">
        <v>80.663713056840407</v>
      </c>
      <c r="D197" s="77">
        <v>1.0138248847926246</v>
      </c>
      <c r="E197" s="77">
        <v>1.7074981440237558</v>
      </c>
      <c r="F197" s="77">
        <v>2.1616129603564405</v>
      </c>
      <c r="G197" s="77">
        <v>81.077511334465683</v>
      </c>
      <c r="H197" s="77">
        <v>0.91820481589053315</v>
      </c>
      <c r="I197" s="77">
        <v>2.3956649871660574</v>
      </c>
      <c r="J197" s="77">
        <v>3.5012261402335376</v>
      </c>
    </row>
    <row r="198" spans="1:10" ht="12.75" customHeight="1">
      <c r="A198" s="69"/>
      <c r="B198" s="64" t="s">
        <v>11</v>
      </c>
      <c r="C198" s="77">
        <v>81.186260833029806</v>
      </c>
      <c r="D198" s="77">
        <v>0.64781021897812874</v>
      </c>
      <c r="E198" s="77">
        <v>2.3663697104677084</v>
      </c>
      <c r="F198" s="77">
        <v>2.6044088921960862</v>
      </c>
      <c r="G198" s="77">
        <v>81.378606910863297</v>
      </c>
      <c r="H198" s="77">
        <v>0.37136756104354518</v>
      </c>
      <c r="I198" s="77">
        <v>2.7759292708432248</v>
      </c>
      <c r="J198" s="77">
        <v>3.5338057843324888</v>
      </c>
    </row>
    <row r="199" spans="1:10" ht="12.75" customHeight="1">
      <c r="A199" s="69"/>
      <c r="B199" s="64" t="s">
        <v>12</v>
      </c>
      <c r="C199" s="77">
        <v>81.377616356704777</v>
      </c>
      <c r="D199" s="77">
        <v>0.23569939262078066</v>
      </c>
      <c r="E199" s="77">
        <v>2.6076466221232275</v>
      </c>
      <c r="F199" s="77">
        <v>2.8156441204366445</v>
      </c>
      <c r="G199" s="77">
        <v>81.559264256701866</v>
      </c>
      <c r="H199" s="77">
        <v>0.22199611506799055</v>
      </c>
      <c r="I199" s="77">
        <v>3.0040878410495298</v>
      </c>
      <c r="J199" s="77">
        <v>3.3105131676805399</v>
      </c>
    </row>
    <row r="200" spans="1:10" ht="12.75" customHeight="1">
      <c r="A200" s="69"/>
      <c r="B200" s="64" t="s">
        <v>13</v>
      </c>
      <c r="C200" s="77">
        <v>81.892804305060523</v>
      </c>
      <c r="D200" s="77">
        <v>0.63308311476895085</v>
      </c>
      <c r="E200" s="77">
        <v>3.2572383073496747</v>
      </c>
      <c r="F200" s="77">
        <v>3.3733126469030816</v>
      </c>
      <c r="G200" s="77">
        <v>81.897996780149171</v>
      </c>
      <c r="H200" s="77">
        <v>0.41532071988923391</v>
      </c>
      <c r="I200" s="77">
        <v>3.4318851601863321</v>
      </c>
      <c r="J200" s="77">
        <v>3.5707146188921346</v>
      </c>
    </row>
    <row r="201" spans="1:10" ht="12.75" customHeight="1">
      <c r="A201" s="69"/>
      <c r="B201" s="64" t="s">
        <v>14</v>
      </c>
      <c r="C201" s="77">
        <v>82.407992253416253</v>
      </c>
      <c r="D201" s="77">
        <v>0.62910038644736765</v>
      </c>
      <c r="E201" s="77">
        <v>3.9068299925760996</v>
      </c>
      <c r="F201" s="77">
        <v>3.9068299925760996</v>
      </c>
      <c r="G201" s="77">
        <v>82.146400630677192</v>
      </c>
      <c r="H201" s="77">
        <v>0.30330882352940236</v>
      </c>
      <c r="I201" s="77">
        <v>3.7456031942199708</v>
      </c>
      <c r="J201" s="77">
        <v>3.7456031942199708</v>
      </c>
    </row>
    <row r="202" spans="1:10" ht="12.75" customHeight="1">
      <c r="A202" s="69"/>
      <c r="C202" s="77"/>
      <c r="D202" s="77"/>
      <c r="E202" s="77"/>
      <c r="F202" s="77"/>
      <c r="G202" s="77"/>
      <c r="H202" s="77"/>
      <c r="I202" s="77"/>
      <c r="J202" s="77"/>
    </row>
    <row r="203" spans="1:10" ht="12.75" customHeight="1">
      <c r="A203" s="69">
        <v>2013</v>
      </c>
      <c r="B203" s="64" t="s">
        <v>50</v>
      </c>
      <c r="C203" s="77">
        <v>83.445727977961369</v>
      </c>
      <c r="D203" s="77">
        <v>1.2592658747878849</v>
      </c>
      <c r="E203" s="77">
        <v>1.2592658747878849</v>
      </c>
      <c r="F203" s="77">
        <v>4.7583849210015572</v>
      </c>
      <c r="G203" s="77">
        <v>83.26045426334835</v>
      </c>
      <c r="H203" s="77">
        <v>1.3561807019151662</v>
      </c>
      <c r="I203" s="77">
        <v>1.3561807019151662</v>
      </c>
      <c r="J203" s="77">
        <v>4.7443181818181968</v>
      </c>
    </row>
    <row r="204" spans="1:10" ht="12.75" customHeight="1">
      <c r="A204" s="69"/>
      <c r="B204" s="64" t="s">
        <v>4</v>
      </c>
      <c r="C204" s="77">
        <v>83.718041607806541</v>
      </c>
      <c r="D204" s="77">
        <v>0.32633621449991157</v>
      </c>
      <c r="E204" s="77">
        <v>1.5897115298740605</v>
      </c>
      <c r="F204" s="77">
        <v>4.7325292330356428</v>
      </c>
      <c r="G204" s="77">
        <v>83.734679796174575</v>
      </c>
      <c r="H204" s="77">
        <v>0.56956875508542559</v>
      </c>
      <c r="I204" s="77">
        <v>1.9334738385411887</v>
      </c>
      <c r="J204" s="77">
        <v>5.1517156631061489</v>
      </c>
    </row>
    <row r="205" spans="1:10" ht="12.75" customHeight="1">
      <c r="A205" s="69"/>
      <c r="B205" s="64" t="s">
        <v>5</v>
      </c>
      <c r="C205" s="77">
        <v>84.034514204653647</v>
      </c>
      <c r="D205" s="77">
        <v>0.37802197802199178</v>
      </c>
      <c r="E205" s="77">
        <v>1.9737429668661433</v>
      </c>
      <c r="F205" s="77">
        <v>4.9737979222212125</v>
      </c>
      <c r="G205" s="77">
        <v>83.983083646702596</v>
      </c>
      <c r="H205" s="77">
        <v>0.29665587918015213</v>
      </c>
      <c r="I205" s="77">
        <v>2.2358654815357815</v>
      </c>
      <c r="J205" s="77">
        <v>5.2348613469156646</v>
      </c>
    </row>
    <row r="206" spans="1:10" ht="12.75" customHeight="1">
      <c r="A206" s="69"/>
      <c r="B206" s="64" t="s">
        <v>6</v>
      </c>
      <c r="C206" s="77">
        <v>83.982995409818059</v>
      </c>
      <c r="D206" s="77">
        <v>-6.1306708705566315E-2</v>
      </c>
      <c r="E206" s="77">
        <v>1.9112262213092812</v>
      </c>
      <c r="F206" s="77">
        <v>4.899797756940627</v>
      </c>
      <c r="G206" s="77">
        <v>84.043302761982133</v>
      </c>
      <c r="H206" s="77">
        <v>7.1703863045646798E-2</v>
      </c>
      <c r="I206" s="77">
        <v>2.309172546504179</v>
      </c>
      <c r="J206" s="77">
        <v>5.023045809425275</v>
      </c>
    </row>
    <row r="207" spans="1:10" ht="12.75" customHeight="1">
      <c r="A207" s="69"/>
      <c r="B207" s="64" t="s">
        <v>7</v>
      </c>
      <c r="C207" s="77">
        <v>83.828439025311354</v>
      </c>
      <c r="D207" s="77">
        <v>-0.18403295066162784</v>
      </c>
      <c r="E207" s="77">
        <v>1.7236759846387617</v>
      </c>
      <c r="F207" s="77">
        <v>4.9866347128767918</v>
      </c>
      <c r="G207" s="77">
        <v>84.141158824311347</v>
      </c>
      <c r="H207" s="77">
        <v>0.11643528884908161</v>
      </c>
      <c r="I207" s="77">
        <v>2.4282965270778112</v>
      </c>
      <c r="J207" s="77">
        <v>5.007045561296386</v>
      </c>
    </row>
    <row r="208" spans="1:10" ht="12.75" customHeight="1">
      <c r="A208" s="69"/>
      <c r="B208" s="64" t="s">
        <v>8</v>
      </c>
      <c r="C208" s="77">
        <v>83.857878336645953</v>
      </c>
      <c r="D208" s="77">
        <v>3.5118525021937685E-2</v>
      </c>
      <c r="E208" s="77">
        <v>1.759399839242648</v>
      </c>
      <c r="F208" s="77">
        <v>4.801324503311255</v>
      </c>
      <c r="G208" s="77">
        <v>84.321816170149901</v>
      </c>
      <c r="H208" s="77">
        <v>0.21470746108425143</v>
      </c>
      <c r="I208" s="77">
        <v>2.6482177219829595</v>
      </c>
      <c r="J208" s="77">
        <v>5.1041471195346189</v>
      </c>
    </row>
    <row r="209" spans="1:10" ht="12.75" customHeight="1">
      <c r="A209" s="69"/>
      <c r="B209" s="64" t="s">
        <v>9</v>
      </c>
      <c r="C209" s="77">
        <v>84.380426112835352</v>
      </c>
      <c r="D209" s="77">
        <v>0.62313498332458028</v>
      </c>
      <c r="E209" s="77">
        <v>2.3934982584620901</v>
      </c>
      <c r="F209" s="77">
        <v>5.6682027649769706</v>
      </c>
      <c r="G209" s="77">
        <v>84.555165241858049</v>
      </c>
      <c r="H209" s="77">
        <v>0.27673629708979686</v>
      </c>
      <c r="I209" s="77">
        <v>2.9322825987354584</v>
      </c>
      <c r="J209" s="77">
        <v>5.2468846622317766</v>
      </c>
    </row>
    <row r="210" spans="1:10" ht="12.75" customHeight="1">
      <c r="A210" s="69"/>
      <c r="B210" s="64" t="s">
        <v>49</v>
      </c>
      <c r="C210" s="77">
        <v>84.939773028192988</v>
      </c>
      <c r="D210" s="77">
        <v>0.66288704753596495</v>
      </c>
      <c r="E210" s="77">
        <v>3.0722514959363956</v>
      </c>
      <c r="F210" s="77">
        <v>5.3010948905109601</v>
      </c>
      <c r="G210" s="77">
        <v>84.886370375895424</v>
      </c>
      <c r="H210" s="77">
        <v>0.39170301789370754</v>
      </c>
      <c r="I210" s="77">
        <v>3.3354714560615895</v>
      </c>
      <c r="J210" s="77">
        <v>4.6977996472008288</v>
      </c>
    </row>
    <row r="211" spans="1:10" ht="12.75" customHeight="1">
      <c r="A211" s="69"/>
      <c r="B211" s="64" t="s">
        <v>11</v>
      </c>
      <c r="C211" s="77">
        <v>85.351923386877587</v>
      </c>
      <c r="D211" s="77">
        <v>0.48522658348497671</v>
      </c>
      <c r="E211" s="77">
        <v>3.5723854603911809</v>
      </c>
      <c r="F211" s="77">
        <v>5.1309944701296351</v>
      </c>
      <c r="G211" s="77">
        <v>85.30790418285207</v>
      </c>
      <c r="H211" s="77">
        <v>0.49658597144630612</v>
      </c>
      <c r="I211" s="77">
        <v>3.8486209108402836</v>
      </c>
      <c r="J211" s="77">
        <v>4.8284155027287001</v>
      </c>
    </row>
    <row r="212" spans="1:10" ht="12.75" customHeight="1">
      <c r="A212" s="69"/>
      <c r="B212" s="64" t="s">
        <v>12</v>
      </c>
      <c r="C212" s="77">
        <v>85.234166141539134</v>
      </c>
      <c r="D212" s="77">
        <v>-0.13796671552988027</v>
      </c>
      <c r="E212" s="77">
        <v>3.4294900419755248</v>
      </c>
      <c r="F212" s="77">
        <v>4.7390793162702671</v>
      </c>
      <c r="G212" s="77">
        <v>85.375650687541537</v>
      </c>
      <c r="H212" s="77">
        <v>7.9414100414720856E-2</v>
      </c>
      <c r="I212" s="77">
        <v>3.9310913589297281</v>
      </c>
      <c r="J212" s="77">
        <v>4.679280110752182</v>
      </c>
    </row>
    <row r="213" spans="1:10" ht="12.75" customHeight="1">
      <c r="A213" s="69"/>
      <c r="B213" s="64" t="s">
        <v>13</v>
      </c>
      <c r="C213" s="77">
        <v>85.285684936374693</v>
      </c>
      <c r="D213" s="77">
        <v>6.0443830411860411E-2</v>
      </c>
      <c r="E213" s="77">
        <v>3.4920067875323646</v>
      </c>
      <c r="F213" s="77">
        <v>4.1430754021748672</v>
      </c>
      <c r="G213" s="77">
        <v>85.541253254560218</v>
      </c>
      <c r="H213" s="77">
        <v>0.19396931758066671</v>
      </c>
      <c r="I213" s="77">
        <v>4.1326857875927825</v>
      </c>
      <c r="J213" s="77">
        <v>4.4485294117647012</v>
      </c>
    </row>
    <row r="214" spans="1:10" ht="12.75" customHeight="1">
      <c r="A214" s="69"/>
      <c r="B214" s="64" t="s">
        <v>14</v>
      </c>
      <c r="C214" s="77">
        <v>85.602157533221799</v>
      </c>
      <c r="D214" s="77">
        <v>0.37107352433554119</v>
      </c>
      <c r="E214" s="77">
        <v>3.8760382245244251</v>
      </c>
      <c r="F214" s="77">
        <v>3.8760382245244251</v>
      </c>
      <c r="G214" s="77">
        <v>85.774602326268365</v>
      </c>
      <c r="H214" s="77">
        <v>0.27279127067934006</v>
      </c>
      <c r="I214" s="77">
        <v>4.4167506643452814</v>
      </c>
      <c r="J214" s="77">
        <v>4.4167506643452814</v>
      </c>
    </row>
    <row r="215" spans="1:10" ht="12.75" customHeight="1">
      <c r="A215" s="69"/>
      <c r="C215" s="77"/>
      <c r="D215" s="77"/>
      <c r="E215" s="77"/>
      <c r="F215" s="77"/>
      <c r="G215" s="77"/>
      <c r="H215" s="77"/>
      <c r="I215" s="77"/>
      <c r="J215" s="77"/>
    </row>
    <row r="216" spans="1:10" ht="12.75" customHeight="1">
      <c r="A216" s="69">
        <v>2014</v>
      </c>
      <c r="B216" s="64" t="s">
        <v>50</v>
      </c>
      <c r="C216" s="77">
        <v>85.800872884730438</v>
      </c>
      <c r="D216" s="77">
        <v>0.23213825122516685</v>
      </c>
      <c r="E216" s="77">
        <v>0.23213825122516685</v>
      </c>
      <c r="F216" s="77">
        <v>2.8223672605397931</v>
      </c>
      <c r="G216" s="77">
        <v>86.113334849715685</v>
      </c>
      <c r="H216" s="77">
        <v>0.39491004826679443</v>
      </c>
      <c r="I216" s="77">
        <v>0.39491004826679443</v>
      </c>
      <c r="J216" s="77">
        <v>3.4264533044028544</v>
      </c>
    </row>
    <row r="217" spans="1:10" ht="12.75" customHeight="1">
      <c r="A217" s="69"/>
      <c r="B217" s="64" t="s">
        <v>4</v>
      </c>
      <c r="C217" s="77">
        <v>86.09526599807657</v>
      </c>
      <c r="D217" s="77">
        <v>0.34311202607650859</v>
      </c>
      <c r="E217" s="77">
        <v>0.57604677155875805</v>
      </c>
      <c r="F217" s="77">
        <v>2.8395604395604401</v>
      </c>
      <c r="G217" s="77">
        <v>86.452067373162976</v>
      </c>
      <c r="H217" s="77">
        <v>0.39335664335662379</v>
      </c>
      <c r="I217" s="77">
        <v>0.78982009653356666</v>
      </c>
      <c r="J217" s="77">
        <v>3.2452355267889255</v>
      </c>
    </row>
    <row r="218" spans="1:10" ht="12.75" customHeight="1">
      <c r="A218" s="69"/>
      <c r="B218" s="64" t="s">
        <v>5</v>
      </c>
      <c r="C218" s="77">
        <v>86.544215495929421</v>
      </c>
      <c r="D218" s="77">
        <v>0.52145665925800166</v>
      </c>
      <c r="E218" s="77">
        <v>1.1005072650674963</v>
      </c>
      <c r="F218" s="77">
        <v>2.9865125240847723</v>
      </c>
      <c r="G218" s="77">
        <v>86.677889055461193</v>
      </c>
      <c r="H218" s="77">
        <v>0.26121027427079557</v>
      </c>
      <c r="I218" s="77">
        <v>1.053093462044763</v>
      </c>
      <c r="J218" s="77">
        <v>3.2087478712915729</v>
      </c>
    </row>
    <row r="219" spans="1:10" ht="12.75" customHeight="1">
      <c r="A219" s="69"/>
      <c r="B219" s="64" t="s">
        <v>6</v>
      </c>
      <c r="C219" s="77">
        <v>86.912206887612086</v>
      </c>
      <c r="D219" s="77">
        <v>0.42520622501913685</v>
      </c>
      <c r="E219" s="77">
        <v>1.5303929154844687</v>
      </c>
      <c r="F219" s="77">
        <v>3.4878625887301729</v>
      </c>
      <c r="G219" s="77">
        <v>86.896183348349453</v>
      </c>
      <c r="H219" s="77">
        <v>0.2518454190186592</v>
      </c>
      <c r="I219" s="77">
        <v>1.3075910487055697</v>
      </c>
      <c r="J219" s="77">
        <v>3.394536497984757</v>
      </c>
    </row>
    <row r="220" spans="1:10" ht="12.75" customHeight="1">
      <c r="A220" s="69"/>
      <c r="B220" s="64" t="s">
        <v>7</v>
      </c>
      <c r="C220" s="77">
        <v>86.926926543279393</v>
      </c>
      <c r="D220" s="77">
        <v>1.6936235074949124E-2</v>
      </c>
      <c r="E220" s="77">
        <v>1.5475883415011493</v>
      </c>
      <c r="F220" s="77">
        <v>3.6962247585601293</v>
      </c>
      <c r="G220" s="77">
        <v>86.994039410678667</v>
      </c>
      <c r="H220" s="77">
        <v>0.11261261261259481</v>
      </c>
      <c r="I220" s="77">
        <v>1.4216761737604111</v>
      </c>
      <c r="J220" s="77">
        <v>3.3905886562891396</v>
      </c>
    </row>
    <row r="221" spans="1:10" ht="12.75" customHeight="1">
      <c r="A221" s="69"/>
      <c r="B221" s="64" t="s">
        <v>8</v>
      </c>
      <c r="C221" s="77">
        <v>86.9416461989467</v>
      </c>
      <c r="D221" s="77">
        <v>1.6933367200078209E-2</v>
      </c>
      <c r="E221" s="77">
        <v>1.56478376751783</v>
      </c>
      <c r="F221" s="77">
        <v>3.6773740565209767</v>
      </c>
      <c r="G221" s="77">
        <v>87.122005030647657</v>
      </c>
      <c r="H221" s="77">
        <v>0.14709699749071437</v>
      </c>
      <c r="I221" s="77">
        <v>1.570864414216766</v>
      </c>
      <c r="J221" s="77">
        <v>3.3208355650776733</v>
      </c>
    </row>
    <row r="222" spans="1:10" ht="12.75" customHeight="1">
      <c r="A222" s="69"/>
      <c r="B222" s="64" t="s">
        <v>9</v>
      </c>
      <c r="C222" s="77">
        <v>87.258118795793791</v>
      </c>
      <c r="D222" s="77">
        <v>0.36400575637010046</v>
      </c>
      <c r="E222" s="77">
        <v>1.9344854268764422</v>
      </c>
      <c r="F222" s="77">
        <v>3.4103794156127298</v>
      </c>
      <c r="G222" s="77">
        <v>87.362881491765748</v>
      </c>
      <c r="H222" s="77">
        <v>0.2764817694833388</v>
      </c>
      <c r="I222" s="77">
        <v>1.8516893374286969</v>
      </c>
      <c r="J222" s="77">
        <v>3.32057331078075</v>
      </c>
    </row>
    <row r="223" spans="1:10" ht="12.75" customHeight="1">
      <c r="A223" s="69"/>
      <c r="B223" s="64" t="s">
        <v>49</v>
      </c>
      <c r="C223" s="77">
        <v>87.596670876141843</v>
      </c>
      <c r="D223" s="77">
        <v>0.38798920377867141</v>
      </c>
      <c r="E223" s="77">
        <v>2.3299802252600754</v>
      </c>
      <c r="F223" s="77">
        <v>3.1279785113941694</v>
      </c>
      <c r="G223" s="77">
        <v>87.656449678753418</v>
      </c>
      <c r="H223" s="77">
        <v>0.33603308633465279</v>
      </c>
      <c r="I223" s="77">
        <v>2.1939447125932432</v>
      </c>
      <c r="J223" s="77">
        <v>3.2632792409328815</v>
      </c>
    </row>
    <row r="224" spans="1:10" ht="12.75" customHeight="1">
      <c r="A224" s="69"/>
      <c r="B224" s="64" t="s">
        <v>11</v>
      </c>
      <c r="C224" s="77">
        <v>87.765946916315869</v>
      </c>
      <c r="D224" s="77">
        <v>0.1932448328012093</v>
      </c>
      <c r="E224" s="77">
        <v>2.5277276244518809</v>
      </c>
      <c r="F224" s="77">
        <v>2.82831766836249</v>
      </c>
      <c r="G224" s="77">
        <v>87.927435697511257</v>
      </c>
      <c r="H224" s="77">
        <v>0.30914555603263061</v>
      </c>
      <c r="I224" s="77">
        <v>2.5098727512066654</v>
      </c>
      <c r="J224" s="77">
        <v>3.0706785493691102</v>
      </c>
    </row>
    <row r="225" spans="1:10" ht="12.75" customHeight="1">
      <c r="A225" s="69"/>
      <c r="B225" s="64" t="s">
        <v>12</v>
      </c>
      <c r="C225" s="77">
        <v>87.692348637979336</v>
      </c>
      <c r="D225" s="77">
        <v>-8.3857442348012068E-2</v>
      </c>
      <c r="E225" s="77">
        <v>2.4417504943684998</v>
      </c>
      <c r="F225" s="77">
        <v>2.8840341939383451</v>
      </c>
      <c r="G225" s="77">
        <v>88.032819149250429</v>
      </c>
      <c r="H225" s="77">
        <v>0.11985275233286075</v>
      </c>
      <c r="I225" s="77">
        <v>2.6327336551118963</v>
      </c>
      <c r="J225" s="77">
        <v>3.112325868453536</v>
      </c>
    </row>
    <row r="226" spans="1:10" ht="12.75" customHeight="1">
      <c r="A226" s="69"/>
      <c r="B226" s="64" t="s">
        <v>13</v>
      </c>
      <c r="C226" s="77">
        <v>87.56723156480723</v>
      </c>
      <c r="D226" s="77">
        <v>-0.14267729752412972</v>
      </c>
      <c r="E226" s="77">
        <v>2.2955893732267141</v>
      </c>
      <c r="F226" s="77">
        <v>2.6751812219537596</v>
      </c>
      <c r="G226" s="77">
        <v>88.228531273908857</v>
      </c>
      <c r="H226" s="77">
        <v>0.22231722958527822</v>
      </c>
      <c r="I226" s="77">
        <v>2.860903905221579</v>
      </c>
      <c r="J226" s="77">
        <v>3.1414994720168954</v>
      </c>
    </row>
    <row r="227" spans="1:10" ht="12.75" customHeight="1">
      <c r="A227" s="69"/>
      <c r="B227" s="64" t="s">
        <v>14</v>
      </c>
      <c r="C227" s="77">
        <v>86.956365854614006</v>
      </c>
      <c r="D227" s="77">
        <v>-0.69759623466129073</v>
      </c>
      <c r="E227" s="77">
        <v>1.5819791935345107</v>
      </c>
      <c r="F227" s="77">
        <v>1.5819791935345107</v>
      </c>
      <c r="G227" s="77">
        <v>88.318859946828141</v>
      </c>
      <c r="H227" s="77">
        <v>0.1023803429741621</v>
      </c>
      <c r="I227" s="77">
        <v>2.9662132514260531</v>
      </c>
      <c r="J227" s="77">
        <v>2.9662132514260531</v>
      </c>
    </row>
    <row r="228" spans="1:10" ht="12.75" customHeight="1">
      <c r="A228" s="69"/>
      <c r="C228" s="77"/>
      <c r="D228" s="77"/>
      <c r="E228" s="77"/>
      <c r="F228" s="77"/>
      <c r="G228" s="77"/>
      <c r="H228" s="77"/>
      <c r="I228" s="77"/>
      <c r="J228" s="77"/>
    </row>
    <row r="229" spans="1:10" ht="12.75" customHeight="1">
      <c r="A229" s="69">
        <v>2015</v>
      </c>
      <c r="B229" s="64" t="s">
        <v>50</v>
      </c>
      <c r="C229" s="77">
        <v>86.794449642273634</v>
      </c>
      <c r="D229" s="77">
        <v>-0.18620397799407051</v>
      </c>
      <c r="E229" s="77">
        <v>-0.18620397799407051</v>
      </c>
      <c r="F229" s="77">
        <v>1.1580030880082415</v>
      </c>
      <c r="G229" s="77">
        <v>88.619955523225755</v>
      </c>
      <c r="H229" s="77">
        <v>0.34091877610160637</v>
      </c>
      <c r="I229" s="77">
        <v>0.34091877610160637</v>
      </c>
      <c r="J229" s="77">
        <v>2.9108391608391404</v>
      </c>
    </row>
    <row r="230" spans="1:10" ht="12.75" customHeight="1">
      <c r="A230" s="69"/>
      <c r="B230" s="64" t="s">
        <v>4</v>
      </c>
      <c r="C230" s="77">
        <v>86.971085510281313</v>
      </c>
      <c r="D230" s="77">
        <v>0.20351055711014254</v>
      </c>
      <c r="E230" s="77">
        <v>1.6927634363095301E-2</v>
      </c>
      <c r="F230" s="77">
        <v>1.0172679090442838</v>
      </c>
      <c r="G230" s="77">
        <v>88.838249816114015</v>
      </c>
      <c r="H230" s="77">
        <v>0.24632633993033615</v>
      </c>
      <c r="I230" s="77">
        <v>0.58808488877524212</v>
      </c>
      <c r="J230" s="77">
        <v>2.7601218981279985</v>
      </c>
    </row>
    <row r="231" spans="1:10" ht="12.75" customHeight="1">
      <c r="A231" s="69"/>
      <c r="B231" s="64" t="s">
        <v>5</v>
      </c>
      <c r="C231" s="77">
        <v>87.096202583453419</v>
      </c>
      <c r="D231" s="77">
        <v>0.14386053990014247</v>
      </c>
      <c r="E231" s="77">
        <v>0.16081252644943866</v>
      </c>
      <c r="F231" s="77">
        <v>0.63780933752870528</v>
      </c>
      <c r="G231" s="77">
        <v>88.921051099623355</v>
      </c>
      <c r="H231" s="77">
        <v>9.3204541603109092E-2</v>
      </c>
      <c r="I231" s="77">
        <v>0.68183755220319053</v>
      </c>
      <c r="J231" s="77">
        <v>2.5879287885366864</v>
      </c>
    </row>
    <row r="232" spans="1:10" ht="12.75" customHeight="1">
      <c r="A232" s="69"/>
      <c r="B232" s="64" t="s">
        <v>6</v>
      </c>
      <c r="C232" s="77">
        <v>86.87540774844382</v>
      </c>
      <c r="D232" s="77">
        <v>-0.25350684468480322</v>
      </c>
      <c r="E232" s="77">
        <v>-9.3101988997035257E-2</v>
      </c>
      <c r="F232" s="77">
        <v>-4.2340587687361708E-2</v>
      </c>
      <c r="G232" s="77">
        <v>88.958688046673061</v>
      </c>
      <c r="H232" s="77">
        <v>4.2326250740720717E-2</v>
      </c>
      <c r="I232" s="77">
        <v>0.72445239921590243</v>
      </c>
      <c r="J232" s="77">
        <v>2.3735273735273621</v>
      </c>
    </row>
    <row r="233" spans="1:10" ht="12.75" customHeight="1">
      <c r="A233" s="69"/>
      <c r="B233" s="64" t="s">
        <v>7</v>
      </c>
      <c r="C233" s="77">
        <v>87.125641894788032</v>
      </c>
      <c r="D233" s="77">
        <v>0.28803795323619763</v>
      </c>
      <c r="E233" s="77">
        <v>0.19466779517562927</v>
      </c>
      <c r="F233" s="77">
        <v>0.22860045720092259</v>
      </c>
      <c r="G233" s="77">
        <v>89.018907161952583</v>
      </c>
      <c r="H233" s="77">
        <v>6.7693349128439273E-2</v>
      </c>
      <c r="I233" s="77">
        <v>0.79263615443621038</v>
      </c>
      <c r="J233" s="77">
        <v>2.3275936661763419</v>
      </c>
    </row>
    <row r="234" spans="1:10" ht="12.75" customHeight="1">
      <c r="A234" s="69"/>
      <c r="B234" s="64" t="s">
        <v>8</v>
      </c>
      <c r="C234" s="77">
        <v>87.47891363080339</v>
      </c>
      <c r="D234" s="77">
        <v>0.40547389761784736</v>
      </c>
      <c r="E234" s="77">
        <v>0.60093101988996089</v>
      </c>
      <c r="F234" s="77">
        <v>0.61796326081435815</v>
      </c>
      <c r="G234" s="77">
        <v>89.139345392511629</v>
      </c>
      <c r="H234" s="77">
        <v>0.13529511246406223</v>
      </c>
      <c r="I234" s="77">
        <v>0.92900366487684849</v>
      </c>
      <c r="J234" s="77">
        <v>2.3155348194228598</v>
      </c>
    </row>
    <row r="235" spans="1:10" ht="12.75" customHeight="1">
      <c r="A235" s="69"/>
      <c r="B235" s="64" t="s">
        <v>9</v>
      </c>
      <c r="C235" s="77">
        <v>87.692348637979336</v>
      </c>
      <c r="D235" s="77">
        <v>0.24398451960290224</v>
      </c>
      <c r="E235" s="77">
        <v>0.84638171815487606</v>
      </c>
      <c r="F235" s="77">
        <v>0.49763832658569207</v>
      </c>
      <c r="G235" s="77">
        <v>89.207091897201096</v>
      </c>
      <c r="H235" s="77">
        <v>7.600067556157164E-2</v>
      </c>
      <c r="I235" s="77">
        <v>1.0057103894997255</v>
      </c>
      <c r="J235" s="77">
        <v>2.1109770808202644</v>
      </c>
    </row>
    <row r="236" spans="1:10" ht="12.75" customHeight="1">
      <c r="A236" s="69"/>
      <c r="B236" s="64" t="s">
        <v>49</v>
      </c>
      <c r="C236" s="77">
        <v>87.972022095658161</v>
      </c>
      <c r="D236" s="77">
        <v>0.31892572387746121</v>
      </c>
      <c r="E236" s="77">
        <v>1.1680067710537312</v>
      </c>
      <c r="F236" s="77">
        <v>0.42849941186355878</v>
      </c>
      <c r="G236" s="77">
        <v>89.402804021859524</v>
      </c>
      <c r="H236" s="77">
        <v>0.21939076871149155</v>
      </c>
      <c r="I236" s="77">
        <v>1.227307593965743</v>
      </c>
      <c r="J236" s="77">
        <v>1.9922713610991627</v>
      </c>
    </row>
    <row r="237" spans="1:10" ht="12.75" customHeight="1">
      <c r="A237" s="69"/>
      <c r="B237" s="64" t="s">
        <v>11</v>
      </c>
      <c r="C237" s="77">
        <v>88.111858824497574</v>
      </c>
      <c r="D237" s="77">
        <v>0.15895591065004933</v>
      </c>
      <c r="E237" s="77">
        <v>1.3288192975031698</v>
      </c>
      <c r="F237" s="77">
        <v>0.39412997903562896</v>
      </c>
      <c r="G237" s="77">
        <v>89.59851614651798</v>
      </c>
      <c r="H237" s="77">
        <v>0.21891049928435269</v>
      </c>
      <c r="I237" s="77">
        <v>1.4489047984317827</v>
      </c>
      <c r="J237" s="77">
        <v>1.900522215563738</v>
      </c>
    </row>
    <row r="238" spans="1:10" ht="12.75" customHeight="1">
      <c r="A238" s="69"/>
      <c r="B238" s="64" t="s">
        <v>12</v>
      </c>
      <c r="C238" s="77">
        <v>88.766883501692718</v>
      </c>
      <c r="D238" s="77">
        <v>0.74340126962912922</v>
      </c>
      <c r="E238" s="77">
        <v>2.0820990266610107</v>
      </c>
      <c r="F238" s="77">
        <v>1.2253462022660422</v>
      </c>
      <c r="G238" s="77">
        <v>89.711426987667082</v>
      </c>
      <c r="H238" s="77">
        <v>0.12601865076031782</v>
      </c>
      <c r="I238" s="77">
        <v>1.5767493394698739</v>
      </c>
      <c r="J238" s="77">
        <v>1.9067977768276956</v>
      </c>
    </row>
    <row r="239" spans="1:10" ht="12.75" customHeight="1">
      <c r="A239" s="69"/>
      <c r="B239" s="64" t="s">
        <v>13</v>
      </c>
      <c r="C239" s="77">
        <v>88.914080058365798</v>
      </c>
      <c r="D239" s="77">
        <v>0.16582372937568035</v>
      </c>
      <c r="E239" s="77">
        <v>2.2513753702920081</v>
      </c>
      <c r="F239" s="77">
        <v>1.5380736258194805</v>
      </c>
      <c r="G239" s="77">
        <v>89.81681043940624</v>
      </c>
      <c r="H239" s="77">
        <v>0.11746937405603397</v>
      </c>
      <c r="I239" s="77">
        <v>1.6960709111054406</v>
      </c>
      <c r="J239" s="77">
        <v>1.8001876972954634</v>
      </c>
    </row>
    <row r="240" spans="1:10" ht="12.75" customHeight="1">
      <c r="A240" s="69"/>
      <c r="B240" s="64" t="s">
        <v>14</v>
      </c>
      <c r="C240" s="77">
        <v>88.995038164535984</v>
      </c>
      <c r="D240" s="77">
        <v>9.105206522639353E-2</v>
      </c>
      <c r="E240" s="77">
        <v>2.3444773592890433</v>
      </c>
      <c r="F240" s="77">
        <v>2.3444773592890433</v>
      </c>
      <c r="G240" s="77">
        <v>89.929721280555341</v>
      </c>
      <c r="H240" s="77">
        <v>0.12571237009721958</v>
      </c>
      <c r="I240" s="77">
        <v>1.8239154521435319</v>
      </c>
      <c r="J240" s="77">
        <v>1.8239154521435319</v>
      </c>
    </row>
    <row r="241" spans="1:10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</row>
    <row r="242" spans="1:10" ht="12.75" customHeight="1">
      <c r="A242" s="69">
        <v>2016</v>
      </c>
      <c r="B242" s="64" t="s">
        <v>50</v>
      </c>
      <c r="C242" s="77">
        <v>88.987678336702317</v>
      </c>
      <c r="D242" s="77">
        <v>-8.2699305326006112E-3</v>
      </c>
      <c r="E242" s="77">
        <v>-8.2699305326006112E-3</v>
      </c>
      <c r="F242" s="77">
        <v>2.5269227507843661</v>
      </c>
      <c r="G242" s="77">
        <v>90.19317990990325</v>
      </c>
      <c r="H242" s="77">
        <v>0.29296057587679947</v>
      </c>
      <c r="I242" s="77">
        <v>0.29296057587679947</v>
      </c>
      <c r="J242" s="77">
        <v>1.7752484498428478</v>
      </c>
    </row>
    <row r="243" spans="1:10" ht="12.75" customHeight="1">
      <c r="A243" s="69"/>
      <c r="B243" s="64" t="s">
        <v>4</v>
      </c>
      <c r="C243" s="77">
        <v>88.487210044013906</v>
      </c>
      <c r="D243" s="77">
        <v>-0.56240178645271532</v>
      </c>
      <c r="E243" s="77">
        <v>-0.57062520674826533</v>
      </c>
      <c r="F243" s="77">
        <v>1.7432512482017604</v>
      </c>
      <c r="G243" s="77">
        <v>90.238344246362885</v>
      </c>
      <c r="H243" s="77">
        <v>5.0075112668990229E-2</v>
      </c>
      <c r="I243" s="77">
        <v>0.34318238888424446</v>
      </c>
      <c r="J243" s="77">
        <v>1.5760040671072728</v>
      </c>
    </row>
    <row r="244" spans="1:10" ht="12.75" customHeight="1">
      <c r="A244" s="69"/>
      <c r="B244" s="64" t="s">
        <v>5</v>
      </c>
      <c r="C244" s="77">
        <v>88.479850216180239</v>
      </c>
      <c r="D244" s="77">
        <v>-8.3173916659906588E-3</v>
      </c>
      <c r="E244" s="77">
        <v>-0.57889513728086595</v>
      </c>
      <c r="F244" s="77">
        <v>1.5886428933581165</v>
      </c>
      <c r="G244" s="77">
        <v>90.275981193412605</v>
      </c>
      <c r="H244" s="77">
        <v>4.1708375041737966E-2</v>
      </c>
      <c r="I244" s="77">
        <v>0.38503389972379676</v>
      </c>
      <c r="J244" s="77">
        <v>1.5237450266655683</v>
      </c>
    </row>
    <row r="245" spans="1:10" ht="12.75" customHeight="1">
      <c r="A245" s="69"/>
      <c r="B245" s="64" t="s">
        <v>6</v>
      </c>
      <c r="C245" s="77">
        <v>88.398892110010053</v>
      </c>
      <c r="D245" s="77">
        <v>-9.149891864914661E-2</v>
      </c>
      <c r="E245" s="77">
        <v>-0.66986437313928393</v>
      </c>
      <c r="F245" s="77">
        <v>1.7536428329379738</v>
      </c>
      <c r="G245" s="77">
        <v>90.306090751052352</v>
      </c>
      <c r="H245" s="77">
        <v>3.3352789126972482E-2</v>
      </c>
      <c r="I245" s="77">
        <v>0.41851510839541195</v>
      </c>
      <c r="J245" s="77">
        <v>1.5146386867490369</v>
      </c>
    </row>
    <row r="246" spans="1:10" ht="12.75" customHeight="1">
      <c r="A246" s="69"/>
      <c r="B246" s="64" t="s">
        <v>7</v>
      </c>
      <c r="C246" s="77">
        <v>88.619686945019652</v>
      </c>
      <c r="D246" s="77">
        <v>0.24977104321040056</v>
      </c>
      <c r="E246" s="77">
        <v>-0.4217664571617763</v>
      </c>
      <c r="F246" s="77">
        <v>1.7148166920087693</v>
      </c>
      <c r="G246" s="77">
        <v>90.403946813381566</v>
      </c>
      <c r="H246" s="77">
        <v>0.10836042343917995</v>
      </c>
      <c r="I246" s="77">
        <v>0.52732903657821684</v>
      </c>
      <c r="J246" s="77">
        <v>1.5558937933366934</v>
      </c>
    </row>
    <row r="247" spans="1:10" ht="12.75" customHeight="1">
      <c r="A247" s="69"/>
      <c r="B247" s="64" t="s">
        <v>8</v>
      </c>
      <c r="C247" s="77">
        <v>89.149594549042689</v>
      </c>
      <c r="D247" s="77">
        <v>0.59795698031723798</v>
      </c>
      <c r="E247" s="77">
        <v>0.17366854118423536</v>
      </c>
      <c r="F247" s="77">
        <v>1.9098098603398839</v>
      </c>
      <c r="G247" s="77">
        <v>90.584604159220149</v>
      </c>
      <c r="H247" s="77">
        <v>0.19983347210659197</v>
      </c>
      <c r="I247" s="77">
        <v>0.72821628860804122</v>
      </c>
      <c r="J247" s="77">
        <v>1.6213477453133063</v>
      </c>
    </row>
    <row r="248" spans="1:10" ht="12.75" customHeight="1">
      <c r="A248" s="69"/>
      <c r="B248" s="64" t="s">
        <v>9</v>
      </c>
      <c r="C248" s="77">
        <v>89.318870589216715</v>
      </c>
      <c r="D248" s="77">
        <v>0.18987864278048328</v>
      </c>
      <c r="E248" s="77">
        <v>0.36387694343364974</v>
      </c>
      <c r="F248" s="77">
        <v>1.8548048678136642</v>
      </c>
      <c r="G248" s="77">
        <v>90.697515000369236</v>
      </c>
      <c r="H248" s="77">
        <v>0.12464683397039877</v>
      </c>
      <c r="I248" s="77">
        <v>0.8537708211266315</v>
      </c>
      <c r="J248" s="77">
        <v>1.6707450848029604</v>
      </c>
    </row>
    <row r="249" spans="1:10" ht="12.75" customHeight="1">
      <c r="A249" s="69"/>
      <c r="B249" s="64" t="s">
        <v>49</v>
      </c>
      <c r="C249" s="77">
        <v>89.267351794381156</v>
      </c>
      <c r="D249" s="77">
        <v>-5.7679630850349106E-2</v>
      </c>
      <c r="E249" s="77">
        <v>0.30598742970557868</v>
      </c>
      <c r="F249" s="77">
        <v>1.4724336986530639</v>
      </c>
      <c r="G249" s="77">
        <v>90.945918850897272</v>
      </c>
      <c r="H249" s="77">
        <v>0.27388164992947495</v>
      </c>
      <c r="I249" s="77">
        <v>1.1299907926676234</v>
      </c>
      <c r="J249" s="77">
        <v>1.7260250905110741</v>
      </c>
    </row>
    <row r="250" spans="1:10" ht="12.75" customHeight="1">
      <c r="A250" s="69"/>
      <c r="B250" s="64" t="s">
        <v>11</v>
      </c>
      <c r="C250" s="77">
        <v>89.304150933549423</v>
      </c>
      <c r="D250" s="77">
        <v>4.1223513892330033E-2</v>
      </c>
      <c r="E250" s="77">
        <v>0.34733708236851513</v>
      </c>
      <c r="F250" s="77">
        <v>1.3531573671901276</v>
      </c>
      <c r="G250" s="77">
        <v>91.194322701425307</v>
      </c>
      <c r="H250" s="77">
        <v>0.27313358715446157</v>
      </c>
      <c r="I250" s="77">
        <v>1.4062107642086152</v>
      </c>
      <c r="J250" s="77">
        <v>1.7810635974124356</v>
      </c>
    </row>
    <row r="251" spans="1:10" ht="12.75" customHeight="1">
      <c r="A251" s="69"/>
      <c r="B251" s="64" t="s">
        <v>12</v>
      </c>
      <c r="C251" s="77">
        <v>89.57646456339458</v>
      </c>
      <c r="D251" s="77">
        <v>0.30492830064281495</v>
      </c>
      <c r="E251" s="77">
        <v>0.65332451207407161</v>
      </c>
      <c r="F251" s="77">
        <v>0.91203051156620862</v>
      </c>
      <c r="G251" s="77">
        <v>91.307233542574394</v>
      </c>
      <c r="H251" s="77">
        <v>0.12381345439536062</v>
      </c>
      <c r="I251" s="77">
        <v>1.5317652967272055</v>
      </c>
      <c r="J251" s="77">
        <v>1.7788219499915936</v>
      </c>
    </row>
    <row r="252" spans="1:10" ht="12.75" customHeight="1">
      <c r="A252" s="69"/>
      <c r="B252" s="64" t="s">
        <v>13</v>
      </c>
      <c r="C252" s="77">
        <v>89.694221808733047</v>
      </c>
      <c r="D252" s="77">
        <v>0.13146002793527067</v>
      </c>
      <c r="E252" s="77">
        <v>0.78564340059543714</v>
      </c>
      <c r="F252" s="77">
        <v>0.87741081036338819</v>
      </c>
      <c r="G252" s="77">
        <v>91.42767177313344</v>
      </c>
      <c r="H252" s="77">
        <v>0.13190436933223637</v>
      </c>
      <c r="I252" s="77">
        <v>1.6656901314137551</v>
      </c>
      <c r="J252" s="77">
        <v>1.7934964800536468</v>
      </c>
    </row>
    <row r="253" spans="1:10" ht="12.75" customHeight="1">
      <c r="A253" s="69"/>
      <c r="B253" s="64" t="s">
        <v>14</v>
      </c>
      <c r="C253" s="77">
        <v>90.50380287043491</v>
      </c>
      <c r="D253" s="77">
        <v>0.90260113235414163</v>
      </c>
      <c r="E253" s="77">
        <v>1.695335759179617</v>
      </c>
      <c r="F253" s="77">
        <v>1.695335759179617</v>
      </c>
      <c r="G253" s="77">
        <v>91.630911287201826</v>
      </c>
      <c r="H253" s="77">
        <v>0.22229540589495667</v>
      </c>
      <c r="I253" s="77">
        <v>1.8916882899472798</v>
      </c>
      <c r="J253" s="77">
        <v>1.8916882899472798</v>
      </c>
    </row>
    <row r="254" spans="1:10" ht="12.75" customHeight="1">
      <c r="A254" s="69"/>
      <c r="C254" s="77"/>
      <c r="D254" s="77"/>
      <c r="E254" s="77"/>
      <c r="F254" s="77"/>
      <c r="G254" s="77"/>
      <c r="H254" s="77"/>
      <c r="I254" s="77"/>
      <c r="J254" s="77"/>
    </row>
    <row r="255" spans="1:10" ht="12.75" customHeight="1">
      <c r="A255" s="69">
        <v>2017</v>
      </c>
      <c r="B255" s="64" t="s">
        <v>50</v>
      </c>
      <c r="C255" s="77">
        <v>91.063149785792561</v>
      </c>
      <c r="D255" s="77">
        <v>0.61803691957387219</v>
      </c>
      <c r="E255" s="77">
        <v>0.61803691957387219</v>
      </c>
      <c r="F255" s="77">
        <v>2.3323132908775301</v>
      </c>
      <c r="G255" s="77">
        <v>91.864260358909974</v>
      </c>
      <c r="H255" s="77">
        <v>0.25466195678962578</v>
      </c>
      <c r="I255" s="77">
        <v>0.25466195678962578</v>
      </c>
      <c r="J255" s="77">
        <v>1.852779168753127</v>
      </c>
    </row>
    <row r="256" spans="1:10" ht="12.75" customHeight="1">
      <c r="A256" s="69"/>
      <c r="B256" s="64" t="s">
        <v>4</v>
      </c>
      <c r="C256" s="77">
        <v>91.445860833142532</v>
      </c>
      <c r="D256" s="77">
        <v>0.42026994261699091</v>
      </c>
      <c r="E256" s="77">
        <v>1.0409042855981099</v>
      </c>
      <c r="F256" s="77">
        <v>3.3435914497213615</v>
      </c>
      <c r="G256" s="77">
        <v>92.052445094158486</v>
      </c>
      <c r="H256" s="77">
        <v>0.20485086856769641</v>
      </c>
      <c r="I256" s="77">
        <v>0.46003450258771394</v>
      </c>
      <c r="J256" s="77">
        <v>2.0103436770103622</v>
      </c>
    </row>
    <row r="257" spans="1:10" ht="12.75" customHeight="1">
      <c r="A257" s="69"/>
      <c r="B257" s="64" t="s">
        <v>5</v>
      </c>
      <c r="C257" s="77">
        <v>91.2618651373012</v>
      </c>
      <c r="D257" s="77">
        <v>-0.20120724346076591</v>
      </c>
      <c r="E257" s="77">
        <v>0.83760266731722766</v>
      </c>
      <c r="F257" s="77">
        <v>3.1442355681251088</v>
      </c>
      <c r="G257" s="77">
        <v>92.157828545897644</v>
      </c>
      <c r="H257" s="77">
        <v>0.11448196908985242</v>
      </c>
      <c r="I257" s="77">
        <v>0.57504312823462023</v>
      </c>
      <c r="J257" s="77">
        <v>2.0845493204369125</v>
      </c>
    </row>
    <row r="258" spans="1:10" ht="12.75" customHeight="1">
      <c r="A258" s="69"/>
      <c r="B258" s="64" t="s">
        <v>6</v>
      </c>
      <c r="C258" s="77">
        <v>91.504739455811759</v>
      </c>
      <c r="D258" s="77">
        <v>0.26612903225806672</v>
      </c>
      <c r="E258" s="77">
        <v>1.1059608034480028</v>
      </c>
      <c r="F258" s="77">
        <v>3.5134460078261709</v>
      </c>
      <c r="G258" s="77">
        <v>92.255684608226858</v>
      </c>
      <c r="H258" s="77">
        <v>0.10618312505104033</v>
      </c>
      <c r="I258" s="77">
        <v>0.68183685204961098</v>
      </c>
      <c r="J258" s="77">
        <v>2.1588730515962329</v>
      </c>
    </row>
    <row r="259" spans="1:10" ht="12.75" customHeight="1">
      <c r="A259" s="69"/>
      <c r="B259" s="64" t="s">
        <v>7</v>
      </c>
      <c r="C259" s="77">
        <v>91.372262554805999</v>
      </c>
      <c r="D259" s="77">
        <v>-0.14477599935655006</v>
      </c>
      <c r="E259" s="77">
        <v>0.95958363828576587</v>
      </c>
      <c r="F259" s="77">
        <v>3.1060543144257213</v>
      </c>
      <c r="G259" s="77">
        <v>92.391177617605777</v>
      </c>
      <c r="H259" s="77">
        <v>0.1468668407310636</v>
      </c>
      <c r="I259" s="77">
        <v>0.8297050850242238</v>
      </c>
      <c r="J259" s="77">
        <v>2.1981681931723562</v>
      </c>
    </row>
    <row r="260" spans="1:10" ht="12.75" customHeight="1">
      <c r="A260" s="69"/>
      <c r="B260" s="64" t="s">
        <v>8</v>
      </c>
      <c r="C260" s="77">
        <v>91.423781349641573</v>
      </c>
      <c r="D260" s="77">
        <v>5.6383407168736355E-2</v>
      </c>
      <c r="E260" s="77">
        <v>1.0165080914044111</v>
      </c>
      <c r="F260" s="77">
        <v>2.5509782877899845</v>
      </c>
      <c r="G260" s="77">
        <v>92.556780184624458</v>
      </c>
      <c r="H260" s="77">
        <v>0.17924067133778809</v>
      </c>
      <c r="I260" s="77">
        <v>1.010432925326521</v>
      </c>
      <c r="J260" s="77">
        <v>2.1771647000166094</v>
      </c>
    </row>
    <row r="261" spans="1:10" ht="12.75" customHeight="1">
      <c r="A261" s="69"/>
      <c r="B261" s="64" t="s">
        <v>9</v>
      </c>
      <c r="C261" s="77">
        <v>91.585697561981945</v>
      </c>
      <c r="D261" s="77">
        <v>0.17710513604893841</v>
      </c>
      <c r="E261" s="77">
        <v>1.1954135154915724</v>
      </c>
      <c r="F261" s="77">
        <v>2.5379037574159602</v>
      </c>
      <c r="G261" s="77">
        <v>92.722382751643153</v>
      </c>
      <c r="H261" s="77">
        <v>0.17891997397527781</v>
      </c>
      <c r="I261" s="77">
        <v>1.1911607656288403</v>
      </c>
      <c r="J261" s="77">
        <v>2.232550419121937</v>
      </c>
    </row>
    <row r="262" spans="1:10" ht="12.75" customHeight="1">
      <c r="A262" s="69"/>
      <c r="B262" s="64" t="s">
        <v>49</v>
      </c>
      <c r="C262" s="77">
        <v>92.108245338171329</v>
      </c>
      <c r="D262" s="77">
        <v>0.57055609128897622</v>
      </c>
      <c r="E262" s="77">
        <v>1.7727901114092726</v>
      </c>
      <c r="F262" s="77">
        <v>3.1824552724874167</v>
      </c>
      <c r="G262" s="77">
        <v>93.008423549220879</v>
      </c>
      <c r="H262" s="77">
        <v>0.30849163825297232</v>
      </c>
      <c r="I262" s="77">
        <v>1.5033270352419192</v>
      </c>
      <c r="J262" s="77">
        <v>2.2678364509187254</v>
      </c>
    </row>
    <row r="263" spans="1:10" ht="12.75" customHeight="1">
      <c r="A263" s="69"/>
      <c r="B263" s="64" t="s">
        <v>11</v>
      </c>
      <c r="C263" s="77">
        <v>92.697031564863593</v>
      </c>
      <c r="D263" s="77">
        <v>0.63923292049541391</v>
      </c>
      <c r="E263" s="77">
        <v>2.4233552899080912</v>
      </c>
      <c r="F263" s="77">
        <v>3.7992417999010986</v>
      </c>
      <c r="G263" s="77">
        <v>93.286936957388676</v>
      </c>
      <c r="H263" s="77">
        <v>0.29944966008417229</v>
      </c>
      <c r="I263" s="77">
        <v>1.8072784030231048</v>
      </c>
      <c r="J263" s="77">
        <v>2.2946760214610062</v>
      </c>
    </row>
    <row r="264" spans="1:10" ht="12.75" customHeight="1">
      <c r="A264" s="69"/>
      <c r="B264" s="64" t="s">
        <v>12</v>
      </c>
      <c r="C264" s="77">
        <v>92.697031564863593</v>
      </c>
      <c r="D264" s="77">
        <v>0</v>
      </c>
      <c r="E264" s="77">
        <v>2.4233552899080912</v>
      </c>
      <c r="F264" s="77">
        <v>3.4836907402842954</v>
      </c>
      <c r="G264" s="77">
        <v>93.347156072668199</v>
      </c>
      <c r="H264" s="77">
        <v>6.4552569999198894E-2</v>
      </c>
      <c r="I264" s="77">
        <v>1.8729976176784735</v>
      </c>
      <c r="J264" s="77">
        <v>2.2341302555647369</v>
      </c>
    </row>
    <row r="265" spans="1:10" ht="12.75" customHeight="1">
      <c r="A265" s="69"/>
      <c r="B265" s="64" t="s">
        <v>13</v>
      </c>
      <c r="C265" s="77">
        <v>93.40357503689431</v>
      </c>
      <c r="D265" s="77">
        <v>0.76220722508932859</v>
      </c>
      <c r="E265" s="77">
        <v>3.2040335041066736</v>
      </c>
      <c r="F265" s="77">
        <v>4.1355542791499111</v>
      </c>
      <c r="G265" s="77">
        <v>93.542868197326627</v>
      </c>
      <c r="H265" s="77">
        <v>0.20966051124906571</v>
      </c>
      <c r="I265" s="77">
        <v>2.086585065308455</v>
      </c>
      <c r="J265" s="77">
        <v>2.3135188539436857</v>
      </c>
    </row>
    <row r="266" spans="1:10" ht="12.75" customHeight="1">
      <c r="A266" s="69"/>
      <c r="B266" s="64" t="s">
        <v>14</v>
      </c>
      <c r="C266" s="77">
        <v>94.308833860433666</v>
      </c>
      <c r="D266" s="77">
        <v>0.96919076510912916</v>
      </c>
      <c r="E266" s="77">
        <v>4.2042774660486115</v>
      </c>
      <c r="F266" s="77">
        <v>4.2042774660486115</v>
      </c>
      <c r="G266" s="77">
        <v>93.791272047854648</v>
      </c>
      <c r="H266" s="77">
        <v>0.26555081676993275</v>
      </c>
      <c r="I266" s="77">
        <v>2.3576768257619118</v>
      </c>
      <c r="J266" s="77">
        <v>2.3576768257619118</v>
      </c>
    </row>
    <row r="267" spans="1:10" ht="12.75" customHeight="1">
      <c r="A267" s="69"/>
      <c r="C267" s="77"/>
      <c r="D267" s="77"/>
      <c r="E267" s="77"/>
      <c r="F267" s="77"/>
      <c r="G267" s="77"/>
      <c r="H267" s="77"/>
      <c r="I267" s="77"/>
      <c r="J267" s="77"/>
    </row>
    <row r="268" spans="1:10" ht="12.75" customHeight="1">
      <c r="A268" s="69">
        <v>2018</v>
      </c>
      <c r="B268" s="64" t="s">
        <v>50</v>
      </c>
      <c r="C268" s="77">
        <v>94.581147490278838</v>
      </c>
      <c r="D268" s="77">
        <v>0.28874668331513309</v>
      </c>
      <c r="E268" s="77">
        <v>0.28874668331513309</v>
      </c>
      <c r="F268" s="77">
        <v>3.8632506263638344</v>
      </c>
      <c r="G268" s="77">
        <v>94.092367624252262</v>
      </c>
      <c r="H268" s="77">
        <v>0.32102728731941976</v>
      </c>
      <c r="I268" s="77">
        <v>0.32102728731941976</v>
      </c>
      <c r="J268" s="77">
        <v>2.4254342838413656</v>
      </c>
    </row>
    <row r="269" spans="1:10" ht="12.75" customHeight="1">
      <c r="A269" s="69"/>
      <c r="B269" s="64" t="s">
        <v>4</v>
      </c>
      <c r="C269" s="77">
        <v>94.478109900607706</v>
      </c>
      <c r="D269" s="77">
        <v>-0.10894093844835417</v>
      </c>
      <c r="E269" s="77">
        <v>0.17949118152023047</v>
      </c>
      <c r="F269" s="77">
        <v>3.3158953722334017</v>
      </c>
      <c r="G269" s="77">
        <v>94.318189306550465</v>
      </c>
      <c r="H269" s="77">
        <v>0.23999999999999577</v>
      </c>
      <c r="I269" s="77">
        <v>0.56179775280900124</v>
      </c>
      <c r="J269" s="77">
        <v>2.461362335432149</v>
      </c>
    </row>
    <row r="270" spans="1:10" ht="12.75" customHeight="1">
      <c r="A270" s="69"/>
      <c r="B270" s="64" t="s">
        <v>5</v>
      </c>
      <c r="C270" s="77">
        <v>94.831381636623064</v>
      </c>
      <c r="D270" s="77">
        <v>0.3739191399859676</v>
      </c>
      <c r="E270" s="77">
        <v>0.55408147338849023</v>
      </c>
      <c r="F270" s="77">
        <v>3.9112903225806406</v>
      </c>
      <c r="G270" s="77">
        <v>94.528956210028795</v>
      </c>
      <c r="H270" s="77">
        <v>0.22346368715084886</v>
      </c>
      <c r="I270" s="77">
        <v>0.78651685393258397</v>
      </c>
      <c r="J270" s="77">
        <v>2.572898799313883</v>
      </c>
    </row>
    <row r="271" spans="1:10" ht="12.75" customHeight="1">
      <c r="A271" s="69"/>
      <c r="B271" s="64" t="s">
        <v>6</v>
      </c>
      <c r="C271" s="77">
        <v>95.206732856139396</v>
      </c>
      <c r="D271" s="77">
        <v>0.39580908032597062</v>
      </c>
      <c r="E271" s="77">
        <v>0.95208365849854815</v>
      </c>
      <c r="F271" s="77">
        <v>4.0456848709080839</v>
      </c>
      <c r="G271" s="77">
        <v>94.769832671146887</v>
      </c>
      <c r="H271" s="77">
        <v>0.25481764612200752</v>
      </c>
      <c r="I271" s="77">
        <v>1.043338683788142</v>
      </c>
      <c r="J271" s="77">
        <v>2.7251958224543182</v>
      </c>
    </row>
    <row r="272" spans="1:10" ht="12.75" customHeight="1">
      <c r="A272" s="69"/>
      <c r="B272" s="64" t="s">
        <v>7</v>
      </c>
      <c r="C272" s="77">
        <v>95.45696700248358</v>
      </c>
      <c r="D272" s="77">
        <v>0.26283240568951705</v>
      </c>
      <c r="E272" s="77">
        <v>1.2174184485718609</v>
      </c>
      <c r="F272" s="77">
        <v>4.4703987112364008</v>
      </c>
      <c r="G272" s="77">
        <v>94.882743512295988</v>
      </c>
      <c r="H272" s="77">
        <v>0.11914217633042234</v>
      </c>
      <c r="I272" s="77">
        <v>1.1637239165329216</v>
      </c>
      <c r="J272" s="77">
        <v>2.6967573733094552</v>
      </c>
    </row>
    <row r="273" spans="1:10" ht="12.75" customHeight="1">
      <c r="A273" s="69"/>
      <c r="B273" s="64" t="s">
        <v>8</v>
      </c>
      <c r="C273" s="77">
        <v>95.655682353992233</v>
      </c>
      <c r="D273" s="77">
        <v>0.20817270624520212</v>
      </c>
      <c r="E273" s="77">
        <v>1.4281254877477778</v>
      </c>
      <c r="F273" s="77">
        <v>4.628884237642894</v>
      </c>
      <c r="G273" s="77">
        <v>95.040818689904739</v>
      </c>
      <c r="H273" s="77">
        <v>0.16660055533519458</v>
      </c>
      <c r="I273" s="77">
        <v>1.3322632423756309</v>
      </c>
      <c r="J273" s="77">
        <v>2.6837996096291672</v>
      </c>
    </row>
    <row r="274" spans="1:10" ht="12.75" customHeight="1">
      <c r="A274" s="69"/>
      <c r="B274" s="64" t="s">
        <v>9</v>
      </c>
      <c r="C274" s="77">
        <v>95.640962698324913</v>
      </c>
      <c r="D274" s="77">
        <v>-1.5388166499974432E-2</v>
      </c>
      <c r="E274" s="77">
        <v>1.4125175589199346</v>
      </c>
      <c r="F274" s="77">
        <v>4.4278367084538583</v>
      </c>
      <c r="G274" s="77">
        <v>95.146202141643897</v>
      </c>
      <c r="H274" s="77">
        <v>0.11088230635196705</v>
      </c>
      <c r="I274" s="77">
        <v>1.4446227929374222</v>
      </c>
      <c r="J274" s="77">
        <v>2.614060724143541</v>
      </c>
    </row>
    <row r="275" spans="1:10" ht="12.75" customHeight="1">
      <c r="A275" s="69"/>
      <c r="B275" s="64" t="s">
        <v>49</v>
      </c>
      <c r="C275" s="77">
        <v>95.67040200965954</v>
      </c>
      <c r="D275" s="77">
        <v>3.0781069642182857E-2</v>
      </c>
      <c r="E275" s="77">
        <v>1.443733416575621</v>
      </c>
      <c r="F275" s="77">
        <v>3.8673591689972087</v>
      </c>
      <c r="G275" s="77">
        <v>95.417188160401736</v>
      </c>
      <c r="H275" s="77">
        <v>0.28481012658228</v>
      </c>
      <c r="I275" s="77">
        <v>1.7335473515248889</v>
      </c>
      <c r="J275" s="77">
        <v>2.589834898025245</v>
      </c>
    </row>
    <row r="276" spans="1:10" ht="12.75" customHeight="1">
      <c r="A276" s="69"/>
      <c r="B276" s="64" t="s">
        <v>11</v>
      </c>
      <c r="C276" s="77">
        <v>95.744000287996073</v>
      </c>
      <c r="D276" s="77">
        <v>7.6928994538039142E-2</v>
      </c>
      <c r="E276" s="77">
        <v>1.5217730607148594</v>
      </c>
      <c r="F276" s="77">
        <v>3.2870186581976935</v>
      </c>
      <c r="G276" s="77">
        <v>95.643009842699939</v>
      </c>
      <c r="H276" s="77">
        <v>0.23666771852319801</v>
      </c>
      <c r="I276" s="77">
        <v>1.9743178170144482</v>
      </c>
      <c r="J276" s="77">
        <v>2.525619301218418</v>
      </c>
    </row>
    <row r="277" spans="1:10" ht="12.75" customHeight="1">
      <c r="A277" s="69"/>
      <c r="B277" s="64" t="s">
        <v>12</v>
      </c>
      <c r="C277" s="77">
        <v>95.957435295172019</v>
      </c>
      <c r="D277" s="77">
        <v>0.22292259205165532</v>
      </c>
      <c r="E277" s="77">
        <v>1.7480880287185974</v>
      </c>
      <c r="F277" s="77">
        <v>3.5172687574434258</v>
      </c>
      <c r="G277" s="77">
        <v>95.770975462668929</v>
      </c>
      <c r="H277" s="77">
        <v>0.13379505745316767</v>
      </c>
      <c r="I277" s="77">
        <v>2.1107544141252266</v>
      </c>
      <c r="J277" s="77">
        <v>2.5965647931618374</v>
      </c>
    </row>
    <row r="278" spans="1:10" ht="12.75" customHeight="1">
      <c r="A278" s="69"/>
      <c r="B278" s="64" t="s">
        <v>13</v>
      </c>
      <c r="C278" s="77">
        <v>95.618883214823953</v>
      </c>
      <c r="D278" s="77">
        <v>-0.35281484890321568</v>
      </c>
      <c r="E278" s="77">
        <v>1.3891056656781586</v>
      </c>
      <c r="F278" s="77">
        <v>2.3717595146166559</v>
      </c>
      <c r="G278" s="77">
        <v>95.921523250867736</v>
      </c>
      <c r="H278" s="77">
        <v>0.15719562996148184</v>
      </c>
      <c r="I278" s="77">
        <v>2.2712680577849254</v>
      </c>
      <c r="J278" s="77">
        <v>2.5428502454333479</v>
      </c>
    </row>
    <row r="279" spans="1:10" ht="12.75" customHeight="1">
      <c r="A279" s="69"/>
      <c r="B279" s="64" t="s">
        <v>14</v>
      </c>
      <c r="C279" s="77">
        <v>95.41280803548166</v>
      </c>
      <c r="D279" s="77">
        <v>-0.21551724137931494</v>
      </c>
      <c r="E279" s="77">
        <v>1.1705946620883312</v>
      </c>
      <c r="F279" s="77">
        <v>1.1705946620883312</v>
      </c>
      <c r="G279" s="77">
        <v>96.109707986116234</v>
      </c>
      <c r="H279" s="77">
        <v>0.19618614141097002</v>
      </c>
      <c r="I279" s="77">
        <v>2.4719101123595655</v>
      </c>
      <c r="J279" s="77">
        <v>2.4719101123595655</v>
      </c>
    </row>
    <row r="280" spans="1:10" ht="12.75" customHeight="1">
      <c r="A280" s="69"/>
      <c r="C280" s="77"/>
      <c r="D280" s="77"/>
      <c r="E280" s="77"/>
      <c r="F280" s="77"/>
      <c r="G280" s="77"/>
      <c r="H280" s="77"/>
      <c r="I280" s="77"/>
      <c r="J280" s="77"/>
    </row>
    <row r="281" spans="1:10" ht="12.75" customHeight="1">
      <c r="A281" s="69">
        <v>2019</v>
      </c>
      <c r="B281" s="64" t="s">
        <v>50</v>
      </c>
      <c r="C281" s="77">
        <v>95.250891823141288</v>
      </c>
      <c r="D281" s="77">
        <v>-0.16970070965751649</v>
      </c>
      <c r="E281" s="77">
        <v>-0.16970070965751649</v>
      </c>
      <c r="F281" s="77">
        <v>0.70811609991439095</v>
      </c>
      <c r="G281" s="77">
        <v>96.328002279004494</v>
      </c>
      <c r="H281" s="77">
        <v>0.22713032581453962</v>
      </c>
      <c r="I281" s="77">
        <v>0.22713032581453962</v>
      </c>
      <c r="J281" s="77">
        <v>2.3760000000000003</v>
      </c>
    </row>
    <row r="282" spans="1:10" ht="12.75" customHeight="1">
      <c r="A282" s="69"/>
      <c r="B282" s="64" t="s">
        <v>4</v>
      </c>
      <c r="C282" s="77">
        <v>95.60416355915666</v>
      </c>
      <c r="D282" s="77">
        <v>0.37088548910524377</v>
      </c>
      <c r="E282" s="77">
        <v>0.20055538414072149</v>
      </c>
      <c r="F282" s="77">
        <v>1.1918672587053036</v>
      </c>
      <c r="G282" s="77">
        <v>96.44844050956354</v>
      </c>
      <c r="H282" s="77">
        <v>0.12502930374307386</v>
      </c>
      <c r="I282" s="77">
        <v>0.35244360902255689</v>
      </c>
      <c r="J282" s="77">
        <v>2.258579409417405</v>
      </c>
    </row>
    <row r="283" spans="1:10" ht="12.75" customHeight="1">
      <c r="A283" s="69"/>
      <c r="B283" s="64" t="s">
        <v>5</v>
      </c>
      <c r="C283" s="77">
        <v>96.229748925017191</v>
      </c>
      <c r="D283" s="77">
        <v>0.65434949961509226</v>
      </c>
      <c r="E283" s="77">
        <v>0.8562172169083837</v>
      </c>
      <c r="F283" s="77">
        <v>1.474582848273176</v>
      </c>
      <c r="G283" s="77">
        <v>96.561351350712641</v>
      </c>
      <c r="H283" s="77">
        <v>0.11706860220088711</v>
      </c>
      <c r="I283" s="77">
        <v>0.46992481203007586</v>
      </c>
      <c r="J283" s="77">
        <v>2.1500238891543288</v>
      </c>
    </row>
    <row r="284" spans="1:10" ht="12.75" customHeight="1">
      <c r="A284" s="69"/>
      <c r="B284" s="64" t="s">
        <v>6</v>
      </c>
      <c r="C284" s="77">
        <v>96.737577045539268</v>
      </c>
      <c r="D284" s="77">
        <v>0.52772466539197094</v>
      </c>
      <c r="E284" s="77">
        <v>1.3884603517432925</v>
      </c>
      <c r="F284" s="77">
        <v>1.607915893630163</v>
      </c>
      <c r="G284" s="77">
        <v>96.726953917731336</v>
      </c>
      <c r="H284" s="77">
        <v>0.17149984409106089</v>
      </c>
      <c r="I284" s="77">
        <v>0.64223057644110515</v>
      </c>
      <c r="J284" s="77">
        <v>2.0651310563939651</v>
      </c>
    </row>
    <row r="285" spans="1:10" ht="12.75" customHeight="1">
      <c r="A285" s="69"/>
      <c r="B285" s="64" t="s">
        <v>7</v>
      </c>
      <c r="C285" s="77">
        <v>96.708137734204669</v>
      </c>
      <c r="D285" s="77">
        <v>-3.0432136335956095E-2</v>
      </c>
      <c r="E285" s="77">
        <v>1.3576056772601319</v>
      </c>
      <c r="F285" s="77">
        <v>1.3107170393215295</v>
      </c>
      <c r="G285" s="77">
        <v>96.757063475371083</v>
      </c>
      <c r="H285" s="77">
        <v>3.1128404669256149E-2</v>
      </c>
      <c r="I285" s="77">
        <v>0.67355889724309836</v>
      </c>
      <c r="J285" s="77">
        <v>1.9754065846885993</v>
      </c>
    </row>
    <row r="286" spans="1:10" ht="12.75" customHeight="1">
      <c r="A286" s="69"/>
      <c r="B286" s="64" t="s">
        <v>8</v>
      </c>
      <c r="C286" s="77">
        <v>96.531501866196976</v>
      </c>
      <c r="D286" s="77">
        <v>-0.18264840182650177</v>
      </c>
      <c r="E286" s="77">
        <v>1.1724776303610129</v>
      </c>
      <c r="F286" s="77">
        <v>0.91559590674770153</v>
      </c>
      <c r="G286" s="77">
        <v>96.892556484750017</v>
      </c>
      <c r="H286" s="77">
        <v>0.14003423058970288</v>
      </c>
      <c r="I286" s="77">
        <v>0.81453634085213444</v>
      </c>
      <c r="J286" s="77">
        <v>1.9483605258989289</v>
      </c>
    </row>
    <row r="287" spans="1:10" ht="12.75" customHeight="1">
      <c r="A287" s="69"/>
      <c r="B287" s="64" t="s">
        <v>9</v>
      </c>
      <c r="C287" s="77">
        <v>96.980451364049841</v>
      </c>
      <c r="D287" s="77">
        <v>0.46508081732237194</v>
      </c>
      <c r="E287" s="77">
        <v>1.6430114162295784</v>
      </c>
      <c r="F287" s="77">
        <v>1.4005386687187649</v>
      </c>
      <c r="G287" s="77">
        <v>97.088268609408445</v>
      </c>
      <c r="H287" s="77">
        <v>0.20198881292725623</v>
      </c>
      <c r="I287" s="77">
        <v>1.018170426065157</v>
      </c>
      <c r="J287" s="77">
        <v>2.0411392405063067</v>
      </c>
    </row>
    <row r="288" spans="1:10" ht="12.75" customHeight="1">
      <c r="A288" s="69"/>
      <c r="B288" s="64" t="s">
        <v>49</v>
      </c>
      <c r="C288" s="77">
        <v>97.311643616564226</v>
      </c>
      <c r="D288" s="77">
        <v>0.34150413599451923</v>
      </c>
      <c r="E288" s="77">
        <v>1.9901265041653904</v>
      </c>
      <c r="F288" s="77">
        <v>1.7155165781983284</v>
      </c>
      <c r="G288" s="77">
        <v>97.381836796396129</v>
      </c>
      <c r="H288" s="77">
        <v>0.30237246084665603</v>
      </c>
      <c r="I288" s="77">
        <v>1.323621553884724</v>
      </c>
      <c r="J288" s="77">
        <v>2.0590091511517805</v>
      </c>
    </row>
    <row r="289" spans="1:10" ht="12.75" customHeight="1">
      <c r="A289" s="69"/>
      <c r="B289" s="64" t="s">
        <v>11</v>
      </c>
      <c r="C289" s="77">
        <v>97.67963500824689</v>
      </c>
      <c r="D289" s="77">
        <v>0.37815761609438781</v>
      </c>
      <c r="E289" s="77">
        <v>2.3758099352051865</v>
      </c>
      <c r="F289" s="77">
        <v>2.0216773003305377</v>
      </c>
      <c r="G289" s="77">
        <v>97.690459762203673</v>
      </c>
      <c r="H289" s="77">
        <v>0.31692046069413671</v>
      </c>
      <c r="I289" s="77">
        <v>1.6447368421052655</v>
      </c>
      <c r="J289" s="77">
        <v>2.1407209192507493</v>
      </c>
    </row>
    <row r="290" spans="1:10" ht="12.75" customHeight="1">
      <c r="A290" s="69"/>
      <c r="B290" s="64" t="s">
        <v>12</v>
      </c>
      <c r="C290" s="77">
        <v>98.334659685442048</v>
      </c>
      <c r="D290" s="77">
        <v>0.6705846895720402</v>
      </c>
      <c r="E290" s="77">
        <v>3.0623264424560537</v>
      </c>
      <c r="F290" s="77">
        <v>2.4773738303420778</v>
      </c>
      <c r="G290" s="77">
        <v>97.908754055091933</v>
      </c>
      <c r="H290" s="77">
        <v>0.22345507782399743</v>
      </c>
      <c r="I290" s="77">
        <v>1.8718671679198051</v>
      </c>
      <c r="J290" s="77">
        <v>2.2321779454531177</v>
      </c>
    </row>
    <row r="291" spans="1:10" ht="12.75" customHeight="1">
      <c r="A291" s="69"/>
      <c r="B291" s="64" t="s">
        <v>13</v>
      </c>
      <c r="C291" s="77">
        <v>98.702651077124713</v>
      </c>
      <c r="D291" s="77">
        <v>0.37422348626598989</v>
      </c>
      <c r="E291" s="77">
        <v>3.4480098734958498</v>
      </c>
      <c r="F291" s="77">
        <v>3.225061576354693</v>
      </c>
      <c r="G291" s="77">
        <v>98.029192285650979</v>
      </c>
      <c r="H291" s="77">
        <v>0.12301068655340419</v>
      </c>
      <c r="I291" s="77">
        <v>1.9971804511278224</v>
      </c>
      <c r="J291" s="77">
        <v>2.1972847838028553</v>
      </c>
    </row>
    <row r="292" spans="1:10" ht="12.75" customHeight="1">
      <c r="A292" s="69"/>
      <c r="B292" s="64" t="s">
        <v>14</v>
      </c>
      <c r="C292" s="77">
        <v>98.901366428633338</v>
      </c>
      <c r="D292" s="77">
        <v>0.20132726866004536</v>
      </c>
      <c r="E292" s="77">
        <v>3.6562789262573281</v>
      </c>
      <c r="F292" s="77">
        <v>3.6562789262573281</v>
      </c>
      <c r="G292" s="77">
        <v>98.27006874676907</v>
      </c>
      <c r="H292" s="77">
        <v>0.245719112339704</v>
      </c>
      <c r="I292" s="77">
        <v>2.2478070175438569</v>
      </c>
      <c r="J292" s="77">
        <v>2.2478070175438569</v>
      </c>
    </row>
    <row r="293" spans="1:10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</row>
    <row r="294" spans="1:10" ht="12.75" customHeight="1">
      <c r="A294" s="69">
        <v>2020</v>
      </c>
      <c r="B294" s="64" t="s">
        <v>50</v>
      </c>
      <c r="C294" s="77">
        <v>99.225198853314083</v>
      </c>
      <c r="D294" s="77">
        <v>0.32742967703527359</v>
      </c>
      <c r="E294" s="77">
        <v>0.32742967703527359</v>
      </c>
      <c r="F294" s="77">
        <v>4.1724617524339314</v>
      </c>
      <c r="G294" s="77">
        <v>98.646438217266081</v>
      </c>
      <c r="H294" s="77">
        <v>0.38299502106473593</v>
      </c>
      <c r="I294" s="77">
        <v>0.38299502106473593</v>
      </c>
      <c r="J294" s="77">
        <v>2.4068140970540108</v>
      </c>
    </row>
    <row r="295" spans="1:10" ht="12.75" customHeight="1">
      <c r="A295" s="120"/>
      <c r="B295" s="64" t="s">
        <v>4</v>
      </c>
      <c r="C295" s="77">
        <v>99.100081780141991</v>
      </c>
      <c r="D295" s="77">
        <v>-0.12609405132768536</v>
      </c>
      <c r="E295" s="77">
        <v>0.20092275636256485</v>
      </c>
      <c r="F295" s="77">
        <v>3.6566589684372541</v>
      </c>
      <c r="G295" s="77">
        <v>98.85720512074441</v>
      </c>
      <c r="H295" s="77">
        <v>0.21365890881344107</v>
      </c>
      <c r="I295" s="77">
        <v>0.59747223286097384</v>
      </c>
      <c r="J295" s="77">
        <v>2.4974635136189915</v>
      </c>
    </row>
    <row r="296" spans="1:10" ht="12.75" customHeight="1">
      <c r="A296" s="120"/>
      <c r="B296" s="64" t="s">
        <v>5</v>
      </c>
      <c r="C296" s="77">
        <v>98.584893831786246</v>
      </c>
      <c r="D296" s="77">
        <v>-0.51986632008913514</v>
      </c>
      <c r="E296" s="77">
        <v>-0.31998809346628354</v>
      </c>
      <c r="F296" s="77">
        <v>2.4474187380497003</v>
      </c>
      <c r="G296" s="77">
        <v>99.135718528912179</v>
      </c>
      <c r="H296" s="77">
        <v>0.28173303890959289</v>
      </c>
      <c r="I296" s="77">
        <v>0.88088854844885489</v>
      </c>
      <c r="J296" s="77">
        <v>2.666043030869969</v>
      </c>
    </row>
    <row r="297" spans="1:10" ht="12.75" customHeight="1">
      <c r="A297" s="64"/>
      <c r="B297" s="64" t="s">
        <v>6</v>
      </c>
      <c r="C297" s="77">
        <v>97.775312770084383</v>
      </c>
      <c r="D297" s="77">
        <v>-0.82120194102276445</v>
      </c>
      <c r="E297" s="77">
        <v>-1.1385622860544675</v>
      </c>
      <c r="F297" s="77">
        <v>1.0727328058429686</v>
      </c>
      <c r="G297" s="77">
        <v>99.391649768850144</v>
      </c>
      <c r="H297" s="77">
        <v>0.25816249050873985</v>
      </c>
      <c r="I297" s="77">
        <v>1.1413251627728771</v>
      </c>
      <c r="J297" s="77">
        <v>2.7548638132295578</v>
      </c>
    </row>
    <row r="298" spans="1:10" ht="12.75" customHeight="1">
      <c r="A298" s="64"/>
      <c r="B298" s="64" t="s">
        <v>7</v>
      </c>
      <c r="C298" s="77">
        <v>97.664915352579584</v>
      </c>
      <c r="D298" s="77">
        <v>-0.11290929619871548</v>
      </c>
      <c r="E298" s="77">
        <v>-1.2501860395892184</v>
      </c>
      <c r="F298" s="77">
        <v>0.98934550989344672</v>
      </c>
      <c r="G298" s="77">
        <v>99.752964460527295</v>
      </c>
      <c r="H298" s="77">
        <v>0.36352620418056425</v>
      </c>
      <c r="I298" s="77">
        <v>1.5090003829950405</v>
      </c>
      <c r="J298" s="77">
        <v>3.0963124319278279</v>
      </c>
    </row>
    <row r="299" spans="1:10" ht="12.75" customHeight="1">
      <c r="A299" s="64"/>
      <c r="B299" s="64" t="s">
        <v>8</v>
      </c>
      <c r="C299" s="77">
        <v>99.328236442985244</v>
      </c>
      <c r="D299" s="77">
        <v>1.7030896759608227</v>
      </c>
      <c r="E299" s="77">
        <v>0.43161184700104549</v>
      </c>
      <c r="F299" s="77">
        <v>2.8972247636474657</v>
      </c>
      <c r="G299" s="77">
        <v>100.29493649804299</v>
      </c>
      <c r="H299" s="77">
        <v>0.54331421672200175</v>
      </c>
      <c r="I299" s="77">
        <v>2.06051321332823</v>
      </c>
      <c r="J299" s="77">
        <v>3.5114978247358763</v>
      </c>
    </row>
    <row r="300" spans="1:10" ht="12.75" customHeight="1">
      <c r="A300" s="64"/>
      <c r="B300" s="64" t="s">
        <v>9</v>
      </c>
      <c r="C300" s="77">
        <v>101.19763271273318</v>
      </c>
      <c r="D300" s="77">
        <v>1.8820391227030164</v>
      </c>
      <c r="E300" s="77">
        <v>2.3217740735228531</v>
      </c>
      <c r="F300" s="77">
        <v>4.3484859983304203</v>
      </c>
      <c r="G300" s="77">
        <v>101.10789455431652</v>
      </c>
      <c r="H300" s="77">
        <v>0.81056739717801918</v>
      </c>
      <c r="I300" s="77">
        <v>2.8877824588280365</v>
      </c>
      <c r="J300" s="77">
        <v>4.1401767715925075</v>
      </c>
    </row>
    <row r="301" spans="1:10" ht="12.75" customHeight="1">
      <c r="A301" s="64"/>
      <c r="B301" s="64" t="s">
        <v>49</v>
      </c>
      <c r="C301" s="77">
        <v>101.98513429093408</v>
      </c>
      <c r="D301" s="77">
        <v>0.7781818181818112</v>
      </c>
      <c r="E301" s="77">
        <v>3.1180235154040892</v>
      </c>
      <c r="F301" s="77">
        <v>4.8026017243987251</v>
      </c>
      <c r="G301" s="77">
        <v>101.50684619304334</v>
      </c>
      <c r="H301" s="77">
        <v>0.3945801072066768</v>
      </c>
      <c r="I301" s="77">
        <v>3.2937571811566313</v>
      </c>
      <c r="J301" s="77">
        <v>4.2359124990337671</v>
      </c>
    </row>
    <row r="302" spans="1:10" ht="12.75" customHeight="1">
      <c r="A302" s="64"/>
      <c r="B302" s="64" t="s">
        <v>11</v>
      </c>
      <c r="C302" s="77">
        <v>102.596</v>
      </c>
      <c r="D302" s="77">
        <v>0.59897524606213892</v>
      </c>
      <c r="E302" s="77">
        <v>3.7356749504898756</v>
      </c>
      <c r="F302" s="77">
        <v>5.0331525003528554</v>
      </c>
      <c r="G302" s="77">
        <v>101.92838</v>
      </c>
      <c r="H302" s="77">
        <v>0.41527623285133597</v>
      </c>
      <c r="I302" s="77">
        <v>3.7227116047491515</v>
      </c>
      <c r="J302" s="77">
        <v>4.338110648790261</v>
      </c>
    </row>
    <row r="303" spans="1:10" ht="12.75" customHeight="1">
      <c r="A303" s="64"/>
      <c r="B303" s="64" t="s">
        <v>12</v>
      </c>
      <c r="C303" s="77">
        <v>103.276</v>
      </c>
      <c r="D303" s="77">
        <v>0.66279387110608212</v>
      </c>
      <c r="E303" s="77">
        <v>4.4232286462122516</v>
      </c>
      <c r="F303" s="77">
        <v>5.0250240661477541</v>
      </c>
      <c r="G303" s="77">
        <v>102.26054999999999</v>
      </c>
      <c r="H303" s="77">
        <v>0.32588568561571218</v>
      </c>
      <c r="I303" s="77">
        <v>4.0607290746014879</v>
      </c>
      <c r="J303" s="77">
        <v>4.4447465264028985</v>
      </c>
    </row>
    <row r="304" spans="1:10" ht="12.75" customHeight="1">
      <c r="A304" s="64"/>
      <c r="B304" s="64" t="s">
        <v>13</v>
      </c>
      <c r="C304" s="77">
        <v>103.893</v>
      </c>
      <c r="D304" s="77">
        <v>0.59742825051318782</v>
      </c>
      <c r="E304" s="77">
        <v>5.0470825142427067</v>
      </c>
      <c r="F304" s="77">
        <v>5.2585709362756861</v>
      </c>
      <c r="G304" s="77">
        <v>102.551</v>
      </c>
      <c r="H304" s="77">
        <v>0.28402937398634975</v>
      </c>
      <c r="I304" s="77">
        <v>4.3562921119577158</v>
      </c>
      <c r="J304" s="77">
        <v>4.6127154666058656</v>
      </c>
    </row>
    <row r="305" spans="1:10" ht="12.75" customHeight="1">
      <c r="A305" s="64"/>
      <c r="B305" s="64" t="s">
        <v>14</v>
      </c>
      <c r="C305" s="77">
        <v>104.39400000000001</v>
      </c>
      <c r="D305" s="77">
        <v>0.4822269065288376</v>
      </c>
      <c r="E305" s="77">
        <v>5.553647810649931</v>
      </c>
      <c r="F305" s="77">
        <v>5.553647810649931</v>
      </c>
      <c r="G305" s="77">
        <v>102.959</v>
      </c>
      <c r="H305" s="77">
        <v>0.39785082544294692</v>
      </c>
      <c r="I305" s="77">
        <v>4.771474481526794</v>
      </c>
      <c r="J305" s="77">
        <v>4.771474481526794</v>
      </c>
    </row>
    <row r="306" spans="1:10" ht="12.75" customHeight="1">
      <c r="A306" s="64"/>
      <c r="C306" s="77"/>
      <c r="D306" s="77"/>
      <c r="E306" s="77"/>
      <c r="F306" s="77"/>
      <c r="G306" s="77"/>
      <c r="H306" s="77"/>
      <c r="I306" s="77"/>
      <c r="J306" s="77"/>
    </row>
    <row r="307" spans="1:10" ht="12.75" customHeight="1">
      <c r="A307" s="64">
        <v>2021</v>
      </c>
      <c r="B307" s="64" t="s">
        <v>50</v>
      </c>
      <c r="C307" s="77">
        <v>105.404</v>
      </c>
      <c r="D307" s="77">
        <v>0.96748855298196546</v>
      </c>
      <c r="E307" s="77">
        <v>0.96748855298196546</v>
      </c>
      <c r="F307" s="77">
        <v>6.2270483890086492</v>
      </c>
      <c r="G307" s="77">
        <v>103.50700000000001</v>
      </c>
      <c r="H307" s="77">
        <v>0.53225070173563704</v>
      </c>
      <c r="I307" s="77">
        <v>0.53225070173563704</v>
      </c>
      <c r="J307" s="77">
        <v>4.9272552264164604</v>
      </c>
    </row>
    <row r="308" spans="1:10" ht="12.75" customHeight="1">
      <c r="A308" s="64"/>
      <c r="B308" s="64" t="s">
        <v>4</v>
      </c>
      <c r="C308" s="77">
        <v>106.124</v>
      </c>
      <c r="D308" s="77">
        <v>0.68308603089066722</v>
      </c>
      <c r="E308" s="77">
        <v>1.6571833630285138</v>
      </c>
      <c r="F308" s="77">
        <v>7.0877017391780539</v>
      </c>
      <c r="G308" s="77">
        <v>104.15600000000001</v>
      </c>
      <c r="H308" s="77">
        <v>0.62701073357358528</v>
      </c>
      <c r="I308" s="77">
        <v>1.1625987043386132</v>
      </c>
      <c r="J308" s="77">
        <v>5.3600492475825545</v>
      </c>
    </row>
    <row r="309" spans="1:10" ht="12.75" customHeight="1">
      <c r="A309" s="64"/>
      <c r="B309" s="64" t="s">
        <v>5</v>
      </c>
      <c r="C309" s="77">
        <v>106.764</v>
      </c>
      <c r="D309" s="77">
        <v>0.60306810900456753</v>
      </c>
      <c r="E309" s="77">
        <v>2.2702454164032382</v>
      </c>
      <c r="F309" s="77">
        <v>8.2965106014818204</v>
      </c>
      <c r="G309" s="77">
        <v>104.67</v>
      </c>
      <c r="H309" s="77">
        <v>0.49349053343061833</v>
      </c>
      <c r="I309" s="77">
        <v>1.6618265523169473</v>
      </c>
      <c r="J309" s="77">
        <v>5.5825302456185888</v>
      </c>
    </row>
    <row r="310" spans="1:10" ht="12.75" customHeight="1">
      <c r="A310" s="64"/>
      <c r="B310" s="64" t="s">
        <v>6</v>
      </c>
      <c r="C310" s="77">
        <v>107.206</v>
      </c>
      <c r="D310" s="77">
        <v>0.41399722752988311</v>
      </c>
      <c r="E310" s="77">
        <v>2.6936413970151563</v>
      </c>
      <c r="F310" s="77">
        <v>9.6452641906567891</v>
      </c>
      <c r="G310" s="77">
        <v>105.078</v>
      </c>
      <c r="H310" s="77">
        <v>0.3897965032960693</v>
      </c>
      <c r="I310" s="77">
        <v>2.0581007974047827</v>
      </c>
      <c r="J310" s="77">
        <v>5.7211548901485276</v>
      </c>
    </row>
    <row r="311" spans="1:10" ht="12.75" customHeight="1">
      <c r="A311" s="64"/>
      <c r="B311" s="64" t="s">
        <v>7</v>
      </c>
      <c r="C311" s="77">
        <v>107.901</v>
      </c>
      <c r="D311" s="77">
        <v>0.64828461093595635</v>
      </c>
      <c r="E311" s="77">
        <v>3.3593884706017541</v>
      </c>
      <c r="F311" s="77">
        <v>10.480820682091597</v>
      </c>
      <c r="G311" s="77">
        <v>105.56399999999999</v>
      </c>
      <c r="H311" s="77">
        <v>0.46251356135440513</v>
      </c>
      <c r="I311" s="77">
        <v>2.5301333540535431</v>
      </c>
      <c r="J311" s="77">
        <v>5.8254264130387368</v>
      </c>
    </row>
    <row r="312" spans="1:10" ht="12.75" customHeight="1">
      <c r="A312" s="64"/>
      <c r="B312" s="64" t="s">
        <v>8</v>
      </c>
      <c r="C312" s="77">
        <v>108.58499999999999</v>
      </c>
      <c r="D312" s="77">
        <v>0.63391442155309452</v>
      </c>
      <c r="E312" s="77">
        <v>4.0145985401459638</v>
      </c>
      <c r="F312" s="77">
        <v>9.3193676727847397</v>
      </c>
      <c r="G312" s="77">
        <v>106.30800000000001</v>
      </c>
      <c r="H312" s="77">
        <v>0.70478572240537662</v>
      </c>
      <c r="I312" s="77">
        <v>3.2527510950961069</v>
      </c>
      <c r="J312" s="77">
        <v>5.9953809353818777</v>
      </c>
    </row>
    <row r="313" spans="1:10" ht="12.75" customHeight="1">
      <c r="A313" s="64"/>
      <c r="B313" s="64" t="s">
        <v>9</v>
      </c>
      <c r="C313" s="77">
        <v>109.16800000000001</v>
      </c>
      <c r="D313" s="77">
        <v>0.53690657088918403</v>
      </c>
      <c r="E313" s="77">
        <v>4.5730597543920171</v>
      </c>
      <c r="F313" s="77">
        <v>7.8760412408974911</v>
      </c>
      <c r="G313" s="77">
        <v>106.961</v>
      </c>
      <c r="H313" s="77">
        <v>0.61425292546186672</v>
      </c>
      <c r="I313" s="77">
        <v>3.8869841393175841</v>
      </c>
      <c r="J313" s="77">
        <v>5.7889697649070371</v>
      </c>
    </row>
    <row r="314" spans="1:10" ht="12.75" customHeight="1">
      <c r="A314" s="64"/>
      <c r="B314" s="64" t="s">
        <v>49</v>
      </c>
      <c r="C314" s="77">
        <v>110.039</v>
      </c>
      <c r="D314" s="77">
        <v>0.79785285065219202</v>
      </c>
      <c r="E314" s="77">
        <v>5.4073988926566674</v>
      </c>
      <c r="F314" s="77">
        <v>7.8970977143497878</v>
      </c>
      <c r="G314" s="77">
        <v>107.509</v>
      </c>
      <c r="H314" s="77">
        <v>0.51233627209916754</v>
      </c>
      <c r="I314" s="77">
        <v>4.4192348410532212</v>
      </c>
      <c r="J314" s="77">
        <v>5.9130531900694727</v>
      </c>
    </row>
    <row r="315" spans="1:10" ht="12.75" customHeight="1">
      <c r="A315" s="64"/>
      <c r="B315" s="64" t="s">
        <v>11</v>
      </c>
      <c r="C315" s="77">
        <v>110.535</v>
      </c>
      <c r="D315" s="77">
        <v>0.45074927980079948</v>
      </c>
      <c r="E315" s="77">
        <v>5.8825219840220599</v>
      </c>
      <c r="F315" s="77">
        <v>7.7381184451635443</v>
      </c>
      <c r="G315" s="77">
        <v>108.142</v>
      </c>
      <c r="H315" s="77">
        <v>0.58878791543033326</v>
      </c>
      <c r="I315" s="77">
        <v>5.0340426771821711</v>
      </c>
      <c r="J315" s="77">
        <v>6.096064707395521</v>
      </c>
    </row>
    <row r="316" spans="1:10" ht="12.75" customHeight="1">
      <c r="A316" s="64"/>
      <c r="B316" s="64" t="s">
        <v>12</v>
      </c>
      <c r="C316" s="77">
        <v>111.244</v>
      </c>
      <c r="D316" s="77">
        <v>0.64142579273533951</v>
      </c>
      <c r="E316" s="77">
        <v>6.5616797900262425</v>
      </c>
      <c r="F316" s="77">
        <v>7.7152484604361193</v>
      </c>
      <c r="G316" s="77">
        <v>108.714</v>
      </c>
      <c r="H316" s="77">
        <v>0.52893417913484342</v>
      </c>
      <c r="I316" s="77">
        <v>5.5896036286288586</v>
      </c>
      <c r="J316" s="77">
        <v>6.3107914048966096</v>
      </c>
    </row>
    <row r="317" spans="1:10" ht="12.75" customHeight="1">
      <c r="A317" s="64"/>
      <c r="B317" s="64" t="s">
        <v>13</v>
      </c>
      <c r="C317" s="77">
        <v>112.446</v>
      </c>
      <c r="D317" s="77">
        <v>1.0805077127755247</v>
      </c>
      <c r="E317" s="77">
        <v>7.7130869590206208</v>
      </c>
      <c r="F317" s="77">
        <v>8.2325084461898346</v>
      </c>
      <c r="G317" s="77">
        <v>109.34699999999999</v>
      </c>
      <c r="H317" s="77">
        <v>0.58226171422264272</v>
      </c>
      <c r="I317" s="77">
        <v>6.2044114647578086</v>
      </c>
      <c r="J317" s="77">
        <v>6.6269465924271742</v>
      </c>
    </row>
    <row r="318" spans="1:10" ht="12.75" customHeight="1">
      <c r="A318" s="64"/>
      <c r="B318" s="64" t="s">
        <v>14</v>
      </c>
      <c r="C318" s="77">
        <v>113.26300000000001</v>
      </c>
      <c r="D318" s="77">
        <v>0.72657097629085232</v>
      </c>
      <c r="E318" s="77">
        <v>8.4956989865317958</v>
      </c>
      <c r="F318" s="77">
        <v>8.4956989865317958</v>
      </c>
      <c r="G318" s="77">
        <v>110.03400000000001</v>
      </c>
      <c r="H318" s="77">
        <v>0.62827512414607156</v>
      </c>
      <c r="I318" s="77">
        <v>6.8716673627366331</v>
      </c>
      <c r="J318" s="77">
        <v>6.8716673627366331</v>
      </c>
    </row>
    <row r="319" spans="1:10" ht="12.75" customHeight="1">
      <c r="A319" s="64"/>
      <c r="C319" s="77"/>
      <c r="D319" s="77"/>
      <c r="E319" s="77"/>
      <c r="F319" s="77"/>
      <c r="G319" s="77"/>
      <c r="H319" s="77"/>
      <c r="I319" s="77"/>
      <c r="J319" s="77"/>
    </row>
    <row r="320" spans="1:10" ht="12.75" customHeight="1">
      <c r="A320" s="64">
        <v>2022</v>
      </c>
      <c r="B320" s="64" t="s">
        <v>50</v>
      </c>
      <c r="C320" s="77">
        <v>114.602</v>
      </c>
      <c r="D320" s="77">
        <v>1.1822042502847241</v>
      </c>
      <c r="E320" s="77">
        <v>1.1822042502847241</v>
      </c>
      <c r="F320" s="77">
        <v>8.7264240446282884</v>
      </c>
      <c r="G320" s="77">
        <v>110.754</v>
      </c>
      <c r="H320" s="77">
        <v>0.65434320300998827</v>
      </c>
      <c r="I320" s="77">
        <v>0.65434320300998827</v>
      </c>
      <c r="J320" s="77">
        <v>7.0014588385326482</v>
      </c>
    </row>
    <row r="321" spans="1:10" ht="12.75" customHeight="1">
      <c r="A321" s="64"/>
      <c r="B321" s="64" t="s">
        <v>4</v>
      </c>
      <c r="C321" s="77">
        <v>115.658</v>
      </c>
      <c r="D321" s="77">
        <v>0.92144988743652068</v>
      </c>
      <c r="E321" s="77">
        <v>2.1145475574547712</v>
      </c>
      <c r="F321" s="77">
        <v>8.9838302363273179</v>
      </c>
      <c r="G321" s="77">
        <v>111.419</v>
      </c>
      <c r="H321" s="77">
        <v>0.60042978131713554</v>
      </c>
      <c r="I321" s="77">
        <v>1.2587018557900231</v>
      </c>
      <c r="J321" s="77">
        <v>6.9731940550712412</v>
      </c>
    </row>
    <row r="322" spans="1:10" ht="12.75" customHeight="1">
      <c r="A322" s="64"/>
      <c r="B322" s="64" t="s">
        <v>5</v>
      </c>
      <c r="C322" s="77">
        <v>116.431</v>
      </c>
      <c r="D322" s="77">
        <v>0.66834978989780414</v>
      </c>
      <c r="E322" s="77">
        <v>2.7970299215100969</v>
      </c>
      <c r="F322" s="77">
        <v>9.0545502229215877</v>
      </c>
      <c r="G322" s="77">
        <v>111.99</v>
      </c>
      <c r="H322" s="77">
        <v>0.51247991814682425</v>
      </c>
      <c r="I322" s="77">
        <v>1.7776323681770956</v>
      </c>
      <c r="J322" s="77">
        <v>6.9934078532530641</v>
      </c>
    </row>
    <row r="323" spans="1:10" ht="12.75" customHeight="1">
      <c r="A323" s="64"/>
      <c r="B323" s="64" t="s">
        <v>6</v>
      </c>
      <c r="C323" s="77">
        <v>117.544</v>
      </c>
      <c r="D323" s="77">
        <v>0.95593098058077697</v>
      </c>
      <c r="E323" s="77">
        <v>3.7796985776467062</v>
      </c>
      <c r="F323" s="77">
        <v>9.6431169897207134</v>
      </c>
      <c r="G323" s="77">
        <v>112.69499999999999</v>
      </c>
      <c r="H323" s="77">
        <v>0.62952049290114775</v>
      </c>
      <c r="I323" s="77">
        <v>2.4183434211243693</v>
      </c>
      <c r="J323" s="77">
        <v>7.2489008165362856</v>
      </c>
    </row>
    <row r="324" spans="1:10" ht="12.75" customHeight="1">
      <c r="A324" s="64"/>
      <c r="B324" s="64" t="s">
        <v>7</v>
      </c>
      <c r="C324" s="77">
        <v>118.122</v>
      </c>
      <c r="D324" s="77">
        <v>0.49173075614237227</v>
      </c>
      <c r="E324" s="77">
        <v>4.2900152741848663</v>
      </c>
      <c r="F324" s="77">
        <v>9.4725720799621946</v>
      </c>
      <c r="G324" s="77">
        <v>113.26300000000001</v>
      </c>
      <c r="H324" s="77">
        <v>0.50401526243402106</v>
      </c>
      <c r="I324" s="77">
        <v>2.9345475034989077</v>
      </c>
      <c r="J324" s="77">
        <v>7.2932060172028468</v>
      </c>
    </row>
    <row r="325" spans="1:10" ht="12.75" customHeight="1">
      <c r="A325" s="64"/>
      <c r="B325" s="64" t="s">
        <v>8</v>
      </c>
      <c r="C325" s="77">
        <v>118.877</v>
      </c>
      <c r="D325" s="77">
        <v>0.63916967203399011</v>
      </c>
      <c r="E325" s="77">
        <v>4.9566054227770717</v>
      </c>
      <c r="F325" s="77">
        <v>9.478288898098274</v>
      </c>
      <c r="G325" s="77">
        <v>113.869</v>
      </c>
      <c r="H325" s="77">
        <v>0.53503792059188537</v>
      </c>
      <c r="I325" s="77">
        <v>3.4852863660323141</v>
      </c>
      <c r="J325" s="77">
        <v>7.1123527862437363</v>
      </c>
    </row>
    <row r="326" spans="1:10" ht="12.75" customHeight="1">
      <c r="A326" s="64"/>
      <c r="B326" s="64" t="s">
        <v>9</v>
      </c>
      <c r="C326" s="77">
        <v>119.468</v>
      </c>
      <c r="D326" s="77">
        <v>0.49715251899022928</v>
      </c>
      <c r="E326" s="77">
        <v>5.4783998304830384</v>
      </c>
      <c r="F326" s="77">
        <v>9.4349992671845193</v>
      </c>
      <c r="G326" s="77">
        <v>114.556</v>
      </c>
      <c r="H326" s="77">
        <v>0.60332487331933304</v>
      </c>
      <c r="I326" s="77">
        <v>4.1096388389043392</v>
      </c>
      <c r="J326" s="77">
        <v>7.1007189536373083</v>
      </c>
    </row>
    <row r="327" spans="1:10" ht="12.75" customHeight="1">
      <c r="A327" s="64"/>
      <c r="B327" s="64" t="s">
        <v>49</v>
      </c>
      <c r="C327" s="77">
        <v>119.718</v>
      </c>
      <c r="D327" s="77">
        <v>0.20926105735425971</v>
      </c>
      <c r="E327" s="77">
        <v>5.6991250452486764</v>
      </c>
      <c r="F327" s="77">
        <v>8.7959723370804923</v>
      </c>
      <c r="G327" s="77">
        <v>115.167</v>
      </c>
      <c r="H327" s="77">
        <v>0.53336359509759124</v>
      </c>
      <c r="I327" s="77">
        <v>4.6649217514586283</v>
      </c>
      <c r="J327" s="77">
        <v>7.1231245756169237</v>
      </c>
    </row>
    <row r="328" spans="1:10" ht="12.75" customHeight="1">
      <c r="A328" s="64"/>
      <c r="B328" s="64" t="s">
        <v>11</v>
      </c>
      <c r="C328" s="77">
        <v>120.07</v>
      </c>
      <c r="D328" s="77">
        <v>0.29402429041580636</v>
      </c>
      <c r="E328" s="77">
        <v>6.0099061476386773</v>
      </c>
      <c r="F328" s="77">
        <v>8.626226986927211</v>
      </c>
      <c r="G328" s="77">
        <v>115.752</v>
      </c>
      <c r="H328" s="77">
        <v>0.50795800880460984</v>
      </c>
      <c r="I328" s="77">
        <v>5.1965756039042299</v>
      </c>
      <c r="J328" s="77">
        <v>7.0370438867415119</v>
      </c>
    </row>
    <row r="329" spans="1:10" ht="12.75" customHeight="1">
      <c r="A329" s="64"/>
      <c r="B329" s="64" t="s">
        <v>12</v>
      </c>
      <c r="C329" s="77">
        <v>120.405</v>
      </c>
      <c r="D329" s="77">
        <v>0.2790039143832912</v>
      </c>
      <c r="E329" s="77">
        <v>6.3056779354246251</v>
      </c>
      <c r="F329" s="77">
        <v>8.2350508791485311</v>
      </c>
      <c r="G329" s="77">
        <v>116.169</v>
      </c>
      <c r="H329" s="77">
        <v>0.3602529545925881</v>
      </c>
      <c r="I329" s="77">
        <v>5.5755493756475261</v>
      </c>
      <c r="J329" s="77">
        <v>6.8574424637121156</v>
      </c>
    </row>
    <row r="330" spans="1:10" ht="12.75" customHeight="1">
      <c r="A330" s="64"/>
      <c r="B330" s="64" t="s">
        <v>13</v>
      </c>
      <c r="C330" s="77">
        <v>120.96599999999999</v>
      </c>
      <c r="D330" s="77">
        <v>0.46592749470535377</v>
      </c>
      <c r="E330" s="77">
        <v>6.8009853173587098</v>
      </c>
      <c r="F330" s="77">
        <v>7.5769702790672744</v>
      </c>
      <c r="G330" s="77">
        <v>116.557</v>
      </c>
      <c r="H330" s="77">
        <v>0.33399616076579264</v>
      </c>
      <c r="I330" s="77">
        <v>5.9281676572695563</v>
      </c>
      <c r="J330" s="77">
        <v>6.5936879841239415</v>
      </c>
    </row>
    <row r="331" spans="1:10" ht="12.75" customHeight="1">
      <c r="A331" s="64"/>
      <c r="B331" s="64" t="s">
        <v>14</v>
      </c>
      <c r="C331" s="77">
        <v>122.128</v>
      </c>
      <c r="D331" s="77">
        <v>0.96060049931385727</v>
      </c>
      <c r="E331" s="77">
        <v>7.8269161155893663</v>
      </c>
      <c r="F331" s="77">
        <v>7.8269161155893663</v>
      </c>
      <c r="G331" s="77">
        <v>117.255</v>
      </c>
      <c r="H331" s="77">
        <v>0.59884863199979321</v>
      </c>
      <c r="I331" s="77">
        <v>6.5625170401875765</v>
      </c>
      <c r="J331" s="77">
        <v>6.5625170401875765</v>
      </c>
    </row>
    <row r="332" spans="1:10" ht="12.75" customHeight="1">
      <c r="A332" s="64"/>
      <c r="C332" s="77"/>
      <c r="D332" s="77"/>
      <c r="E332" s="77"/>
      <c r="F332" s="77"/>
      <c r="G332" s="77"/>
      <c r="H332" s="77"/>
      <c r="I332" s="77"/>
      <c r="J332" s="77"/>
    </row>
    <row r="333" spans="1:10" ht="12.75" customHeight="1">
      <c r="A333" s="64">
        <v>2023</v>
      </c>
      <c r="B333" s="64" t="s">
        <v>50</v>
      </c>
      <c r="C333" s="77">
        <v>122.90300000000001</v>
      </c>
      <c r="D333" s="77">
        <v>0.6345801126686812</v>
      </c>
      <c r="E333" s="77">
        <v>0.6345801126686812</v>
      </c>
      <c r="F333" s="77">
        <v>7.2433290867524036</v>
      </c>
      <c r="G333" s="77">
        <v>118.06699999999999</v>
      </c>
      <c r="H333" s="77">
        <v>0.69250778218412634</v>
      </c>
      <c r="I333" s="77">
        <v>0.69250778218412634</v>
      </c>
      <c r="J333" s="77">
        <v>6.6029217906350857</v>
      </c>
    </row>
    <row r="334" spans="1:10" ht="12.75" customHeight="1">
      <c r="A334" s="64"/>
      <c r="B334" s="64" t="s">
        <v>4</v>
      </c>
      <c r="C334" s="77">
        <v>123.035</v>
      </c>
      <c r="D334" s="77">
        <v>0.10740177212922308</v>
      </c>
      <c r="E334" s="77">
        <v>0.74266343508448962</v>
      </c>
      <c r="F334" s="77">
        <v>6.3782877103183422</v>
      </c>
      <c r="G334" s="77">
        <v>118.54900000000001</v>
      </c>
      <c r="H334" s="77">
        <v>0.40824277740605375</v>
      </c>
      <c r="I334" s="77">
        <v>1.103577672593925</v>
      </c>
      <c r="J334" s="77">
        <v>6.3992676293989526</v>
      </c>
    </row>
    <row r="335" spans="1:10" ht="12.75" customHeight="1">
      <c r="A335" s="64"/>
      <c r="B335" s="64" t="s">
        <v>5</v>
      </c>
      <c r="C335" s="272">
        <v>123.29949999999999</v>
      </c>
      <c r="D335" s="272">
        <v>0.21497947738449152</v>
      </c>
      <c r="E335" s="272">
        <v>0.9592394864404552</v>
      </c>
      <c r="F335" s="272">
        <v>5.8992021025328301</v>
      </c>
      <c r="G335" s="272">
        <v>118.884</v>
      </c>
      <c r="H335" s="77">
        <v>0.28258357303729831</v>
      </c>
      <c r="I335" s="77">
        <v>1.3892797748496832</v>
      </c>
      <c r="J335" s="77">
        <v>6.1559067773908405</v>
      </c>
    </row>
    <row r="336" spans="1:10" ht="12.75" customHeight="1">
      <c r="A336" s="64"/>
      <c r="B336" s="64" t="s">
        <v>6</v>
      </c>
      <c r="C336" s="272">
        <v>123.6</v>
      </c>
      <c r="D336" s="272">
        <v>0.24371550574009415</v>
      </c>
      <c r="E336" s="272">
        <v>1.2052928075461766</v>
      </c>
      <c r="F336" s="272">
        <v>5.152113251208057</v>
      </c>
      <c r="G336" s="272">
        <v>119.262</v>
      </c>
      <c r="H336" s="77">
        <v>0.31795700010093242</v>
      </c>
      <c r="I336" s="77">
        <v>1.7116540872457398</v>
      </c>
      <c r="J336" s="77">
        <v>5.8272327964860926</v>
      </c>
    </row>
    <row r="337" spans="1:10" ht="12.75" customHeight="1">
      <c r="A337" s="64"/>
      <c r="B337" s="64" t="s">
        <v>7</v>
      </c>
      <c r="C337" s="272">
        <v>123.35599999999999</v>
      </c>
      <c r="D337" s="272">
        <v>-0.1974110032362475</v>
      </c>
      <c r="E337" s="272">
        <v>1.0055024236866217</v>
      </c>
      <c r="F337" s="272">
        <v>4.4310120045376822</v>
      </c>
      <c r="G337" s="272">
        <v>119.501</v>
      </c>
      <c r="H337" s="77">
        <v>0.20039912126244008</v>
      </c>
      <c r="I337" s="77">
        <v>1.9154833482580846</v>
      </c>
      <c r="J337" s="77">
        <v>5.5075355588320996</v>
      </c>
    </row>
    <row r="338" spans="1:10" ht="12.75" customHeight="1">
      <c r="A338" s="64"/>
      <c r="B338" s="64" t="s">
        <v>8</v>
      </c>
      <c r="C338" s="77">
        <v>123.627</v>
      </c>
      <c r="D338" s="77">
        <v>0.2196893543889189</v>
      </c>
      <c r="E338" s="77">
        <v>1.2274007598584991</v>
      </c>
      <c r="F338" s="77">
        <v>3.9957266754712784</v>
      </c>
      <c r="G338" s="77">
        <v>119.935</v>
      </c>
      <c r="H338" s="77">
        <v>0.36317687718094849</v>
      </c>
      <c r="I338" s="77">
        <v>2.2856168180461545</v>
      </c>
      <c r="J338" s="77">
        <v>5.3271742089594287</v>
      </c>
    </row>
    <row r="339" spans="1:10" ht="12.75" customHeight="1">
      <c r="A339" s="64"/>
      <c r="B339" s="64" t="s">
        <v>9</v>
      </c>
      <c r="C339" s="77">
        <v>124.1884</v>
      </c>
      <c r="D339" s="77">
        <v>0.45410792140876399</v>
      </c>
      <c r="E339" s="77">
        <v>1.6870824053452083</v>
      </c>
      <c r="F339" s="77">
        <v>3.951183580540385</v>
      </c>
      <c r="G339" s="77">
        <v>120.3438</v>
      </c>
      <c r="H339" s="77">
        <v>0.34085129445116102</v>
      </c>
      <c r="I339" s="77">
        <v>2.6342586670078161</v>
      </c>
      <c r="J339" s="77">
        <v>5.0523761304514858</v>
      </c>
    </row>
    <row r="340" spans="1:10" ht="12.75" customHeight="1">
      <c r="A340" s="64"/>
      <c r="B340" s="64" t="s">
        <v>49</v>
      </c>
      <c r="C340" s="77">
        <v>124.8282</v>
      </c>
      <c r="D340" s="77">
        <v>0.51518499312335209</v>
      </c>
      <c r="E340" s="77">
        <v>2.2109589938425156</v>
      </c>
      <c r="F340" s="77">
        <v>4.2685310479626981</v>
      </c>
      <c r="G340" s="77">
        <v>120.71980000000001</v>
      </c>
      <c r="H340" s="77">
        <v>0.31243819789636973</v>
      </c>
      <c r="I340" s="77">
        <v>2.9549272952112959</v>
      </c>
      <c r="J340" s="77">
        <v>4.8215200534875491</v>
      </c>
    </row>
    <row r="341" spans="1:10" ht="12.75" customHeight="1">
      <c r="A341" s="64"/>
      <c r="B341" s="64" t="s">
        <v>11</v>
      </c>
      <c r="C341" s="77">
        <v>125.36539999999999</v>
      </c>
      <c r="D341" s="77">
        <v>0.43035147506733651</v>
      </c>
      <c r="E341" s="77">
        <v>2.6508253635529888</v>
      </c>
      <c r="F341" s="77">
        <v>4.4102606812692624</v>
      </c>
      <c r="G341" s="77">
        <v>121.1665</v>
      </c>
      <c r="H341" s="77">
        <v>0.37003043411270031</v>
      </c>
      <c r="I341" s="77">
        <v>3.3358918596221976</v>
      </c>
      <c r="J341" s="77">
        <v>4.6776729559748542</v>
      </c>
    </row>
    <row r="342" spans="1:10" ht="12.75" customHeight="1">
      <c r="A342" s="64"/>
      <c r="B342" s="64" t="s">
        <v>12</v>
      </c>
      <c r="C342" s="77">
        <v>125.63760000000001</v>
      </c>
      <c r="D342" s="77">
        <v>0.21712529932502722</v>
      </c>
      <c r="E342" s="77">
        <v>2.8737062753832143</v>
      </c>
      <c r="F342" s="77">
        <v>4.3458328142518932</v>
      </c>
      <c r="G342" s="77">
        <v>121.49209999999999</v>
      </c>
      <c r="H342" s="77">
        <v>0.26872113991902591</v>
      </c>
      <c r="I342" s="77">
        <v>3.613577246172861</v>
      </c>
      <c r="J342" s="77">
        <v>4.5822035138461947</v>
      </c>
    </row>
    <row r="343" spans="1:10" ht="12.75" customHeight="1">
      <c r="A343" s="64"/>
      <c r="B343" s="64" t="s">
        <v>13</v>
      </c>
      <c r="C343" s="77">
        <v>125.8094</v>
      </c>
      <c r="D343" s="77">
        <v>0.13674250383641784</v>
      </c>
      <c r="E343" s="77">
        <v>3.0143783571334959</v>
      </c>
      <c r="F343" s="77">
        <v>4.0039349899971821</v>
      </c>
      <c r="G343" s="77">
        <v>121.7808</v>
      </c>
      <c r="H343" s="77">
        <v>0.23762861947402847</v>
      </c>
      <c r="I343" s="77">
        <v>3.8597927593706061</v>
      </c>
      <c r="J343" s="77">
        <v>4.4817557075079062</v>
      </c>
    </row>
    <row r="344" spans="1:10" ht="12.75" customHeight="1">
      <c r="A344" s="64"/>
      <c r="B344" s="64" t="s">
        <v>14</v>
      </c>
      <c r="C344" s="77">
        <v>126.4866</v>
      </c>
      <c r="D344" s="77">
        <v>0.53827456453969802</v>
      </c>
      <c r="E344" s="77">
        <v>3.5688785536486245</v>
      </c>
      <c r="F344" s="77">
        <v>3.5688785536486245</v>
      </c>
      <c r="G344" s="77">
        <v>122.31950000000001</v>
      </c>
      <c r="H344" s="77">
        <v>0.44235216060330984</v>
      </c>
      <c r="I344" s="77">
        <v>4.3192187966398121</v>
      </c>
      <c r="J344" s="77">
        <v>4.3192187966398121</v>
      </c>
    </row>
    <row r="345" spans="1:10" ht="12.75" customHeight="1">
      <c r="A345" s="64"/>
      <c r="C345" s="77"/>
      <c r="D345" s="77"/>
      <c r="E345" s="77"/>
      <c r="F345" s="77"/>
      <c r="G345" s="77"/>
      <c r="H345" s="77"/>
      <c r="I345" s="77"/>
      <c r="J345" s="77"/>
    </row>
    <row r="346" spans="1:10" ht="12.75" customHeight="1">
      <c r="A346" s="64">
        <v>2024</v>
      </c>
      <c r="B346" s="64" t="s">
        <v>50</v>
      </c>
      <c r="C346" s="77">
        <v>126.9796</v>
      </c>
      <c r="D346" s="77">
        <v>0.38976460747621733</v>
      </c>
      <c r="E346" s="77">
        <v>0.38976460747621733</v>
      </c>
      <c r="F346" s="77">
        <v>3.3169247292580417</v>
      </c>
      <c r="G346" s="77">
        <v>122.8903</v>
      </c>
      <c r="H346" s="77">
        <v>0.46664677340897409</v>
      </c>
      <c r="I346" s="77">
        <v>0.46664677340897409</v>
      </c>
      <c r="J346" s="77">
        <v>4.0852227972252964</v>
      </c>
    </row>
    <row r="347" spans="1:10" ht="12.75" customHeight="1">
      <c r="A347" s="64"/>
      <c r="B347" s="64" t="s">
        <v>4</v>
      </c>
      <c r="C347" s="77">
        <v>127.0946</v>
      </c>
      <c r="D347" s="77">
        <v>9.0565728668212664E-2</v>
      </c>
      <c r="E347" s="77">
        <v>0.48068332930129021</v>
      </c>
      <c r="F347" s="77">
        <v>3.299548908847072</v>
      </c>
      <c r="G347" s="77">
        <v>123.2341</v>
      </c>
      <c r="H347" s="77">
        <v>0.27976170617209917</v>
      </c>
      <c r="I347" s="77">
        <v>0.74771397855615263</v>
      </c>
      <c r="J347" s="77">
        <v>3.9520367105585041</v>
      </c>
    </row>
    <row r="348" spans="1:10" ht="12.75" customHeight="1">
      <c r="A348" s="64"/>
      <c r="B348" s="64" t="s">
        <v>5</v>
      </c>
      <c r="C348" s="77">
        <v>127.47280000000001</v>
      </c>
      <c r="D348" s="77">
        <v>0.29757361839135577</v>
      </c>
      <c r="E348" s="77">
        <v>0.77968733446864835</v>
      </c>
      <c r="F348" s="77">
        <v>3.3846852582532838</v>
      </c>
      <c r="G348" s="77">
        <v>123.6914</v>
      </c>
      <c r="H348" s="77">
        <v>0.3710823546404729</v>
      </c>
      <c r="I348" s="77">
        <v>1.1215709678342289</v>
      </c>
      <c r="J348" s="77">
        <v>4.0437737626594084</v>
      </c>
    </row>
    <row r="349" spans="1:10" ht="12.75" customHeight="1">
      <c r="A349" s="64"/>
      <c r="B349" s="64" t="s">
        <v>6</v>
      </c>
      <c r="C349" s="77">
        <v>127.34780000000001</v>
      </c>
      <c r="D349" s="77">
        <v>-9.8060135181776698E-2</v>
      </c>
      <c r="E349" s="77">
        <v>0.68086263683269088</v>
      </c>
      <c r="F349" s="77">
        <v>3.0322006472492058</v>
      </c>
      <c r="G349" s="77">
        <v>124.0252</v>
      </c>
      <c r="H349" s="77">
        <v>0.2698651644334138</v>
      </c>
      <c r="I349" s="77">
        <v>1.3944628616042287</v>
      </c>
      <c r="J349" s="77">
        <v>3.9938957924569474</v>
      </c>
    </row>
    <row r="350" spans="1:10" ht="12.75" customHeight="1">
      <c r="A350" s="64"/>
      <c r="B350" s="64" t="s">
        <v>7</v>
      </c>
      <c r="C350" s="77">
        <v>127.2987</v>
      </c>
      <c r="D350" s="77">
        <v>-3.8555828997444141E-2</v>
      </c>
      <c r="E350" s="77">
        <v>0.64204429560126286</v>
      </c>
      <c r="F350" s="77">
        <v>3.1961963747203281</v>
      </c>
      <c r="G350" s="77">
        <v>124.2723</v>
      </c>
      <c r="H350" s="77">
        <v>0.19923370411820684</v>
      </c>
      <c r="I350" s="77">
        <v>1.5964748057341493</v>
      </c>
      <c r="J350" s="77">
        <v>3.9926862536715069</v>
      </c>
    </row>
    <row r="351" spans="1:10" ht="12.75" customHeight="1">
      <c r="A351" s="64"/>
      <c r="B351" s="64" t="s">
        <v>8</v>
      </c>
      <c r="C351" s="77">
        <v>127.9079</v>
      </c>
      <c r="D351" s="77">
        <v>0.47855948253987535</v>
      </c>
      <c r="E351" s="77">
        <v>1.1236763419998574</v>
      </c>
      <c r="F351" s="77">
        <v>3.46275489981962</v>
      </c>
      <c r="G351" s="77">
        <v>124.7028</v>
      </c>
      <c r="H351" s="77">
        <v>0.34641669945756348</v>
      </c>
      <c r="I351" s="77">
        <v>1.948421960521407</v>
      </c>
      <c r="J351" s="77">
        <v>3.9753199649810167</v>
      </c>
    </row>
    <row r="352" spans="1:10" ht="12.75" customHeight="1">
      <c r="A352" s="64"/>
      <c r="B352" s="64" t="s">
        <v>9</v>
      </c>
      <c r="C352" s="77">
        <v>128.5831</v>
      </c>
      <c r="D352" s="77">
        <v>0.52787982603108574</v>
      </c>
      <c r="E352" s="77">
        <v>1.657487828750237</v>
      </c>
      <c r="F352" s="77">
        <v>3.5387363070947142</v>
      </c>
      <c r="G352" s="77">
        <v>125.0384</v>
      </c>
      <c r="H352" s="77">
        <v>0.26911985937765337</v>
      </c>
      <c r="I352" s="77">
        <v>2.2227854103393119</v>
      </c>
      <c r="J352" s="77">
        <v>3.9009903293730108</v>
      </c>
    </row>
    <row r="353" spans="1:10" ht="12.75" customHeight="1">
      <c r="A353" s="64"/>
      <c r="B353" s="64" t="s">
        <v>49</v>
      </c>
      <c r="C353" s="77">
        <v>129.10210000000001</v>
      </c>
      <c r="D353" s="77">
        <v>0.40363002602985532</v>
      </c>
      <c r="E353" s="77">
        <v>2.0678079733347232</v>
      </c>
      <c r="F353" s="77">
        <v>3.4238257060503985</v>
      </c>
      <c r="G353" s="77">
        <v>125.6052</v>
      </c>
      <c r="H353" s="77">
        <v>0.45330074601082071</v>
      </c>
      <c r="I353" s="77">
        <v>2.6861620591974278</v>
      </c>
      <c r="J353" s="77">
        <v>4.0468920591319568</v>
      </c>
    </row>
    <row r="354" spans="1:10" ht="12.75" customHeight="1">
      <c r="A354" s="64"/>
      <c r="B354" s="64" t="s">
        <v>11</v>
      </c>
      <c r="C354" s="77">
        <v>129.4854</v>
      </c>
      <c r="D354" s="77">
        <v>0.29689679718609696</v>
      </c>
      <c r="E354" s="77">
        <v>2.3708440261656305</v>
      </c>
      <c r="F354" s="77">
        <v>3.2863932153528896</v>
      </c>
      <c r="G354" s="77">
        <v>126.0283</v>
      </c>
      <c r="H354" s="77">
        <v>0.33684911134252982</v>
      </c>
      <c r="I354" s="77">
        <v>3.0320594835655745</v>
      </c>
      <c r="J354" s="77">
        <v>4.0124952028819827</v>
      </c>
    </row>
    <row r="355" spans="1:10" ht="12.75" customHeight="1">
      <c r="A355" s="64"/>
      <c r="B355" s="64" t="s">
        <v>12</v>
      </c>
      <c r="C355" s="77">
        <v>129.60560000000001</v>
      </c>
      <c r="D355" s="77">
        <v>9.2828998481686575E-2</v>
      </c>
      <c r="E355" s="77">
        <v>2.4658738554123705</v>
      </c>
      <c r="F355" s="77">
        <v>3.1582901933816077</v>
      </c>
      <c r="G355" s="77">
        <v>126.3015</v>
      </c>
      <c r="H355" s="77">
        <v>0.21677670808857297</v>
      </c>
      <c r="I355" s="77">
        <v>3.2554089903899186</v>
      </c>
      <c r="J355" s="77">
        <v>3.9586113006524704</v>
      </c>
    </row>
    <row r="356" spans="1:10" ht="12.75" customHeight="1">
      <c r="A356" s="64"/>
      <c r="B356" s="64" t="s">
        <v>13</v>
      </c>
      <c r="C356" s="77">
        <v>129.8098</v>
      </c>
      <c r="D356" s="77">
        <v>0.15755492046638508</v>
      </c>
      <c r="E356" s="77">
        <v>2.6273138814704389</v>
      </c>
      <c r="F356" s="77">
        <v>3.179730608364717</v>
      </c>
      <c r="G356" s="77">
        <v>126.56440000000001</v>
      </c>
      <c r="H356" s="77">
        <v>0.20815271394243329</v>
      </c>
      <c r="I356" s="77">
        <v>3.4703379264957812</v>
      </c>
      <c r="J356" s="77">
        <v>3.9280412018971811</v>
      </c>
    </row>
    <row r="357" spans="1:10" ht="12.75" customHeight="1">
      <c r="A357" s="64"/>
      <c r="B357" s="64" t="s">
        <v>14</v>
      </c>
      <c r="C357" s="77">
        <v>130.72200000000001</v>
      </c>
      <c r="D357" s="77">
        <v>0.70272044175401227</v>
      </c>
      <c r="E357" s="77">
        <v>3.348496994938599</v>
      </c>
      <c r="F357" s="77">
        <v>3.348496994938599</v>
      </c>
      <c r="G357" s="77">
        <v>127.23</v>
      </c>
      <c r="H357" s="77">
        <v>0.52589827787277166</v>
      </c>
      <c r="I357" s="77">
        <v>4.0144866517603406</v>
      </c>
      <c r="J357" s="77">
        <v>4.0144866517603406</v>
      </c>
    </row>
    <row r="358" spans="1:10" ht="12.75" customHeight="1">
      <c r="A358" s="64"/>
      <c r="C358" s="77"/>
      <c r="D358" s="77"/>
      <c r="E358" s="77"/>
      <c r="F358" s="77"/>
      <c r="G358" s="77"/>
      <c r="H358" s="77"/>
      <c r="I358" s="77"/>
      <c r="J358" s="77"/>
    </row>
    <row r="359" spans="1:10" ht="12.75" customHeight="1">
      <c r="A359" s="64">
        <v>2025</v>
      </c>
      <c r="B359" s="64" t="s">
        <v>50</v>
      </c>
      <c r="C359" s="77">
        <v>131.2004</v>
      </c>
      <c r="D359" s="77">
        <v>0.36596747295787324</v>
      </c>
      <c r="E359" s="77">
        <v>0.36596747295787324</v>
      </c>
      <c r="F359" s="77">
        <v>3.3239985005465433</v>
      </c>
      <c r="G359" s="77">
        <v>127.84269999999999</v>
      </c>
      <c r="H359" s="77">
        <v>0.4815688123870121</v>
      </c>
      <c r="I359" s="77">
        <v>0.4815688123870121</v>
      </c>
      <c r="J359" s="77">
        <v>4.0299356417878407</v>
      </c>
    </row>
    <row r="360" spans="1:10" ht="12.75" customHeight="1">
      <c r="A360" s="64"/>
      <c r="B360" s="64" t="s">
        <v>4</v>
      </c>
      <c r="C360" s="77">
        <v>131.62440000000001</v>
      </c>
      <c r="D360" s="77">
        <v>0.32316974643371577</v>
      </c>
      <c r="E360" s="77">
        <v>0.69031991554597827</v>
      </c>
      <c r="F360" s="77">
        <v>3.5641168074804108</v>
      </c>
      <c r="G360" s="77">
        <v>128.42410000000001</v>
      </c>
      <c r="H360" s="77">
        <v>0.45477762907073505</v>
      </c>
      <c r="I360" s="77">
        <v>0.93853650868507277</v>
      </c>
      <c r="J360" s="77">
        <v>4.2114966555523381</v>
      </c>
    </row>
    <row r="361" spans="1:10" ht="12.75" customHeight="1">
      <c r="A361" s="64"/>
      <c r="B361" s="64" t="s">
        <v>5</v>
      </c>
      <c r="C361" s="77">
        <v>132.03729999999999</v>
      </c>
      <c r="D361" s="77">
        <v>0.31369563697913883</v>
      </c>
      <c r="E361" s="77">
        <v>1.0061810559813811</v>
      </c>
      <c r="F361" s="77">
        <v>3.5807638962978672</v>
      </c>
      <c r="G361" s="77">
        <v>128.93600000000001</v>
      </c>
      <c r="H361" s="77">
        <v>0.39860119712733511</v>
      </c>
      <c r="I361" s="77">
        <v>1.3408787235714925</v>
      </c>
      <c r="J361" s="77">
        <v>4.240068428362842</v>
      </c>
    </row>
    <row r="362" spans="1:10" ht="12.75" customHeight="1">
      <c r="A362" s="64"/>
      <c r="B362" s="64" t="s">
        <v>6</v>
      </c>
      <c r="C362" s="77">
        <v>132.07040000000001</v>
      </c>
      <c r="D362" s="77">
        <v>2.506867377629618E-2</v>
      </c>
      <c r="E362" s="77">
        <v>1.0315019660041891</v>
      </c>
      <c r="F362" s="77">
        <v>3.708426843651802</v>
      </c>
      <c r="G362" s="77">
        <v>129.14869999999999</v>
      </c>
      <c r="H362" s="77">
        <v>0.16496556431095932</v>
      </c>
      <c r="I362" s="77">
        <v>1.5080562760355187</v>
      </c>
      <c r="J362" s="77">
        <v>4.1310153097918745</v>
      </c>
    </row>
    <row r="363" spans="1:10" ht="12.75" customHeight="1">
      <c r="A363" s="64"/>
      <c r="B363" s="64" t="s">
        <v>7</v>
      </c>
      <c r="C363" s="77">
        <v>132.1823</v>
      </c>
      <c r="D363" s="77">
        <v>8.4727539251794326E-2</v>
      </c>
      <c r="E363" s="77">
        <v>1.1171034714891004</v>
      </c>
      <c r="F363" s="77">
        <v>3.8363314000849913</v>
      </c>
      <c r="G363" s="77">
        <v>129.5214</v>
      </c>
      <c r="H363" s="77">
        <v>0.28858207631978772</v>
      </c>
      <c r="I363" s="77">
        <v>1.8009903324687437</v>
      </c>
      <c r="J363" s="77">
        <v>4.2238696797274988</v>
      </c>
    </row>
    <row r="364" spans="1:10" ht="12.75" customHeight="1">
      <c r="A364" s="64"/>
      <c r="B364" s="64" t="s">
        <v>8</v>
      </c>
      <c r="C364" s="77">
        <v>132.45519999999999</v>
      </c>
      <c r="D364" s="77">
        <v>0.20645729420656345</v>
      </c>
      <c r="E364" s="77">
        <v>1.3258671072963857</v>
      </c>
      <c r="F364" s="77">
        <v>3.5551361565626438</v>
      </c>
      <c r="G364" s="77">
        <v>129.88130000000001</v>
      </c>
      <c r="H364" s="77">
        <v>0.27786913977150274</v>
      </c>
      <c r="I364" s="77">
        <v>2.0838638685844568</v>
      </c>
      <c r="J364" s="77">
        <v>4.1526733962669704</v>
      </c>
    </row>
    <row r="365" spans="1:10" ht="12.75" customHeight="1">
      <c r="A365" s="64"/>
      <c r="B365" s="64" t="s">
        <v>9</v>
      </c>
      <c r="C365" s="77">
        <v>132.95480000000001</v>
      </c>
      <c r="D365" s="77">
        <v>0.37718413471121703</v>
      </c>
      <c r="E365" s="77">
        <v>1.7080522023836808</v>
      </c>
      <c r="F365" s="77">
        <v>3.3999024755197338</v>
      </c>
      <c r="G365" s="77">
        <v>130.2739</v>
      </c>
      <c r="H365" s="77">
        <v>0.30227600124113074</v>
      </c>
      <c r="I365" s="77">
        <v>2.3924388901988447</v>
      </c>
      <c r="J365" s="77">
        <v>4.1871137186656249</v>
      </c>
    </row>
    <row r="366" spans="1:10" ht="12.75" customHeight="1">
      <c r="A366" s="64"/>
      <c r="B366" s="64" t="s">
        <v>49</v>
      </c>
      <c r="C366" s="77">
        <v>133.8965</v>
      </c>
      <c r="D366" s="77">
        <v>0.70828582345277002</v>
      </c>
      <c r="E366" s="77">
        <v>2.428435917443128</v>
      </c>
      <c r="F366" s="77">
        <v>3.7136498941535478</v>
      </c>
      <c r="G366" s="77">
        <v>131.0308</v>
      </c>
      <c r="H366" s="77">
        <v>0.58100663294797794</v>
      </c>
      <c r="I366" s="77">
        <v>2.9873457517880952</v>
      </c>
      <c r="J366" s="77">
        <v>4.3195663873788703</v>
      </c>
    </row>
    <row r="367" spans="1:10" ht="12.75" customHeight="1">
      <c r="A367" s="64"/>
      <c r="B367" s="64" t="s">
        <v>11</v>
      </c>
      <c r="C367" s="77">
        <v>134.34829999999999</v>
      </c>
      <c r="D367" s="77">
        <v>0.33742480199256963</v>
      </c>
      <c r="E367" s="77">
        <v>2.7740548645216467</v>
      </c>
      <c r="F367" s="77">
        <v>3.7555585417351933</v>
      </c>
      <c r="G367" s="77">
        <v>131.51230000000001</v>
      </c>
      <c r="H367" s="77">
        <v>0.36747085418085135</v>
      </c>
      <c r="I367" s="77">
        <v>3.3657942309203825</v>
      </c>
      <c r="J367" s="77">
        <v>4.3514036133154299</v>
      </c>
    </row>
    <row r="368" spans="1:10" ht="12.75" customHeight="1">
      <c r="A368" s="64"/>
      <c r="B368" s="64" t="s">
        <v>12</v>
      </c>
      <c r="C368" s="77">
        <v>135.0898</v>
      </c>
      <c r="D368" s="77">
        <v>0.5519236194280186</v>
      </c>
      <c r="E368" s="77">
        <v>3.3412891479628337</v>
      </c>
      <c r="F368" s="77">
        <v>4.2314529619090324</v>
      </c>
      <c r="G368" s="77">
        <v>132.19460000000001</v>
      </c>
      <c r="H368" s="77">
        <v>0.51881078804034697</v>
      </c>
      <c r="I368" s="77">
        <v>3.9020671225340031</v>
      </c>
      <c r="J368" s="77">
        <v>4.6658986631195942</v>
      </c>
    </row>
    <row r="369" spans="1:10" ht="12.75" customHeight="1">
      <c r="A369" s="64"/>
      <c r="B369" s="64" t="s">
        <v>13</v>
      </c>
      <c r="C369" s="77">
        <v>136.05510000000001</v>
      </c>
      <c r="D369" s="77">
        <v>0.71456172116621808</v>
      </c>
      <c r="E369" s="77">
        <v>4.0797264423738877</v>
      </c>
      <c r="F369" s="77">
        <v>4.8111159558061223</v>
      </c>
      <c r="G369" s="77">
        <v>132.5659</v>
      </c>
      <c r="H369" s="77">
        <v>0.28087380271204498</v>
      </c>
      <c r="I369" s="77">
        <v>4.1939008095574826</v>
      </c>
      <c r="J369" s="77">
        <v>4.7418547395634114</v>
      </c>
    </row>
    <row r="370" spans="1:10" ht="12.75" customHeight="1">
      <c r="A370" s="64"/>
      <c r="B370" s="64" t="s">
        <v>14</v>
      </c>
      <c r="C370" s="77">
        <v>137.19550000000001</v>
      </c>
      <c r="D370" s="77">
        <v>0.83818982162373601</v>
      </c>
      <c r="E370" s="77">
        <v>4.9521121157876991</v>
      </c>
      <c r="F370" s="77">
        <v>4.9521121157876991</v>
      </c>
      <c r="G370" s="77">
        <v>133.40199999999999</v>
      </c>
      <c r="H370" s="77">
        <v>0.63070518134753506</v>
      </c>
      <c r="I370" s="77">
        <v>4.85105714061147</v>
      </c>
      <c r="J370" s="77">
        <v>4.85105714061147</v>
      </c>
    </row>
    <row r="371" spans="1:10" ht="4.5" customHeight="1">
      <c r="A371" s="72"/>
      <c r="B371" s="118"/>
      <c r="C371" s="119"/>
      <c r="D371" s="119"/>
      <c r="E371" s="119"/>
      <c r="F371" s="119"/>
      <c r="G371" s="119"/>
      <c r="H371" s="119"/>
      <c r="I371" s="119"/>
      <c r="J371" s="119"/>
    </row>
    <row r="372" spans="1:10" ht="27.75" customHeight="1">
      <c r="A372" s="318" t="s">
        <v>347</v>
      </c>
      <c r="B372" s="318"/>
      <c r="C372" s="318"/>
      <c r="D372" s="318"/>
      <c r="E372" s="318"/>
      <c r="F372" s="318"/>
      <c r="G372" s="318"/>
      <c r="H372" s="318"/>
      <c r="I372" s="318"/>
      <c r="J372" s="318"/>
    </row>
    <row r="373" spans="1:10" ht="33.75" customHeight="1">
      <c r="A373" s="344" t="s">
        <v>348</v>
      </c>
      <c r="B373" s="344"/>
      <c r="C373" s="344"/>
      <c r="D373" s="344"/>
      <c r="E373" s="344"/>
      <c r="F373" s="344"/>
      <c r="G373" s="344"/>
      <c r="H373" s="344"/>
      <c r="I373" s="344"/>
      <c r="J373" s="344"/>
    </row>
    <row r="374" spans="1:10" ht="24" customHeight="1">
      <c r="A374" s="220" t="s">
        <v>308</v>
      </c>
      <c r="B374" s="222"/>
      <c r="C374" s="222"/>
      <c r="D374" s="222"/>
      <c r="E374" s="222"/>
      <c r="F374" s="222"/>
      <c r="G374" s="222"/>
      <c r="H374" s="222"/>
      <c r="I374" s="222"/>
      <c r="J374" s="222"/>
    </row>
    <row r="375" spans="1:10" ht="12.75" customHeight="1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</row>
    <row r="376" spans="1:10">
      <c r="A376" s="121"/>
      <c r="B376" s="122"/>
      <c r="C376" s="122"/>
      <c r="D376" s="122"/>
      <c r="E376" s="122"/>
      <c r="F376" s="122"/>
      <c r="G376" s="122"/>
      <c r="H376" s="122"/>
      <c r="I376" s="122"/>
      <c r="J376" s="122"/>
    </row>
  </sheetData>
  <mergeCells count="8">
    <mergeCell ref="A373:J373"/>
    <mergeCell ref="A372:J372"/>
    <mergeCell ref="A3:J3"/>
    <mergeCell ref="A2:J2"/>
    <mergeCell ref="A1:J1"/>
    <mergeCell ref="A5:B6"/>
    <mergeCell ref="D5:F5"/>
    <mergeCell ref="H5:J5"/>
  </mergeCells>
  <printOptions horizontalCentered="1"/>
  <pageMargins left="0.66929133858267698" right="0.66929133858267698" top="0.43307086614173201" bottom="0.39370078740157499" header="0.31496062992126" footer="0.31496062992126"/>
  <pageSetup scale="66" fitToWidth="3" fitToHeight="3" orientation="portrait" r:id="rId1"/>
  <rowBreaks count="5" manualBreakCount="5">
    <brk id="85" max="9" man="1"/>
    <brk id="137" max="9" man="1"/>
    <brk id="189" max="9" man="1"/>
    <brk id="241" max="9" man="1"/>
    <brk id="293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7269-C1F9-495E-B32F-035000634613}">
  <dimension ref="A1:V619"/>
  <sheetViews>
    <sheetView showGridLines="0" view="pageBreakPreview" topLeftCell="C1" zoomScaleNormal="85" zoomScaleSheetLayoutView="100" workbookViewId="0">
      <pane ySplit="6" topLeftCell="A585" activePane="bottomLeft" state="frozen"/>
      <selection pane="bottomLeft" activeCell="C607" sqref="A607:XFD609"/>
    </sheetView>
  </sheetViews>
  <sheetFormatPr defaultRowHeight="14.25"/>
  <cols>
    <col min="1" max="4" width="9.140625" style="1" customWidth="1"/>
    <col min="5" max="5" width="70" style="1" customWidth="1"/>
    <col min="6" max="6" width="14.5703125" style="1" customWidth="1"/>
    <col min="7" max="18" width="12.85546875" style="1" customWidth="1"/>
    <col min="19" max="16384" width="9.140625" style="1"/>
  </cols>
  <sheetData>
    <row r="1" spans="1:22" s="124" customFormat="1" ht="16.5" customHeight="1">
      <c r="A1" s="347" t="s">
        <v>340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</row>
    <row r="2" spans="1:22" s="124" customFormat="1" ht="15" customHeight="1">
      <c r="A2" s="347" t="s">
        <v>976</v>
      </c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</row>
    <row r="3" spans="1:22" s="124" customFormat="1" ht="14.25" customHeight="1">
      <c r="A3" s="347" t="s">
        <v>281</v>
      </c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</row>
    <row r="4" spans="1:22" s="124" customFormat="1" ht="9" customHeight="1" thickBot="1">
      <c r="A4" s="348"/>
      <c r="B4" s="348"/>
      <c r="C4" s="348"/>
      <c r="D4" s="348"/>
      <c r="E4" s="348"/>
      <c r="F4" s="348"/>
      <c r="G4" s="348"/>
      <c r="H4" s="348"/>
      <c r="I4" s="348"/>
      <c r="J4" s="125"/>
      <c r="K4" s="64"/>
      <c r="L4" s="64"/>
      <c r="M4" s="64"/>
      <c r="N4" s="64"/>
      <c r="O4" s="64"/>
    </row>
    <row r="5" spans="1:22" ht="18.75" customHeight="1" thickTop="1" thickBot="1">
      <c r="A5" s="349" t="s">
        <v>977</v>
      </c>
      <c r="B5" s="349" t="s">
        <v>978</v>
      </c>
      <c r="C5" s="349" t="s">
        <v>979</v>
      </c>
      <c r="D5" s="349" t="s">
        <v>980</v>
      </c>
      <c r="E5" s="354" t="s">
        <v>981</v>
      </c>
      <c r="F5" s="351" t="s">
        <v>54</v>
      </c>
      <c r="G5" s="353">
        <v>2025</v>
      </c>
      <c r="H5" s="353"/>
      <c r="I5" s="353"/>
      <c r="J5" s="353"/>
      <c r="K5" s="353"/>
      <c r="L5" s="353"/>
      <c r="M5" s="353"/>
      <c r="N5" s="353"/>
      <c r="O5" s="353"/>
      <c r="P5" s="353"/>
      <c r="Q5" s="353"/>
      <c r="R5" s="353"/>
    </row>
    <row r="6" spans="1:22" ht="19.5" customHeight="1" thickTop="1" thickBot="1">
      <c r="A6" s="350"/>
      <c r="B6" s="350"/>
      <c r="C6" s="350"/>
      <c r="D6" s="350"/>
      <c r="E6" s="355"/>
      <c r="F6" s="352"/>
      <c r="G6" s="126" t="s">
        <v>288</v>
      </c>
      <c r="H6" s="126" t="s">
        <v>289</v>
      </c>
      <c r="I6" s="126" t="s">
        <v>290</v>
      </c>
      <c r="J6" s="126" t="s">
        <v>291</v>
      </c>
      <c r="K6" s="126" t="s">
        <v>292</v>
      </c>
      <c r="L6" s="126" t="s">
        <v>293</v>
      </c>
      <c r="M6" s="126" t="s">
        <v>294</v>
      </c>
      <c r="N6" s="126" t="s">
        <v>295</v>
      </c>
      <c r="O6" s="126" t="s">
        <v>287</v>
      </c>
      <c r="P6" s="126" t="s">
        <v>286</v>
      </c>
      <c r="Q6" s="126" t="s">
        <v>285</v>
      </c>
      <c r="R6" s="126" t="s">
        <v>284</v>
      </c>
    </row>
    <row r="7" spans="1:22" ht="15.75" thickTop="1">
      <c r="A7" s="268" t="s">
        <v>365</v>
      </c>
      <c r="B7" s="268"/>
      <c r="C7" s="268"/>
      <c r="D7" s="268"/>
      <c r="E7" s="268"/>
      <c r="F7" s="303">
        <v>23.835128000000001</v>
      </c>
      <c r="G7" s="304">
        <v>143.01419999999999</v>
      </c>
      <c r="H7" s="304">
        <v>143.3777</v>
      </c>
      <c r="I7" s="304">
        <v>143.50489999999999</v>
      </c>
      <c r="J7" s="304">
        <v>143.26249999999999</v>
      </c>
      <c r="K7" s="304">
        <v>143.0402</v>
      </c>
      <c r="L7" s="304">
        <v>143.00720000000001</v>
      </c>
      <c r="M7" s="304">
        <v>143.67779999999999</v>
      </c>
      <c r="N7" s="304">
        <v>145.4546</v>
      </c>
      <c r="O7" s="304">
        <v>146.50210000000001</v>
      </c>
      <c r="P7" s="304">
        <v>148.1585</v>
      </c>
      <c r="Q7" s="304">
        <v>151.0556</v>
      </c>
      <c r="R7" s="304">
        <v>153.45599999999999</v>
      </c>
      <c r="S7" s="244"/>
      <c r="T7" s="244"/>
      <c r="U7" s="244"/>
      <c r="V7" s="244"/>
    </row>
    <row r="8" spans="1:22" ht="15">
      <c r="A8" s="141"/>
      <c r="B8" s="141" t="s">
        <v>366</v>
      </c>
      <c r="C8" s="141"/>
      <c r="D8" s="141"/>
      <c r="E8" s="301"/>
      <c r="F8" s="298">
        <v>21.043777299999999</v>
      </c>
      <c r="G8" s="129">
        <v>143.238</v>
      </c>
      <c r="H8" s="129">
        <v>143.46469999999999</v>
      </c>
      <c r="I8" s="129">
        <v>143.53479999999999</v>
      </c>
      <c r="J8" s="129">
        <v>143.08410000000001</v>
      </c>
      <c r="K8" s="129">
        <v>142.7149</v>
      </c>
      <c r="L8" s="129">
        <v>142.64789999999999</v>
      </c>
      <c r="M8" s="129">
        <v>143.36930000000001</v>
      </c>
      <c r="N8" s="129">
        <v>145.3022</v>
      </c>
      <c r="O8" s="129">
        <v>146.4102</v>
      </c>
      <c r="P8" s="129">
        <v>148.2054</v>
      </c>
      <c r="Q8" s="129">
        <v>151.1918</v>
      </c>
      <c r="R8" s="129">
        <v>153.6009</v>
      </c>
    </row>
    <row r="9" spans="1:22" ht="15">
      <c r="A9" s="141"/>
      <c r="B9" s="141"/>
      <c r="C9" s="141" t="s">
        <v>367</v>
      </c>
      <c r="D9" s="141"/>
      <c r="E9" s="301"/>
      <c r="F9" s="298">
        <v>3.7578867599999999</v>
      </c>
      <c r="G9" s="129">
        <v>145.60130000000001</v>
      </c>
      <c r="H9" s="129">
        <v>146.09700000000001</v>
      </c>
      <c r="I9" s="129">
        <v>146.66149999999999</v>
      </c>
      <c r="J9" s="129">
        <v>147.071</v>
      </c>
      <c r="K9" s="129">
        <v>147.48660000000001</v>
      </c>
      <c r="L9" s="129">
        <v>147.74760000000001</v>
      </c>
      <c r="M9" s="129">
        <v>148.43780000000001</v>
      </c>
      <c r="N9" s="129">
        <v>148.76929999999999</v>
      </c>
      <c r="O9" s="129">
        <v>149.13130000000001</v>
      </c>
      <c r="P9" s="129">
        <v>149.53219999999999</v>
      </c>
      <c r="Q9" s="129">
        <v>149.72040000000001</v>
      </c>
      <c r="R9" s="129">
        <v>150.22810000000001</v>
      </c>
    </row>
    <row r="10" spans="1:22" ht="15">
      <c r="A10" s="141"/>
      <c r="B10" s="141"/>
      <c r="C10" s="141"/>
      <c r="D10" s="141" t="s">
        <v>368</v>
      </c>
      <c r="E10" s="301"/>
      <c r="F10" s="298">
        <v>0.94491768600000003</v>
      </c>
      <c r="G10" s="129">
        <v>134.65889999999999</v>
      </c>
      <c r="H10" s="129">
        <v>134.8193</v>
      </c>
      <c r="I10" s="129">
        <v>134.95570000000001</v>
      </c>
      <c r="J10" s="129">
        <v>135.07740000000001</v>
      </c>
      <c r="K10" s="129">
        <v>135.5044</v>
      </c>
      <c r="L10" s="129">
        <v>136.00800000000001</v>
      </c>
      <c r="M10" s="129">
        <v>137.5624</v>
      </c>
      <c r="N10" s="129">
        <v>137.96870000000001</v>
      </c>
      <c r="O10" s="129">
        <v>138.5367</v>
      </c>
      <c r="P10" s="129">
        <v>138.839</v>
      </c>
      <c r="Q10" s="129">
        <v>139.11179999999999</v>
      </c>
      <c r="R10" s="129">
        <v>139.9511</v>
      </c>
    </row>
    <row r="11" spans="1:22" ht="15">
      <c r="A11" s="141"/>
      <c r="B11" s="141"/>
      <c r="C11" s="141"/>
      <c r="D11" s="141"/>
      <c r="E11" s="301" t="s">
        <v>369</v>
      </c>
      <c r="F11" s="298">
        <v>0.50544516699999997</v>
      </c>
      <c r="G11" s="129">
        <v>132.39599999999999</v>
      </c>
      <c r="H11" s="129">
        <v>132.55160000000001</v>
      </c>
      <c r="I11" s="129">
        <v>132.70400000000001</v>
      </c>
      <c r="J11" s="129">
        <v>133.0095</v>
      </c>
      <c r="K11" s="129">
        <v>133.4135</v>
      </c>
      <c r="L11" s="129">
        <v>134.1481</v>
      </c>
      <c r="M11" s="129">
        <v>136.64619999999999</v>
      </c>
      <c r="N11" s="129">
        <v>137.1936</v>
      </c>
      <c r="O11" s="129">
        <v>137.8888</v>
      </c>
      <c r="P11" s="129">
        <v>138.26769999999999</v>
      </c>
      <c r="Q11" s="129">
        <v>138.54419999999999</v>
      </c>
      <c r="R11" s="129">
        <v>139.43960000000001</v>
      </c>
    </row>
    <row r="12" spans="1:22" ht="15">
      <c r="A12" s="141"/>
      <c r="B12" s="141"/>
      <c r="C12" s="141"/>
      <c r="D12" s="141"/>
      <c r="E12" s="301" t="s">
        <v>370</v>
      </c>
      <c r="F12" s="298">
        <v>0.39901798700000002</v>
      </c>
      <c r="G12" s="129">
        <v>138.7764</v>
      </c>
      <c r="H12" s="129">
        <v>138.958</v>
      </c>
      <c r="I12" s="129">
        <v>139.08199999999999</v>
      </c>
      <c r="J12" s="129">
        <v>138.97550000000001</v>
      </c>
      <c r="K12" s="129">
        <v>139.39089999999999</v>
      </c>
      <c r="L12" s="129">
        <v>139.5848</v>
      </c>
      <c r="M12" s="129">
        <v>140.06530000000001</v>
      </c>
      <c r="N12" s="129">
        <v>140.29650000000001</v>
      </c>
      <c r="O12" s="129">
        <v>140.7636</v>
      </c>
      <c r="P12" s="129">
        <v>140.99</v>
      </c>
      <c r="Q12" s="129">
        <v>141.2714</v>
      </c>
      <c r="R12" s="129">
        <v>142.1113</v>
      </c>
    </row>
    <row r="13" spans="1:22" ht="15">
      <c r="A13" s="141"/>
      <c r="B13" s="141"/>
      <c r="C13" s="141"/>
      <c r="D13" s="141"/>
      <c r="E13" s="301" t="s">
        <v>371</v>
      </c>
      <c r="F13" s="298">
        <v>4.0454533000000001E-2</v>
      </c>
      <c r="G13" s="129">
        <v>122.3201</v>
      </c>
      <c r="H13" s="129">
        <v>122.3302</v>
      </c>
      <c r="I13" s="129">
        <v>122.39060000000001</v>
      </c>
      <c r="J13" s="129">
        <v>122.4658</v>
      </c>
      <c r="K13" s="129">
        <v>123.295</v>
      </c>
      <c r="L13" s="129">
        <v>123.96599999999999</v>
      </c>
      <c r="M13" s="129">
        <v>124.3222</v>
      </c>
      <c r="N13" s="129">
        <v>124.6936</v>
      </c>
      <c r="O13" s="129">
        <v>124.66670000000001</v>
      </c>
      <c r="P13" s="129">
        <v>124.75960000000001</v>
      </c>
      <c r="Q13" s="129">
        <v>124.9028</v>
      </c>
      <c r="R13" s="129">
        <v>125.036</v>
      </c>
    </row>
    <row r="14" spans="1:22" ht="15">
      <c r="A14" s="141"/>
      <c r="B14" s="141"/>
      <c r="C14" s="141"/>
      <c r="D14" s="141" t="s">
        <v>372</v>
      </c>
      <c r="E14" s="301"/>
      <c r="F14" s="298">
        <v>0.37196574599999999</v>
      </c>
      <c r="G14" s="129">
        <v>137.52019999999999</v>
      </c>
      <c r="H14" s="129">
        <v>138.1037</v>
      </c>
      <c r="I14" s="129">
        <v>138.14590000000001</v>
      </c>
      <c r="J14" s="129">
        <v>138.9436</v>
      </c>
      <c r="K14" s="129">
        <v>139.35990000000001</v>
      </c>
      <c r="L14" s="129">
        <v>139.476</v>
      </c>
      <c r="M14" s="129">
        <v>139.7722</v>
      </c>
      <c r="N14" s="129">
        <v>139.95920000000001</v>
      </c>
      <c r="O14" s="129">
        <v>140.1121</v>
      </c>
      <c r="P14" s="129">
        <v>140.81610000000001</v>
      </c>
      <c r="Q14" s="129">
        <v>140.85079999999999</v>
      </c>
      <c r="R14" s="129">
        <v>141.11369999999999</v>
      </c>
    </row>
    <row r="15" spans="1:22" ht="15">
      <c r="A15" s="141"/>
      <c r="B15" s="141"/>
      <c r="C15" s="141"/>
      <c r="D15" s="141"/>
      <c r="E15" s="301" t="s">
        <v>373</v>
      </c>
      <c r="F15" s="298">
        <v>0.13258761399999999</v>
      </c>
      <c r="G15" s="129">
        <v>147.20689999999999</v>
      </c>
      <c r="H15" s="129">
        <v>148.0566</v>
      </c>
      <c r="I15" s="129">
        <v>147.67599999999999</v>
      </c>
      <c r="J15" s="129">
        <v>148.42949999999999</v>
      </c>
      <c r="K15" s="129">
        <v>148.9367</v>
      </c>
      <c r="L15" s="129">
        <v>148.8475</v>
      </c>
      <c r="M15" s="129">
        <v>149.2338</v>
      </c>
      <c r="N15" s="129">
        <v>149.3142</v>
      </c>
      <c r="O15" s="129">
        <v>149.57740000000001</v>
      </c>
      <c r="P15" s="129">
        <v>150.36320000000001</v>
      </c>
      <c r="Q15" s="129">
        <v>150.1651</v>
      </c>
      <c r="R15" s="129">
        <v>150.49209999999999</v>
      </c>
    </row>
    <row r="16" spans="1:22" ht="15">
      <c r="A16" s="141"/>
      <c r="B16" s="141"/>
      <c r="C16" s="141"/>
      <c r="D16" s="141"/>
      <c r="E16" s="301" t="s">
        <v>374</v>
      </c>
      <c r="F16" s="299">
        <v>7.7885033000000006E-2</v>
      </c>
      <c r="G16" s="129">
        <v>115.15260000000001</v>
      </c>
      <c r="H16" s="129">
        <v>115.5385</v>
      </c>
      <c r="I16" s="129">
        <v>116.0141</v>
      </c>
      <c r="J16" s="129">
        <v>116.6391</v>
      </c>
      <c r="K16" s="129">
        <v>117.14660000000001</v>
      </c>
      <c r="L16" s="129">
        <v>117.2756</v>
      </c>
      <c r="M16" s="129">
        <v>117.3468</v>
      </c>
      <c r="N16" s="129">
        <v>117.536</v>
      </c>
      <c r="O16" s="129">
        <v>117.6541</v>
      </c>
      <c r="P16" s="129">
        <v>118.0146</v>
      </c>
      <c r="Q16" s="129">
        <v>118.22280000000001</v>
      </c>
      <c r="R16" s="129">
        <v>118.49590000000001</v>
      </c>
    </row>
    <row r="17" spans="1:18" ht="15">
      <c r="A17" s="141"/>
      <c r="B17" s="141"/>
      <c r="C17" s="141"/>
      <c r="D17" s="141"/>
      <c r="E17" s="301" t="s">
        <v>375</v>
      </c>
      <c r="F17" s="299">
        <v>7.1040731999999995E-2</v>
      </c>
      <c r="G17" s="129">
        <v>147.75620000000001</v>
      </c>
      <c r="H17" s="129">
        <v>148.54519999999999</v>
      </c>
      <c r="I17" s="129">
        <v>148.52869999999999</v>
      </c>
      <c r="J17" s="129">
        <v>149.73050000000001</v>
      </c>
      <c r="K17" s="129">
        <v>150.21360000000001</v>
      </c>
      <c r="L17" s="129">
        <v>150.77340000000001</v>
      </c>
      <c r="M17" s="129">
        <v>151.2132</v>
      </c>
      <c r="N17" s="129">
        <v>150.8921</v>
      </c>
      <c r="O17" s="129">
        <v>150.77610000000001</v>
      </c>
      <c r="P17" s="129">
        <v>152.4683</v>
      </c>
      <c r="Q17" s="129">
        <v>152.82210000000001</v>
      </c>
      <c r="R17" s="129">
        <v>152.50319999999999</v>
      </c>
    </row>
    <row r="18" spans="1:18" ht="15">
      <c r="A18" s="141"/>
      <c r="B18" s="141"/>
      <c r="C18" s="141"/>
      <c r="D18" s="141"/>
      <c r="E18" s="301" t="s">
        <v>376</v>
      </c>
      <c r="F18" s="299">
        <v>2.0645883E-2</v>
      </c>
      <c r="G18" s="129">
        <v>135.90379999999999</v>
      </c>
      <c r="H18" s="129">
        <v>136.17429999999999</v>
      </c>
      <c r="I18" s="129">
        <v>136.7628</v>
      </c>
      <c r="J18" s="129">
        <v>136.88040000000001</v>
      </c>
      <c r="K18" s="129">
        <v>137.32910000000001</v>
      </c>
      <c r="L18" s="129">
        <v>137.92019999999999</v>
      </c>
      <c r="M18" s="129">
        <v>138.27209999999999</v>
      </c>
      <c r="N18" s="129">
        <v>138.62710000000001</v>
      </c>
      <c r="O18" s="129">
        <v>138.77860000000001</v>
      </c>
      <c r="P18" s="129">
        <v>138.96469999999999</v>
      </c>
      <c r="Q18" s="129">
        <v>139.0487</v>
      </c>
      <c r="R18" s="129">
        <v>139.12100000000001</v>
      </c>
    </row>
    <row r="19" spans="1:18" ht="15">
      <c r="A19" s="141"/>
      <c r="B19" s="141"/>
      <c r="C19" s="141"/>
      <c r="D19" s="141"/>
      <c r="E19" s="301" t="s">
        <v>377</v>
      </c>
      <c r="F19" s="299">
        <v>5.0453634999999997E-2</v>
      </c>
      <c r="G19" s="129">
        <v>128.8725</v>
      </c>
      <c r="H19" s="129">
        <v>129.3348</v>
      </c>
      <c r="I19" s="129">
        <v>129.1996</v>
      </c>
      <c r="J19" s="129">
        <v>129.70580000000001</v>
      </c>
      <c r="K19" s="129">
        <v>129.5137</v>
      </c>
      <c r="L19" s="129">
        <v>129.7363</v>
      </c>
      <c r="M19" s="129">
        <v>129.87379999999999</v>
      </c>
      <c r="N19" s="129">
        <v>130.7313</v>
      </c>
      <c r="O19" s="129">
        <v>130.96199999999999</v>
      </c>
      <c r="P19" s="129">
        <v>130.93180000000001</v>
      </c>
      <c r="Q19" s="129">
        <v>130.63</v>
      </c>
      <c r="R19" s="129">
        <v>131.39709999999999</v>
      </c>
    </row>
    <row r="20" spans="1:18" ht="15">
      <c r="A20" s="141"/>
      <c r="B20" s="141"/>
      <c r="C20" s="141"/>
      <c r="D20" s="141"/>
      <c r="E20" s="301" t="s">
        <v>378</v>
      </c>
      <c r="F20" s="299">
        <v>1.9352847999999999E-2</v>
      </c>
      <c r="G20" s="129">
        <v>147.8682</v>
      </c>
      <c r="H20" s="129">
        <v>147.3186</v>
      </c>
      <c r="I20" s="129">
        <v>148.61000000000001</v>
      </c>
      <c r="J20" s="129">
        <v>150.40629999999999</v>
      </c>
      <c r="K20" s="129">
        <v>151.1395</v>
      </c>
      <c r="L20" s="129">
        <v>150.1962</v>
      </c>
      <c r="M20" s="129">
        <v>150.6096</v>
      </c>
      <c r="N20" s="129">
        <v>151.45429999999999</v>
      </c>
      <c r="O20" s="129">
        <v>151.7783</v>
      </c>
      <c r="P20" s="129">
        <v>152.1431</v>
      </c>
      <c r="Q20" s="129">
        <v>152.72669999999999</v>
      </c>
      <c r="R20" s="129">
        <v>153.5343</v>
      </c>
    </row>
    <row r="21" spans="1:18" ht="15">
      <c r="A21" s="141"/>
      <c r="B21" s="141"/>
      <c r="C21" s="141"/>
      <c r="D21" s="141" t="s">
        <v>379</v>
      </c>
      <c r="E21" s="301"/>
      <c r="F21" s="299">
        <v>0.29698675899999999</v>
      </c>
      <c r="G21" s="129">
        <v>147.0592</v>
      </c>
      <c r="H21" s="129">
        <v>146.97839999999999</v>
      </c>
      <c r="I21" s="129">
        <v>147.2765</v>
      </c>
      <c r="J21" s="129">
        <v>147.3092</v>
      </c>
      <c r="K21" s="129">
        <v>147.54089999999999</v>
      </c>
      <c r="L21" s="129">
        <v>147.28309999999999</v>
      </c>
      <c r="M21" s="129">
        <v>147.89320000000001</v>
      </c>
      <c r="N21" s="129">
        <v>148.5282</v>
      </c>
      <c r="O21" s="129">
        <v>149.03219999999999</v>
      </c>
      <c r="P21" s="129">
        <v>149.38040000000001</v>
      </c>
      <c r="Q21" s="129">
        <v>149.4522</v>
      </c>
      <c r="R21" s="129">
        <v>150.20429999999999</v>
      </c>
    </row>
    <row r="22" spans="1:18" ht="15">
      <c r="A22" s="141"/>
      <c r="B22" s="141"/>
      <c r="C22" s="141"/>
      <c r="D22" s="141"/>
      <c r="E22" s="301" t="s">
        <v>380</v>
      </c>
      <c r="F22" s="299">
        <v>0.106898807</v>
      </c>
      <c r="G22" s="129">
        <v>142.33699999999999</v>
      </c>
      <c r="H22" s="129">
        <v>141.9666</v>
      </c>
      <c r="I22" s="129">
        <v>142.57900000000001</v>
      </c>
      <c r="J22" s="129">
        <v>142.30760000000001</v>
      </c>
      <c r="K22" s="129">
        <v>143.0652</v>
      </c>
      <c r="L22" s="129">
        <v>142.13489999999999</v>
      </c>
      <c r="M22" s="129">
        <v>142.80359999999999</v>
      </c>
      <c r="N22" s="129">
        <v>143.405</v>
      </c>
      <c r="O22" s="129">
        <v>143.99209999999999</v>
      </c>
      <c r="P22" s="129">
        <v>144.52719999999999</v>
      </c>
      <c r="Q22" s="129">
        <v>144.18389999999999</v>
      </c>
      <c r="R22" s="129">
        <v>145.42420000000001</v>
      </c>
    </row>
    <row r="23" spans="1:18" ht="15">
      <c r="A23" s="141"/>
      <c r="B23" s="141"/>
      <c r="C23" s="141"/>
      <c r="D23" s="141"/>
      <c r="E23" s="301" t="s">
        <v>381</v>
      </c>
      <c r="F23" s="299">
        <v>7.1995782999999994E-2</v>
      </c>
      <c r="G23" s="129">
        <v>138.90960000000001</v>
      </c>
      <c r="H23" s="129">
        <v>138.9485</v>
      </c>
      <c r="I23" s="129">
        <v>138.0624</v>
      </c>
      <c r="J23" s="129">
        <v>138.7602</v>
      </c>
      <c r="K23" s="129">
        <v>138.7775</v>
      </c>
      <c r="L23" s="129">
        <v>138.511</v>
      </c>
      <c r="M23" s="129">
        <v>138.78389999999999</v>
      </c>
      <c r="N23" s="129">
        <v>139.5744</v>
      </c>
      <c r="O23" s="129">
        <v>139.29329999999999</v>
      </c>
      <c r="P23" s="129">
        <v>139.3092</v>
      </c>
      <c r="Q23" s="129">
        <v>139.49680000000001</v>
      </c>
      <c r="R23" s="129">
        <v>139.38740000000001</v>
      </c>
    </row>
    <row r="24" spans="1:18" ht="15">
      <c r="A24" s="141"/>
      <c r="B24" s="141"/>
      <c r="C24" s="141"/>
      <c r="D24" s="141"/>
      <c r="E24" s="301" t="s">
        <v>382</v>
      </c>
      <c r="F24" s="299">
        <v>4.3458139E-2</v>
      </c>
      <c r="G24" s="129">
        <v>166.8449</v>
      </c>
      <c r="H24" s="129">
        <v>167.07320000000001</v>
      </c>
      <c r="I24" s="129">
        <v>168.2962</v>
      </c>
      <c r="J24" s="129">
        <v>167.57060000000001</v>
      </c>
      <c r="K24" s="129">
        <v>166.98849999999999</v>
      </c>
      <c r="L24" s="129">
        <v>168.19990000000001</v>
      </c>
      <c r="M24" s="129">
        <v>169.46709999999999</v>
      </c>
      <c r="N24" s="129">
        <v>171.31899999999999</v>
      </c>
      <c r="O24" s="129">
        <v>172.73490000000001</v>
      </c>
      <c r="P24" s="129">
        <v>173.9239</v>
      </c>
      <c r="Q24" s="129">
        <v>174.40600000000001</v>
      </c>
      <c r="R24" s="129">
        <v>175.66030000000001</v>
      </c>
    </row>
    <row r="25" spans="1:18" ht="15">
      <c r="A25" s="141"/>
      <c r="B25" s="141"/>
      <c r="C25" s="141"/>
      <c r="D25" s="141"/>
      <c r="E25" s="301" t="s">
        <v>383</v>
      </c>
      <c r="F25" s="299">
        <v>5.3838891E-2</v>
      </c>
      <c r="G25" s="129">
        <v>150.3245</v>
      </c>
      <c r="H25" s="129">
        <v>150.3117</v>
      </c>
      <c r="I25" s="129">
        <v>150.7653</v>
      </c>
      <c r="J25" s="129">
        <v>150.95959999999999</v>
      </c>
      <c r="K25" s="129">
        <v>151.1996</v>
      </c>
      <c r="L25" s="129">
        <v>150.9196</v>
      </c>
      <c r="M25" s="129">
        <v>151.54169999999999</v>
      </c>
      <c r="N25" s="129">
        <v>151.3938</v>
      </c>
      <c r="O25" s="129">
        <v>152.0855</v>
      </c>
      <c r="P25" s="129">
        <v>152.02019999999999</v>
      </c>
      <c r="Q25" s="129">
        <v>152.5068</v>
      </c>
      <c r="R25" s="129">
        <v>153.15960000000001</v>
      </c>
    </row>
    <row r="26" spans="1:18" ht="15">
      <c r="A26" s="141"/>
      <c r="B26" s="141"/>
      <c r="C26" s="141"/>
      <c r="D26" s="141"/>
      <c r="E26" s="301" t="s">
        <v>384</v>
      </c>
      <c r="F26" s="299">
        <v>2.0795139000000001E-2</v>
      </c>
      <c r="G26" s="129">
        <v>149.7465</v>
      </c>
      <c r="H26" s="129">
        <v>149.91800000000001</v>
      </c>
      <c r="I26" s="129">
        <v>150.3647</v>
      </c>
      <c r="J26" s="129">
        <v>150.82470000000001</v>
      </c>
      <c r="K26" s="129">
        <v>150.77430000000001</v>
      </c>
      <c r="L26" s="129">
        <v>150.99109999999999</v>
      </c>
      <c r="M26" s="129">
        <v>151.0625</v>
      </c>
      <c r="N26" s="129">
        <v>150.81649999999999</v>
      </c>
      <c r="O26" s="129">
        <v>151.21870000000001</v>
      </c>
      <c r="P26" s="129">
        <v>151.0701</v>
      </c>
      <c r="Q26" s="129">
        <v>150.94399999999999</v>
      </c>
      <c r="R26" s="129">
        <v>151.3768</v>
      </c>
    </row>
    <row r="27" spans="1:18" ht="15">
      <c r="A27" s="141"/>
      <c r="B27" s="141"/>
      <c r="C27" s="141"/>
      <c r="D27" s="141" t="s">
        <v>385</v>
      </c>
      <c r="E27" s="301"/>
      <c r="F27" s="299">
        <v>1.9448329</v>
      </c>
      <c r="G27" s="129">
        <v>152.35669999999999</v>
      </c>
      <c r="H27" s="129">
        <v>153.095</v>
      </c>
      <c r="I27" s="129">
        <v>154.02260000000001</v>
      </c>
      <c r="J27" s="129">
        <v>154.58690000000001</v>
      </c>
      <c r="K27" s="129">
        <v>155.06190000000001</v>
      </c>
      <c r="L27" s="129">
        <v>155.35929999999999</v>
      </c>
      <c r="M27" s="129">
        <v>155.7441</v>
      </c>
      <c r="N27" s="129">
        <v>156.08080000000001</v>
      </c>
      <c r="O27" s="129">
        <v>156.36920000000001</v>
      </c>
      <c r="P27" s="129">
        <v>156.80500000000001</v>
      </c>
      <c r="Q27" s="129">
        <v>157.0128</v>
      </c>
      <c r="R27" s="129">
        <v>157.38999999999999</v>
      </c>
    </row>
    <row r="28" spans="1:18" ht="15">
      <c r="A28" s="141"/>
      <c r="B28" s="141"/>
      <c r="C28" s="141"/>
      <c r="D28" s="141"/>
      <c r="E28" s="301" t="s">
        <v>386</v>
      </c>
      <c r="F28" s="299">
        <v>1.9448329</v>
      </c>
      <c r="G28" s="129">
        <v>152.35669999999999</v>
      </c>
      <c r="H28" s="129">
        <v>153.095</v>
      </c>
      <c r="I28" s="129">
        <v>154.02260000000001</v>
      </c>
      <c r="J28" s="129">
        <v>154.58690000000001</v>
      </c>
      <c r="K28" s="129">
        <v>155.06190000000001</v>
      </c>
      <c r="L28" s="129">
        <v>155.35929999999999</v>
      </c>
      <c r="M28" s="129">
        <v>155.7441</v>
      </c>
      <c r="N28" s="129">
        <v>156.08080000000001</v>
      </c>
      <c r="O28" s="129">
        <v>156.36920000000001</v>
      </c>
      <c r="P28" s="129">
        <v>156.80500000000001</v>
      </c>
      <c r="Q28" s="129">
        <v>157.0128</v>
      </c>
      <c r="R28" s="129">
        <v>157.38999999999999</v>
      </c>
    </row>
    <row r="29" spans="1:18" ht="15">
      <c r="A29" s="141"/>
      <c r="B29" s="141"/>
      <c r="C29" s="141"/>
      <c r="D29" s="141" t="s">
        <v>387</v>
      </c>
      <c r="E29" s="301"/>
      <c r="F29" s="299">
        <v>0.19918367200000001</v>
      </c>
      <c r="G29" s="129">
        <v>144.47020000000001</v>
      </c>
      <c r="H29" s="129">
        <v>144.8818</v>
      </c>
      <c r="I29" s="129">
        <v>145.30369999999999</v>
      </c>
      <c r="J29" s="129">
        <v>145.4057</v>
      </c>
      <c r="K29" s="129">
        <v>145.45869999999999</v>
      </c>
      <c r="L29" s="129">
        <v>145.25839999999999</v>
      </c>
      <c r="M29" s="129">
        <v>145.6849</v>
      </c>
      <c r="N29" s="129">
        <v>145.43029999999999</v>
      </c>
      <c r="O29" s="129">
        <v>145.71170000000001</v>
      </c>
      <c r="P29" s="129">
        <v>145.75229999999999</v>
      </c>
      <c r="Q29" s="129">
        <v>145.80699999999999</v>
      </c>
      <c r="R29" s="129">
        <v>146.10900000000001</v>
      </c>
    </row>
    <row r="30" spans="1:18" ht="15">
      <c r="A30" s="141"/>
      <c r="B30" s="141"/>
      <c r="C30" s="141"/>
      <c r="D30" s="141"/>
      <c r="E30" s="301" t="s">
        <v>388</v>
      </c>
      <c r="F30" s="299">
        <v>0.116477619</v>
      </c>
      <c r="G30" s="129">
        <v>144.86699999999999</v>
      </c>
      <c r="H30" s="129">
        <v>145.215</v>
      </c>
      <c r="I30" s="129">
        <v>145.6746</v>
      </c>
      <c r="J30" s="129">
        <v>145.92509999999999</v>
      </c>
      <c r="K30" s="129">
        <v>145.95009999999999</v>
      </c>
      <c r="L30" s="129">
        <v>145.7022</v>
      </c>
      <c r="M30" s="129">
        <v>146.1711</v>
      </c>
      <c r="N30" s="129">
        <v>145.8417</v>
      </c>
      <c r="O30" s="129">
        <v>146.04300000000001</v>
      </c>
      <c r="P30" s="129">
        <v>146.06190000000001</v>
      </c>
      <c r="Q30" s="129">
        <v>146.08920000000001</v>
      </c>
      <c r="R30" s="129">
        <v>146.41290000000001</v>
      </c>
    </row>
    <row r="31" spans="1:18" ht="15">
      <c r="A31" s="141"/>
      <c r="B31" s="141"/>
      <c r="C31" s="141"/>
      <c r="D31" s="141"/>
      <c r="E31" s="301" t="s">
        <v>389</v>
      </c>
      <c r="F31" s="299">
        <v>5.1966374000000003E-2</v>
      </c>
      <c r="G31" s="129">
        <v>145.24340000000001</v>
      </c>
      <c r="H31" s="129">
        <v>145.7422</v>
      </c>
      <c r="I31" s="129">
        <v>146.12559999999999</v>
      </c>
      <c r="J31" s="129">
        <v>146.12469999999999</v>
      </c>
      <c r="K31" s="129">
        <v>146.21340000000001</v>
      </c>
      <c r="L31" s="129">
        <v>146.17679999999999</v>
      </c>
      <c r="M31" s="129">
        <v>146.59880000000001</v>
      </c>
      <c r="N31" s="129">
        <v>146.46019999999999</v>
      </c>
      <c r="O31" s="129">
        <v>146.74340000000001</v>
      </c>
      <c r="P31" s="129">
        <v>146.88630000000001</v>
      </c>
      <c r="Q31" s="129">
        <v>147.01820000000001</v>
      </c>
      <c r="R31" s="129">
        <v>147.34139999999999</v>
      </c>
    </row>
    <row r="32" spans="1:18" ht="15">
      <c r="A32" s="141"/>
      <c r="B32" s="141"/>
      <c r="C32" s="141"/>
      <c r="D32" s="141"/>
      <c r="E32" s="301" t="s">
        <v>390</v>
      </c>
      <c r="F32" s="299">
        <v>3.0739678999999999E-2</v>
      </c>
      <c r="G32" s="129">
        <v>141.65950000000001</v>
      </c>
      <c r="H32" s="129">
        <v>142.1645</v>
      </c>
      <c r="I32" s="129">
        <v>142.50890000000001</v>
      </c>
      <c r="J32" s="129">
        <v>142.22219999999999</v>
      </c>
      <c r="K32" s="129">
        <v>142.32060000000001</v>
      </c>
      <c r="L32" s="129">
        <v>142.0241</v>
      </c>
      <c r="M32" s="129">
        <v>142.29810000000001</v>
      </c>
      <c r="N32" s="129">
        <v>142.1302</v>
      </c>
      <c r="O32" s="129">
        <v>142.7123</v>
      </c>
      <c r="P32" s="129">
        <v>142.66200000000001</v>
      </c>
      <c r="Q32" s="129">
        <v>142.68969999999999</v>
      </c>
      <c r="R32" s="129">
        <v>142.87370000000001</v>
      </c>
    </row>
    <row r="33" spans="1:18" ht="15">
      <c r="A33" s="141"/>
      <c r="B33" s="141"/>
      <c r="C33" s="141" t="s">
        <v>391</v>
      </c>
      <c r="D33" s="141"/>
      <c r="E33" s="301"/>
      <c r="F33" s="299">
        <v>5.2990781800000004</v>
      </c>
      <c r="G33" s="129">
        <v>148.22110000000001</v>
      </c>
      <c r="H33" s="129">
        <v>148.63220000000001</v>
      </c>
      <c r="I33" s="129">
        <v>147.37809999999999</v>
      </c>
      <c r="J33" s="129">
        <v>146.09549999999999</v>
      </c>
      <c r="K33" s="129">
        <v>145.85499999999999</v>
      </c>
      <c r="L33" s="129">
        <v>147.91739999999999</v>
      </c>
      <c r="M33" s="129">
        <v>150.23769999999999</v>
      </c>
      <c r="N33" s="129">
        <v>153.93170000000001</v>
      </c>
      <c r="O33" s="129">
        <v>153.69489999999999</v>
      </c>
      <c r="P33" s="129">
        <v>153.86150000000001</v>
      </c>
      <c r="Q33" s="129">
        <v>154.57689999999999</v>
      </c>
      <c r="R33" s="129">
        <v>158.3921</v>
      </c>
    </row>
    <row r="34" spans="1:18" ht="15">
      <c r="A34" s="141"/>
      <c r="B34" s="141"/>
      <c r="C34" s="141"/>
      <c r="D34" s="141" t="s">
        <v>392</v>
      </c>
      <c r="E34" s="301"/>
      <c r="F34" s="299">
        <v>0.57658003700000005</v>
      </c>
      <c r="G34" s="129">
        <v>165.3537</v>
      </c>
      <c r="H34" s="129">
        <v>166.4847</v>
      </c>
      <c r="I34" s="129">
        <v>166.8288</v>
      </c>
      <c r="J34" s="129">
        <v>166.2696</v>
      </c>
      <c r="K34" s="129">
        <v>166.64920000000001</v>
      </c>
      <c r="L34" s="129">
        <v>167.58670000000001</v>
      </c>
      <c r="M34" s="129">
        <v>169.20779999999999</v>
      </c>
      <c r="N34" s="129">
        <v>169.3922</v>
      </c>
      <c r="O34" s="129">
        <v>169.49340000000001</v>
      </c>
      <c r="P34" s="129">
        <v>170.58959999999999</v>
      </c>
      <c r="Q34" s="129">
        <v>175.56200000000001</v>
      </c>
      <c r="R34" s="129">
        <v>178.42529999999999</v>
      </c>
    </row>
    <row r="35" spans="1:18" ht="15">
      <c r="A35" s="141"/>
      <c r="B35" s="141"/>
      <c r="C35" s="141"/>
      <c r="D35" s="141"/>
      <c r="E35" s="301" t="s">
        <v>393</v>
      </c>
      <c r="F35" s="299">
        <v>0.45328810800000002</v>
      </c>
      <c r="G35" s="129">
        <v>167.68129999999999</v>
      </c>
      <c r="H35" s="129">
        <v>168.7159</v>
      </c>
      <c r="I35" s="129">
        <v>169.0889</v>
      </c>
      <c r="J35" s="129">
        <v>168.328</v>
      </c>
      <c r="K35" s="129">
        <v>168.72980000000001</v>
      </c>
      <c r="L35" s="129">
        <v>169.68090000000001</v>
      </c>
      <c r="M35" s="129">
        <v>171.49250000000001</v>
      </c>
      <c r="N35" s="129">
        <v>171.65559999999999</v>
      </c>
      <c r="O35" s="129">
        <v>171.6344</v>
      </c>
      <c r="P35" s="129">
        <v>172.90790000000001</v>
      </c>
      <c r="Q35" s="129">
        <v>177.9546</v>
      </c>
      <c r="R35" s="129">
        <v>180.49690000000001</v>
      </c>
    </row>
    <row r="36" spans="1:18" ht="15">
      <c r="A36" s="141"/>
      <c r="B36" s="141"/>
      <c r="C36" s="141"/>
      <c r="D36" s="141"/>
      <c r="E36" s="301" t="s">
        <v>394</v>
      </c>
      <c r="F36" s="299">
        <v>2.8030454999999999E-2</v>
      </c>
      <c r="G36" s="129">
        <v>158.70679999999999</v>
      </c>
      <c r="H36" s="129">
        <v>158.9931</v>
      </c>
      <c r="I36" s="129">
        <v>159.25200000000001</v>
      </c>
      <c r="J36" s="129">
        <v>158.91550000000001</v>
      </c>
      <c r="K36" s="129">
        <v>159.5317</v>
      </c>
      <c r="L36" s="129">
        <v>160.51779999999999</v>
      </c>
      <c r="M36" s="129">
        <v>161.8672</v>
      </c>
      <c r="N36" s="129">
        <v>162.0445</v>
      </c>
      <c r="O36" s="129">
        <v>162.92689999999999</v>
      </c>
      <c r="P36" s="129">
        <v>163.72110000000001</v>
      </c>
      <c r="Q36" s="129">
        <v>168.32689999999999</v>
      </c>
      <c r="R36" s="129">
        <v>171.72710000000001</v>
      </c>
    </row>
    <row r="37" spans="1:18" ht="15">
      <c r="A37" s="141"/>
      <c r="B37" s="141"/>
      <c r="C37" s="141"/>
      <c r="D37" s="141"/>
      <c r="E37" s="301" t="s">
        <v>395</v>
      </c>
      <c r="F37" s="299">
        <v>9.5261473999999999E-2</v>
      </c>
      <c r="G37" s="129">
        <v>156.23400000000001</v>
      </c>
      <c r="H37" s="129">
        <v>158.0727</v>
      </c>
      <c r="I37" s="129">
        <v>158.30430000000001</v>
      </c>
      <c r="J37" s="129">
        <v>158.63890000000001</v>
      </c>
      <c r="K37" s="129">
        <v>158.84379999999999</v>
      </c>
      <c r="L37" s="129">
        <v>159.70189999999999</v>
      </c>
      <c r="M37" s="129">
        <v>160.49629999999999</v>
      </c>
      <c r="N37" s="129">
        <v>160.78389999999999</v>
      </c>
      <c r="O37" s="129">
        <v>161.238</v>
      </c>
      <c r="P37" s="129">
        <v>161.57910000000001</v>
      </c>
      <c r="Q37" s="129">
        <v>166.30590000000001</v>
      </c>
      <c r="R37" s="129">
        <v>170.53909999999999</v>
      </c>
    </row>
    <row r="38" spans="1:18" ht="15">
      <c r="A38" s="141"/>
      <c r="B38" s="141"/>
      <c r="C38" s="141"/>
      <c r="D38" s="141" t="s">
        <v>396</v>
      </c>
      <c r="E38" s="301"/>
      <c r="F38" s="299">
        <v>2.4568068599999999</v>
      </c>
      <c r="G38" s="129">
        <v>150.37700000000001</v>
      </c>
      <c r="H38" s="129">
        <v>150.51400000000001</v>
      </c>
      <c r="I38" s="129">
        <v>147.57310000000001</v>
      </c>
      <c r="J38" s="129">
        <v>144.5505</v>
      </c>
      <c r="K38" s="129">
        <v>143.72370000000001</v>
      </c>
      <c r="L38" s="129">
        <v>147.62799999999999</v>
      </c>
      <c r="M38" s="129">
        <v>151.4982</v>
      </c>
      <c r="N38" s="129">
        <v>158.58150000000001</v>
      </c>
      <c r="O38" s="129">
        <v>157.32900000000001</v>
      </c>
      <c r="P38" s="129">
        <v>156.07429999999999</v>
      </c>
      <c r="Q38" s="129">
        <v>155.19659999999999</v>
      </c>
      <c r="R38" s="129">
        <v>161.98660000000001</v>
      </c>
    </row>
    <row r="39" spans="1:18" ht="15">
      <c r="A39" s="141"/>
      <c r="B39" s="141"/>
      <c r="C39" s="141"/>
      <c r="D39" s="141"/>
      <c r="E39" s="301" t="s">
        <v>397</v>
      </c>
      <c r="F39" s="299">
        <v>2.3299064899999999</v>
      </c>
      <c r="G39" s="129">
        <v>150.44540000000001</v>
      </c>
      <c r="H39" s="129">
        <v>150.6026</v>
      </c>
      <c r="I39" s="129">
        <v>147.50460000000001</v>
      </c>
      <c r="J39" s="129">
        <v>144.4</v>
      </c>
      <c r="K39" s="129">
        <v>143.54079999999999</v>
      </c>
      <c r="L39" s="129">
        <v>147.5461</v>
      </c>
      <c r="M39" s="129">
        <v>151.53139999999999</v>
      </c>
      <c r="N39" s="129">
        <v>158.84649999999999</v>
      </c>
      <c r="O39" s="129">
        <v>157.56030000000001</v>
      </c>
      <c r="P39" s="129">
        <v>156.23779999999999</v>
      </c>
      <c r="Q39" s="129">
        <v>155.3458</v>
      </c>
      <c r="R39" s="129">
        <v>162.38980000000001</v>
      </c>
    </row>
    <row r="40" spans="1:18" ht="15">
      <c r="A40" s="141"/>
      <c r="B40" s="141"/>
      <c r="C40" s="141"/>
      <c r="D40" s="141"/>
      <c r="E40" s="301" t="s">
        <v>398</v>
      </c>
      <c r="F40" s="299">
        <v>5.9928253000000001E-2</v>
      </c>
      <c r="G40" s="129">
        <v>157.029</v>
      </c>
      <c r="H40" s="129">
        <v>156.94880000000001</v>
      </c>
      <c r="I40" s="129">
        <v>157.05029999999999</v>
      </c>
      <c r="J40" s="129">
        <v>155.04499999999999</v>
      </c>
      <c r="K40" s="129">
        <v>155.00319999999999</v>
      </c>
      <c r="L40" s="129">
        <v>157.84620000000001</v>
      </c>
      <c r="M40" s="129">
        <v>160.40600000000001</v>
      </c>
      <c r="N40" s="129">
        <v>164.0102</v>
      </c>
      <c r="O40" s="129">
        <v>162.15270000000001</v>
      </c>
      <c r="P40" s="129">
        <v>162.5856</v>
      </c>
      <c r="Q40" s="129">
        <v>161.37029999999999</v>
      </c>
      <c r="R40" s="129">
        <v>162.9616</v>
      </c>
    </row>
    <row r="41" spans="1:18" ht="15">
      <c r="A41" s="141"/>
      <c r="B41" s="141"/>
      <c r="C41" s="141"/>
      <c r="D41" s="141"/>
      <c r="E41" s="301" t="s">
        <v>399</v>
      </c>
      <c r="F41" s="299">
        <v>6.6972123999999994E-2</v>
      </c>
      <c r="G41" s="129">
        <v>142.048</v>
      </c>
      <c r="H41" s="129">
        <v>141.67359999999999</v>
      </c>
      <c r="I41" s="129">
        <v>141.47640000000001</v>
      </c>
      <c r="J41" s="129">
        <v>140.3947</v>
      </c>
      <c r="K41" s="129">
        <v>139.99289999999999</v>
      </c>
      <c r="L41" s="129">
        <v>141.33410000000001</v>
      </c>
      <c r="M41" s="129">
        <v>142.3716</v>
      </c>
      <c r="N41" s="129">
        <v>144.50479999999999</v>
      </c>
      <c r="O41" s="129">
        <v>144.9683</v>
      </c>
      <c r="P41" s="129">
        <v>144.56</v>
      </c>
      <c r="Q41" s="129">
        <v>144.4794</v>
      </c>
      <c r="R41" s="129">
        <v>147.0856</v>
      </c>
    </row>
    <row r="42" spans="1:18" ht="15">
      <c r="A42" s="141"/>
      <c r="B42" s="141"/>
      <c r="C42" s="141"/>
      <c r="D42" s="141" t="s">
        <v>400</v>
      </c>
      <c r="E42" s="301"/>
      <c r="F42" s="299">
        <v>0.58121541399999999</v>
      </c>
      <c r="G42" s="129">
        <v>157.6465</v>
      </c>
      <c r="H42" s="129">
        <v>157.69919999999999</v>
      </c>
      <c r="I42" s="129">
        <v>157.47489999999999</v>
      </c>
      <c r="J42" s="129">
        <v>157.548</v>
      </c>
      <c r="K42" s="129">
        <v>157.65539999999999</v>
      </c>
      <c r="L42" s="129">
        <v>157.40520000000001</v>
      </c>
      <c r="M42" s="129">
        <v>157.93090000000001</v>
      </c>
      <c r="N42" s="129">
        <v>158.8605</v>
      </c>
      <c r="O42" s="129">
        <v>160.36019999999999</v>
      </c>
      <c r="P42" s="129">
        <v>162.20160000000001</v>
      </c>
      <c r="Q42" s="129">
        <v>164.0077</v>
      </c>
      <c r="R42" s="129">
        <v>165.2535</v>
      </c>
    </row>
    <row r="43" spans="1:18" ht="15">
      <c r="A43" s="141"/>
      <c r="B43" s="141"/>
      <c r="C43" s="141"/>
      <c r="D43" s="141"/>
      <c r="E43" s="301" t="s">
        <v>401</v>
      </c>
      <c r="F43" s="299">
        <v>0.471224641</v>
      </c>
      <c r="G43" s="129">
        <v>158.2338</v>
      </c>
      <c r="H43" s="129">
        <v>158.24979999999999</v>
      </c>
      <c r="I43" s="129">
        <v>157.96369999999999</v>
      </c>
      <c r="J43" s="129">
        <v>158.16079999999999</v>
      </c>
      <c r="K43" s="129">
        <v>158.29300000000001</v>
      </c>
      <c r="L43" s="129">
        <v>157.9135</v>
      </c>
      <c r="M43" s="129">
        <v>158.50290000000001</v>
      </c>
      <c r="N43" s="129">
        <v>159.50239999999999</v>
      </c>
      <c r="O43" s="129">
        <v>160.9657</v>
      </c>
      <c r="P43" s="129">
        <v>162.9708</v>
      </c>
      <c r="Q43" s="129">
        <v>164.91560000000001</v>
      </c>
      <c r="R43" s="129">
        <v>166.3434</v>
      </c>
    </row>
    <row r="44" spans="1:18" ht="15">
      <c r="A44" s="141"/>
      <c r="B44" s="141"/>
      <c r="C44" s="141"/>
      <c r="D44" s="141"/>
      <c r="E44" s="301" t="s">
        <v>402</v>
      </c>
      <c r="F44" s="299">
        <v>3.3001269E-2</v>
      </c>
      <c r="G44" s="129">
        <v>148.8946</v>
      </c>
      <c r="H44" s="129">
        <v>149.001</v>
      </c>
      <c r="I44" s="129">
        <v>148.80369999999999</v>
      </c>
      <c r="J44" s="129">
        <v>148.17869999999999</v>
      </c>
      <c r="K44" s="129">
        <v>147.8004</v>
      </c>
      <c r="L44" s="129">
        <v>148.0856</v>
      </c>
      <c r="M44" s="129">
        <v>148.16239999999999</v>
      </c>
      <c r="N44" s="129">
        <v>148.1549</v>
      </c>
      <c r="O44" s="129">
        <v>149.10079999999999</v>
      </c>
      <c r="P44" s="129">
        <v>149.4821</v>
      </c>
      <c r="Q44" s="129">
        <v>150.84389999999999</v>
      </c>
      <c r="R44" s="129">
        <v>151.6206</v>
      </c>
    </row>
    <row r="45" spans="1:18" ht="15">
      <c r="A45" s="141"/>
      <c r="B45" s="141"/>
      <c r="C45" s="141"/>
      <c r="D45" s="141"/>
      <c r="E45" s="301" t="s">
        <v>403</v>
      </c>
      <c r="F45" s="299">
        <v>4.4233568000000001E-2</v>
      </c>
      <c r="G45" s="129">
        <v>157.84370000000001</v>
      </c>
      <c r="H45" s="129">
        <v>157.71549999999999</v>
      </c>
      <c r="I45" s="129">
        <v>157.69059999999999</v>
      </c>
      <c r="J45" s="129">
        <v>157.75659999999999</v>
      </c>
      <c r="K45" s="129">
        <v>157.5069</v>
      </c>
      <c r="L45" s="129">
        <v>158.07169999999999</v>
      </c>
      <c r="M45" s="129">
        <v>158.31200000000001</v>
      </c>
      <c r="N45" s="129">
        <v>159.46080000000001</v>
      </c>
      <c r="O45" s="129">
        <v>161.69229999999999</v>
      </c>
      <c r="P45" s="129">
        <v>163.63929999999999</v>
      </c>
      <c r="Q45" s="129">
        <v>165.00229999999999</v>
      </c>
      <c r="R45" s="129">
        <v>165.2987</v>
      </c>
    </row>
    <row r="46" spans="1:18" ht="15">
      <c r="A46" s="141"/>
      <c r="B46" s="141"/>
      <c r="C46" s="141"/>
      <c r="D46" s="141"/>
      <c r="E46" s="301" t="s">
        <v>404</v>
      </c>
      <c r="F46" s="299">
        <v>3.2755936999999999E-2</v>
      </c>
      <c r="G46" s="129">
        <v>157.74979999999999</v>
      </c>
      <c r="H46" s="129">
        <v>158.5196</v>
      </c>
      <c r="I46" s="129">
        <v>158.8877</v>
      </c>
      <c r="J46" s="129">
        <v>157.88990000000001</v>
      </c>
      <c r="K46" s="129">
        <v>158.61240000000001</v>
      </c>
      <c r="L46" s="129">
        <v>158.58189999999999</v>
      </c>
      <c r="M46" s="129">
        <v>159.02979999999999</v>
      </c>
      <c r="N46" s="129">
        <v>159.6028</v>
      </c>
      <c r="O46" s="129">
        <v>161.19569999999999</v>
      </c>
      <c r="P46" s="129">
        <v>162.00989999999999</v>
      </c>
      <c r="Q46" s="129">
        <v>162.86519999999999</v>
      </c>
      <c r="R46" s="129">
        <v>163.24780000000001</v>
      </c>
    </row>
    <row r="47" spans="1:18" ht="15">
      <c r="A47" s="141"/>
      <c r="B47" s="141"/>
      <c r="C47" s="141"/>
      <c r="D47" s="141" t="s">
        <v>405</v>
      </c>
      <c r="E47" s="301"/>
      <c r="F47" s="299">
        <v>9.2631972000000007E-2</v>
      </c>
      <c r="G47" s="129">
        <v>137.63730000000001</v>
      </c>
      <c r="H47" s="129">
        <v>138.65360000000001</v>
      </c>
      <c r="I47" s="129">
        <v>139.25129999999999</v>
      </c>
      <c r="J47" s="129">
        <v>139.57550000000001</v>
      </c>
      <c r="K47" s="129">
        <v>140.23570000000001</v>
      </c>
      <c r="L47" s="129">
        <v>141.1429</v>
      </c>
      <c r="M47" s="129">
        <v>141.5436</v>
      </c>
      <c r="N47" s="129">
        <v>141.69560000000001</v>
      </c>
      <c r="O47" s="129">
        <v>142.00970000000001</v>
      </c>
      <c r="P47" s="129">
        <v>142.26750000000001</v>
      </c>
      <c r="Q47" s="129">
        <v>143.26339999999999</v>
      </c>
      <c r="R47" s="129">
        <v>144.83750000000001</v>
      </c>
    </row>
    <row r="48" spans="1:18" ht="15">
      <c r="A48" s="141"/>
      <c r="B48" s="141"/>
      <c r="C48" s="141"/>
      <c r="D48" s="141"/>
      <c r="E48" s="301" t="s">
        <v>406</v>
      </c>
      <c r="F48" s="299">
        <v>9.2631972000000007E-2</v>
      </c>
      <c r="G48" s="129">
        <v>137.63730000000001</v>
      </c>
      <c r="H48" s="129">
        <v>138.65360000000001</v>
      </c>
      <c r="I48" s="129">
        <v>139.25129999999999</v>
      </c>
      <c r="J48" s="129">
        <v>139.57550000000001</v>
      </c>
      <c r="K48" s="129">
        <v>140.23570000000001</v>
      </c>
      <c r="L48" s="129">
        <v>141.1429</v>
      </c>
      <c r="M48" s="129">
        <v>141.5436</v>
      </c>
      <c r="N48" s="129">
        <v>141.69560000000001</v>
      </c>
      <c r="O48" s="129">
        <v>142.00970000000001</v>
      </c>
      <c r="P48" s="129">
        <v>142.26750000000001</v>
      </c>
      <c r="Q48" s="129">
        <v>143.26339999999999</v>
      </c>
      <c r="R48" s="129">
        <v>144.83750000000001</v>
      </c>
    </row>
    <row r="49" spans="1:18" ht="15">
      <c r="A49" s="141"/>
      <c r="B49" s="141"/>
      <c r="C49" s="141"/>
      <c r="D49" s="141" t="s">
        <v>407</v>
      </c>
      <c r="E49" s="301"/>
      <c r="F49" s="299">
        <v>1.59184389</v>
      </c>
      <c r="G49" s="129">
        <v>135.86269999999999</v>
      </c>
      <c r="H49" s="129">
        <v>136.5316</v>
      </c>
      <c r="I49" s="129">
        <v>136.81829999999999</v>
      </c>
      <c r="J49" s="129">
        <v>137.3706</v>
      </c>
      <c r="K49" s="129">
        <v>137.63079999999999</v>
      </c>
      <c r="L49" s="129">
        <v>138.16970000000001</v>
      </c>
      <c r="M49" s="129">
        <v>139.1182</v>
      </c>
      <c r="N49" s="129">
        <v>140.06780000000001</v>
      </c>
      <c r="O49" s="129">
        <v>140.61000000000001</v>
      </c>
      <c r="P49" s="129">
        <v>142.01679999999999</v>
      </c>
      <c r="Q49" s="129">
        <v>143.2346</v>
      </c>
      <c r="R49" s="129">
        <v>143.8717</v>
      </c>
    </row>
    <row r="50" spans="1:18" ht="15">
      <c r="A50" s="141"/>
      <c r="B50" s="141"/>
      <c r="C50" s="141"/>
      <c r="D50" s="141"/>
      <c r="E50" s="301" t="s">
        <v>408</v>
      </c>
      <c r="F50" s="299">
        <v>0.75599233099999996</v>
      </c>
      <c r="G50" s="129">
        <v>138.17660000000001</v>
      </c>
      <c r="H50" s="129">
        <v>139.2878</v>
      </c>
      <c r="I50" s="129">
        <v>139.53</v>
      </c>
      <c r="J50" s="129">
        <v>140.405</v>
      </c>
      <c r="K50" s="129">
        <v>140.61000000000001</v>
      </c>
      <c r="L50" s="129">
        <v>141.6429</v>
      </c>
      <c r="M50" s="129">
        <v>143.1557</v>
      </c>
      <c r="N50" s="129">
        <v>144.70419999999999</v>
      </c>
      <c r="O50" s="129">
        <v>145.25810000000001</v>
      </c>
      <c r="P50" s="129">
        <v>146.89580000000001</v>
      </c>
      <c r="Q50" s="129">
        <v>148.54220000000001</v>
      </c>
      <c r="R50" s="129">
        <v>149.25149999999999</v>
      </c>
    </row>
    <row r="51" spans="1:18" ht="15">
      <c r="A51" s="141"/>
      <c r="B51" s="141"/>
      <c r="C51" s="141"/>
      <c r="D51" s="141"/>
      <c r="E51" s="301" t="s">
        <v>409</v>
      </c>
      <c r="F51" s="299">
        <v>0.43933243100000002</v>
      </c>
      <c r="G51" s="129">
        <v>131.1061</v>
      </c>
      <c r="H51" s="129">
        <v>131.1266</v>
      </c>
      <c r="I51" s="129">
        <v>131.3186</v>
      </c>
      <c r="J51" s="129">
        <v>131.32900000000001</v>
      </c>
      <c r="K51" s="129">
        <v>131.49420000000001</v>
      </c>
      <c r="L51" s="129">
        <v>131.6754</v>
      </c>
      <c r="M51" s="129">
        <v>132.0633</v>
      </c>
      <c r="N51" s="129">
        <v>132.47669999999999</v>
      </c>
      <c r="O51" s="129">
        <v>133.08860000000001</v>
      </c>
      <c r="P51" s="129">
        <v>134.77719999999999</v>
      </c>
      <c r="Q51" s="129">
        <v>135.87639999999999</v>
      </c>
      <c r="R51" s="129">
        <v>136.58930000000001</v>
      </c>
    </row>
    <row r="52" spans="1:18" ht="15">
      <c r="A52" s="141"/>
      <c r="B52" s="141"/>
      <c r="C52" s="141"/>
      <c r="D52" s="141"/>
      <c r="E52" s="301" t="s">
        <v>410</v>
      </c>
      <c r="F52" s="299">
        <v>0.14082646500000001</v>
      </c>
      <c r="G52" s="129">
        <v>139.36060000000001</v>
      </c>
      <c r="H52" s="129">
        <v>140.66499999999999</v>
      </c>
      <c r="I52" s="129">
        <v>141.49610000000001</v>
      </c>
      <c r="J52" s="129">
        <v>142.3691</v>
      </c>
      <c r="K52" s="129">
        <v>142.91300000000001</v>
      </c>
      <c r="L52" s="129">
        <v>142.79470000000001</v>
      </c>
      <c r="M52" s="129">
        <v>143.6985</v>
      </c>
      <c r="N52" s="129">
        <v>144.4853</v>
      </c>
      <c r="O52" s="129">
        <v>144.83709999999999</v>
      </c>
      <c r="P52" s="129">
        <v>145.56460000000001</v>
      </c>
      <c r="Q52" s="129">
        <v>146.10050000000001</v>
      </c>
      <c r="R52" s="129">
        <v>146.42599999999999</v>
      </c>
    </row>
    <row r="53" spans="1:18" ht="15">
      <c r="A53" s="141"/>
      <c r="B53" s="141"/>
      <c r="C53" s="141"/>
      <c r="D53" s="141"/>
      <c r="E53" s="301" t="s">
        <v>411</v>
      </c>
      <c r="F53" s="299">
        <v>0.15542773500000001</v>
      </c>
      <c r="G53" s="129">
        <v>133.8682</v>
      </c>
      <c r="H53" s="129">
        <v>133.81370000000001</v>
      </c>
      <c r="I53" s="129">
        <v>134.215</v>
      </c>
      <c r="J53" s="129">
        <v>134.66679999999999</v>
      </c>
      <c r="K53" s="129">
        <v>135.14850000000001</v>
      </c>
      <c r="L53" s="129">
        <v>135.05340000000001</v>
      </c>
      <c r="M53" s="129">
        <v>135.2705</v>
      </c>
      <c r="N53" s="129">
        <v>135.2791</v>
      </c>
      <c r="O53" s="129">
        <v>135.81559999999999</v>
      </c>
      <c r="P53" s="129">
        <v>136.3767</v>
      </c>
      <c r="Q53" s="129">
        <v>136.81</v>
      </c>
      <c r="R53" s="129">
        <v>137.2706</v>
      </c>
    </row>
    <row r="54" spans="1:18" ht="15">
      <c r="A54" s="141"/>
      <c r="B54" s="141"/>
      <c r="C54" s="141"/>
      <c r="D54" s="141"/>
      <c r="E54" s="301" t="s">
        <v>412</v>
      </c>
      <c r="F54" s="299">
        <v>3.9453294999999999E-2</v>
      </c>
      <c r="G54" s="129">
        <v>139.3706</v>
      </c>
      <c r="H54" s="129">
        <v>139.80590000000001</v>
      </c>
      <c r="I54" s="129">
        <v>139.56110000000001</v>
      </c>
      <c r="J54" s="129">
        <v>139.9554</v>
      </c>
      <c r="K54" s="129">
        <v>140.10149999999999</v>
      </c>
      <c r="L54" s="129">
        <v>140.3253</v>
      </c>
      <c r="M54" s="129">
        <v>140.7407</v>
      </c>
      <c r="N54" s="129">
        <v>141.12139999999999</v>
      </c>
      <c r="O54" s="129">
        <v>141.4169</v>
      </c>
      <c r="P54" s="129">
        <v>142.17769999999999</v>
      </c>
      <c r="Q54" s="129">
        <v>142.39080000000001</v>
      </c>
      <c r="R54" s="129">
        <v>142.46860000000001</v>
      </c>
    </row>
    <row r="55" spans="1:18" ht="15">
      <c r="A55" s="141"/>
      <c r="B55" s="141"/>
      <c r="C55" s="141"/>
      <c r="D55" s="141"/>
      <c r="E55" s="301" t="s">
        <v>413</v>
      </c>
      <c r="F55" s="299">
        <v>3.3700229999999998E-2</v>
      </c>
      <c r="G55" s="129">
        <v>137.00899999999999</v>
      </c>
      <c r="H55" s="129">
        <v>137.43770000000001</v>
      </c>
      <c r="I55" s="129">
        <v>137.65610000000001</v>
      </c>
      <c r="J55" s="129">
        <v>137.86269999999999</v>
      </c>
      <c r="K55" s="129">
        <v>138.3322</v>
      </c>
      <c r="L55" s="129">
        <v>138.529</v>
      </c>
      <c r="M55" s="129">
        <v>138.93719999999999</v>
      </c>
      <c r="N55" s="129">
        <v>139.19649999999999</v>
      </c>
      <c r="O55" s="129">
        <v>139.92769999999999</v>
      </c>
      <c r="P55" s="129">
        <v>141.0753</v>
      </c>
      <c r="Q55" s="129">
        <v>142.05529999999999</v>
      </c>
      <c r="R55" s="129">
        <v>143.11609999999999</v>
      </c>
    </row>
    <row r="56" spans="1:18" ht="15">
      <c r="A56" s="141"/>
      <c r="B56" s="141"/>
      <c r="C56" s="141"/>
      <c r="D56" s="141"/>
      <c r="E56" s="301" t="s">
        <v>414</v>
      </c>
      <c r="F56" s="299">
        <v>2.7111399000000001E-2</v>
      </c>
      <c r="G56" s="129">
        <v>135.15819999999999</v>
      </c>
      <c r="H56" s="129">
        <v>135.4821</v>
      </c>
      <c r="I56" s="129">
        <v>135.9162</v>
      </c>
      <c r="J56" s="129">
        <v>135.82380000000001</v>
      </c>
      <c r="K56" s="129">
        <v>136.3219</v>
      </c>
      <c r="L56" s="129">
        <v>136.81370000000001</v>
      </c>
      <c r="M56" s="129">
        <v>136.98480000000001</v>
      </c>
      <c r="N56" s="129">
        <v>137.85380000000001</v>
      </c>
      <c r="O56" s="129">
        <v>138.08369999999999</v>
      </c>
      <c r="P56" s="129">
        <v>138.12280000000001</v>
      </c>
      <c r="Q56" s="129">
        <v>139.1131</v>
      </c>
      <c r="R56" s="129">
        <v>139.42570000000001</v>
      </c>
    </row>
    <row r="57" spans="1:18" ht="15">
      <c r="A57" s="141"/>
      <c r="B57" s="141"/>
      <c r="C57" s="141" t="s">
        <v>415</v>
      </c>
      <c r="D57" s="141"/>
      <c r="E57" s="301"/>
      <c r="F57" s="300">
        <v>0.87925302500000002</v>
      </c>
      <c r="G57" s="130">
        <v>138.00200000000001</v>
      </c>
      <c r="H57" s="130">
        <v>139.63030000000001</v>
      </c>
      <c r="I57" s="130">
        <v>141.13329999999999</v>
      </c>
      <c r="J57" s="130">
        <v>142.65270000000001</v>
      </c>
      <c r="K57" s="130">
        <v>143.42359999999999</v>
      </c>
      <c r="L57" s="130">
        <v>144.5941</v>
      </c>
      <c r="M57" s="130">
        <v>146.10830000000001</v>
      </c>
      <c r="N57" s="130">
        <v>148.31960000000001</v>
      </c>
      <c r="O57" s="130">
        <v>151.47149999999999</v>
      </c>
      <c r="P57" s="130">
        <v>156.35409999999999</v>
      </c>
      <c r="Q57" s="130">
        <v>158.50319999999999</v>
      </c>
      <c r="R57" s="130">
        <v>159.7236</v>
      </c>
    </row>
    <row r="58" spans="1:18" ht="15">
      <c r="A58" s="141"/>
      <c r="B58" s="141"/>
      <c r="C58" s="141"/>
      <c r="D58" s="141" t="s">
        <v>416</v>
      </c>
      <c r="E58" s="301"/>
      <c r="F58" s="299">
        <v>0.31351785500000001</v>
      </c>
      <c r="G58" s="132">
        <v>135.7585</v>
      </c>
      <c r="H58" s="129">
        <v>136.73670000000001</v>
      </c>
      <c r="I58" s="129">
        <v>136.60579999999999</v>
      </c>
      <c r="J58" s="129">
        <v>138.41550000000001</v>
      </c>
      <c r="K58" s="129">
        <v>139.08260000000001</v>
      </c>
      <c r="L58" s="129">
        <v>139.87190000000001</v>
      </c>
      <c r="M58" s="129">
        <v>140.60069999999999</v>
      </c>
      <c r="N58" s="129">
        <v>140.96129999999999</v>
      </c>
      <c r="O58" s="129">
        <v>141.04140000000001</v>
      </c>
      <c r="P58" s="129">
        <v>141.01070000000001</v>
      </c>
      <c r="Q58" s="129">
        <v>141.376</v>
      </c>
      <c r="R58" s="129">
        <v>142.2354</v>
      </c>
    </row>
    <row r="59" spans="1:18" ht="15" customHeight="1">
      <c r="A59" s="141"/>
      <c r="B59" s="141"/>
      <c r="C59" s="141"/>
      <c r="D59" s="141"/>
      <c r="E59" s="301" t="s">
        <v>417</v>
      </c>
      <c r="F59" s="299">
        <v>0.17965503599999999</v>
      </c>
      <c r="G59" s="129">
        <v>135.50569999999999</v>
      </c>
      <c r="H59" s="129">
        <v>136.399</v>
      </c>
      <c r="I59" s="129">
        <v>136.78569999999999</v>
      </c>
      <c r="J59" s="129">
        <v>138.5462</v>
      </c>
      <c r="K59" s="129">
        <v>139.2619</v>
      </c>
      <c r="L59" s="129">
        <v>139.78</v>
      </c>
      <c r="M59" s="129">
        <v>140.84809999999999</v>
      </c>
      <c r="N59" s="129">
        <v>140.9897</v>
      </c>
      <c r="O59" s="129">
        <v>141.1361</v>
      </c>
      <c r="P59" s="129">
        <v>141.12200000000001</v>
      </c>
      <c r="Q59" s="129">
        <v>141.6781</v>
      </c>
      <c r="R59" s="129">
        <v>142.37110000000001</v>
      </c>
    </row>
    <row r="60" spans="1:18" ht="15">
      <c r="A60" s="141"/>
      <c r="B60" s="141"/>
      <c r="C60" s="141"/>
      <c r="D60" s="141"/>
      <c r="E60" s="301" t="s">
        <v>418</v>
      </c>
      <c r="F60" s="299">
        <v>3.4979320000000001E-2</v>
      </c>
      <c r="G60" s="129">
        <v>111.0389</v>
      </c>
      <c r="H60" s="129">
        <v>113.0778</v>
      </c>
      <c r="I60" s="129">
        <v>112.125</v>
      </c>
      <c r="J60" s="129">
        <v>114.0723</v>
      </c>
      <c r="K60" s="129">
        <v>113.1112</v>
      </c>
      <c r="L60" s="129">
        <v>113.3807</v>
      </c>
      <c r="M60" s="129">
        <v>113.30500000000001</v>
      </c>
      <c r="N60" s="129">
        <v>113.6473</v>
      </c>
      <c r="O60" s="129">
        <v>113.0402</v>
      </c>
      <c r="P60" s="129">
        <v>113.13290000000001</v>
      </c>
      <c r="Q60" s="129">
        <v>112.6294</v>
      </c>
      <c r="R60" s="129">
        <v>112.8271</v>
      </c>
    </row>
    <row r="61" spans="1:18" ht="15">
      <c r="A61" s="141"/>
      <c r="B61" s="141"/>
      <c r="C61" s="141"/>
      <c r="D61" s="141"/>
      <c r="E61" s="301" t="s">
        <v>419</v>
      </c>
      <c r="F61" s="299">
        <v>9.8883499E-2</v>
      </c>
      <c r="G61" s="129">
        <v>144.96199999999999</v>
      </c>
      <c r="H61" s="129">
        <v>145.7193</v>
      </c>
      <c r="I61" s="129">
        <v>144.93879999999999</v>
      </c>
      <c r="J61" s="129">
        <v>146.7893</v>
      </c>
      <c r="K61" s="129">
        <v>147.94399999999999</v>
      </c>
      <c r="L61" s="129">
        <v>149.41</v>
      </c>
      <c r="M61" s="129">
        <v>149.80670000000001</v>
      </c>
      <c r="N61" s="129">
        <v>150.572</v>
      </c>
      <c r="O61" s="129">
        <v>150.77440000000001</v>
      </c>
      <c r="P61" s="129">
        <v>150.66990000000001</v>
      </c>
      <c r="Q61" s="129">
        <v>150.99600000000001</v>
      </c>
      <c r="R61" s="129">
        <v>152.39169999999999</v>
      </c>
    </row>
    <row r="62" spans="1:18" ht="15">
      <c r="A62" s="141"/>
      <c r="B62" s="141"/>
      <c r="C62" s="141"/>
      <c r="D62" s="141" t="s">
        <v>420</v>
      </c>
      <c r="E62" s="301"/>
      <c r="F62" s="299">
        <v>0.56573516899999998</v>
      </c>
      <c r="G62" s="129">
        <v>139.24539999999999</v>
      </c>
      <c r="H62" s="129">
        <v>141.23390000000001</v>
      </c>
      <c r="I62" s="129">
        <v>143.64230000000001</v>
      </c>
      <c r="J62" s="129">
        <v>145.0009</v>
      </c>
      <c r="K62" s="129">
        <v>145.82939999999999</v>
      </c>
      <c r="L62" s="129">
        <v>147.21100000000001</v>
      </c>
      <c r="M62" s="129">
        <v>149.16059999999999</v>
      </c>
      <c r="N62" s="129">
        <v>152.3973</v>
      </c>
      <c r="O62" s="129">
        <v>157.2516</v>
      </c>
      <c r="P62" s="129">
        <v>164.8571</v>
      </c>
      <c r="Q62" s="129">
        <v>167.9948</v>
      </c>
      <c r="R62" s="129">
        <v>169.4151</v>
      </c>
    </row>
    <row r="63" spans="1:18" ht="15">
      <c r="A63" s="141"/>
      <c r="B63" s="141"/>
      <c r="C63" s="141"/>
      <c r="D63" s="141"/>
      <c r="E63" s="301" t="s">
        <v>421</v>
      </c>
      <c r="F63" s="299">
        <v>0.27685188900000002</v>
      </c>
      <c r="G63" s="129">
        <v>136.7286</v>
      </c>
      <c r="H63" s="129">
        <v>139.85329999999999</v>
      </c>
      <c r="I63" s="129">
        <v>143.7604</v>
      </c>
      <c r="J63" s="129">
        <v>146.2123</v>
      </c>
      <c r="K63" s="129">
        <v>147.60589999999999</v>
      </c>
      <c r="L63" s="129">
        <v>150.5299</v>
      </c>
      <c r="M63" s="129">
        <v>154.05779999999999</v>
      </c>
      <c r="N63" s="129">
        <v>160.14609999999999</v>
      </c>
      <c r="O63" s="129">
        <v>169.49780000000001</v>
      </c>
      <c r="P63" s="129">
        <v>184.55269999999999</v>
      </c>
      <c r="Q63" s="129">
        <v>190.09819999999999</v>
      </c>
      <c r="R63" s="129">
        <v>192.3597</v>
      </c>
    </row>
    <row r="64" spans="1:18" ht="15">
      <c r="A64" s="141"/>
      <c r="B64" s="141"/>
      <c r="C64" s="141"/>
      <c r="D64" s="141"/>
      <c r="E64" s="301" t="s">
        <v>422</v>
      </c>
      <c r="F64" s="299">
        <v>0.160854419</v>
      </c>
      <c r="G64" s="129">
        <v>138.39779999999999</v>
      </c>
      <c r="H64" s="129">
        <v>138.6739</v>
      </c>
      <c r="I64" s="129">
        <v>139.57380000000001</v>
      </c>
      <c r="J64" s="129">
        <v>139.7835</v>
      </c>
      <c r="K64" s="129">
        <v>140.21860000000001</v>
      </c>
      <c r="L64" s="129">
        <v>140.3227</v>
      </c>
      <c r="M64" s="129">
        <v>140.63579999999999</v>
      </c>
      <c r="N64" s="129">
        <v>141.01439999999999</v>
      </c>
      <c r="O64" s="129">
        <v>141.3629</v>
      </c>
      <c r="P64" s="129">
        <v>141.58080000000001</v>
      </c>
      <c r="Q64" s="129">
        <v>142.2175</v>
      </c>
      <c r="R64" s="129">
        <v>142.63669999999999</v>
      </c>
    </row>
    <row r="65" spans="1:18" ht="15">
      <c r="A65" s="141"/>
      <c r="B65" s="141"/>
      <c r="C65" s="141"/>
      <c r="D65" s="141"/>
      <c r="E65" s="301" t="s">
        <v>423</v>
      </c>
      <c r="F65" s="299">
        <v>6.4417184000000002E-2</v>
      </c>
      <c r="G65" s="129">
        <v>159.0882</v>
      </c>
      <c r="H65" s="129">
        <v>162.4264</v>
      </c>
      <c r="I65" s="129">
        <v>164.376</v>
      </c>
      <c r="J65" s="129">
        <v>164.49860000000001</v>
      </c>
      <c r="K65" s="129">
        <v>164.1705</v>
      </c>
      <c r="L65" s="129">
        <v>163.39510000000001</v>
      </c>
      <c r="M65" s="129">
        <v>164.32169999999999</v>
      </c>
      <c r="N65" s="129">
        <v>165.33629999999999</v>
      </c>
      <c r="O65" s="129">
        <v>166.49449999999999</v>
      </c>
      <c r="P65" s="129">
        <v>167.7568</v>
      </c>
      <c r="Q65" s="129">
        <v>169.23310000000001</v>
      </c>
      <c r="R65" s="129">
        <v>170.5635</v>
      </c>
    </row>
    <row r="66" spans="1:18" ht="15">
      <c r="A66" s="141"/>
      <c r="B66" s="141"/>
      <c r="C66" s="141"/>
      <c r="D66" s="141"/>
      <c r="E66" s="301" t="s">
        <v>424</v>
      </c>
      <c r="F66" s="299">
        <v>6.3611677000000005E-2</v>
      </c>
      <c r="G66" s="129">
        <v>132.2482</v>
      </c>
      <c r="H66" s="129">
        <v>132.25460000000001</v>
      </c>
      <c r="I66" s="129">
        <v>132.4204</v>
      </c>
      <c r="J66" s="129">
        <v>133.17740000000001</v>
      </c>
      <c r="K66" s="129">
        <v>133.7122</v>
      </c>
      <c r="L66" s="129">
        <v>133.79570000000001</v>
      </c>
      <c r="M66" s="129">
        <v>134.05009999999999</v>
      </c>
      <c r="N66" s="129">
        <v>134.35400000000001</v>
      </c>
      <c r="O66" s="129">
        <v>134.77109999999999</v>
      </c>
      <c r="P66" s="129">
        <v>135.0598</v>
      </c>
      <c r="Q66" s="129">
        <v>135.7243</v>
      </c>
      <c r="R66" s="129">
        <v>136.10669999999999</v>
      </c>
    </row>
    <row r="67" spans="1:18" ht="15">
      <c r="A67" s="141"/>
      <c r="B67" s="141"/>
      <c r="C67" s="141" t="s">
        <v>425</v>
      </c>
      <c r="D67" s="141"/>
      <c r="E67" s="301"/>
      <c r="F67" s="299">
        <v>2.9905282500000001</v>
      </c>
      <c r="G67" s="129">
        <v>137.21029999999999</v>
      </c>
      <c r="H67" s="129">
        <v>137.8665</v>
      </c>
      <c r="I67" s="129">
        <v>138.52160000000001</v>
      </c>
      <c r="J67" s="129">
        <v>139.185</v>
      </c>
      <c r="K67" s="129">
        <v>140.1977</v>
      </c>
      <c r="L67" s="129">
        <v>140.61529999999999</v>
      </c>
      <c r="M67" s="129">
        <v>140.87100000000001</v>
      </c>
      <c r="N67" s="129">
        <v>141.1054</v>
      </c>
      <c r="O67" s="129">
        <v>141.477</v>
      </c>
      <c r="P67" s="129">
        <v>142.0916</v>
      </c>
      <c r="Q67" s="129">
        <v>142.4419</v>
      </c>
      <c r="R67" s="129">
        <v>142.77250000000001</v>
      </c>
    </row>
    <row r="68" spans="1:18" ht="15">
      <c r="A68" s="141"/>
      <c r="B68" s="141"/>
      <c r="C68" s="141"/>
      <c r="D68" s="141" t="s">
        <v>426</v>
      </c>
      <c r="E68" s="301"/>
      <c r="F68" s="299">
        <v>1.4923500599999999</v>
      </c>
      <c r="G68" s="129">
        <v>135.393</v>
      </c>
      <c r="H68" s="129">
        <v>136.0907</v>
      </c>
      <c r="I68" s="129">
        <v>136.56180000000001</v>
      </c>
      <c r="J68" s="129">
        <v>137.1439</v>
      </c>
      <c r="K68" s="129">
        <v>137.85669999999999</v>
      </c>
      <c r="L68" s="129">
        <v>138.1514</v>
      </c>
      <c r="M68" s="129">
        <v>138.44300000000001</v>
      </c>
      <c r="N68" s="129">
        <v>138.5694</v>
      </c>
      <c r="O68" s="129">
        <v>138.9151</v>
      </c>
      <c r="P68" s="129">
        <v>139.74420000000001</v>
      </c>
      <c r="Q68" s="129">
        <v>140.154</v>
      </c>
      <c r="R68" s="129">
        <v>140.60069999999999</v>
      </c>
    </row>
    <row r="69" spans="1:18" ht="15">
      <c r="A69" s="141"/>
      <c r="B69" s="141"/>
      <c r="C69" s="141"/>
      <c r="D69" s="141"/>
      <c r="E69" s="301" t="s">
        <v>427</v>
      </c>
      <c r="F69" s="299">
        <v>0.25734548400000001</v>
      </c>
      <c r="G69" s="129">
        <v>135.3974</v>
      </c>
      <c r="H69" s="129">
        <v>137.3151</v>
      </c>
      <c r="I69" s="129">
        <v>138.28579999999999</v>
      </c>
      <c r="J69" s="129">
        <v>139.25620000000001</v>
      </c>
      <c r="K69" s="129">
        <v>141.17490000000001</v>
      </c>
      <c r="L69" s="129">
        <v>142.001</v>
      </c>
      <c r="M69" s="129">
        <v>142.5703</v>
      </c>
      <c r="N69" s="129">
        <v>143.07579999999999</v>
      </c>
      <c r="O69" s="129">
        <v>143.44630000000001</v>
      </c>
      <c r="P69" s="129">
        <v>144.14529999999999</v>
      </c>
      <c r="Q69" s="129">
        <v>144.31890000000001</v>
      </c>
      <c r="R69" s="129">
        <v>144.82390000000001</v>
      </c>
    </row>
    <row r="70" spans="1:18" ht="15">
      <c r="A70" s="141"/>
      <c r="B70" s="141"/>
      <c r="C70" s="141"/>
      <c r="D70" s="141"/>
      <c r="E70" s="301" t="s">
        <v>428</v>
      </c>
      <c r="F70" s="299">
        <v>0.30439867399999998</v>
      </c>
      <c r="G70" s="129">
        <v>134.27000000000001</v>
      </c>
      <c r="H70" s="129">
        <v>134.27010000000001</v>
      </c>
      <c r="I70" s="129">
        <v>134.13</v>
      </c>
      <c r="J70" s="129">
        <v>134.3639</v>
      </c>
      <c r="K70" s="129">
        <v>134.49789999999999</v>
      </c>
      <c r="L70" s="129">
        <v>134.51830000000001</v>
      </c>
      <c r="M70" s="129">
        <v>134.74799999999999</v>
      </c>
      <c r="N70" s="129">
        <v>134.8356</v>
      </c>
      <c r="O70" s="129">
        <v>135.03639999999999</v>
      </c>
      <c r="P70" s="129">
        <v>135.54300000000001</v>
      </c>
      <c r="Q70" s="129">
        <v>135.7824</v>
      </c>
      <c r="R70" s="129">
        <v>136.29</v>
      </c>
    </row>
    <row r="71" spans="1:18" ht="15">
      <c r="A71" s="141"/>
      <c r="B71" s="141"/>
      <c r="C71" s="141"/>
      <c r="D71" s="141"/>
      <c r="E71" s="301" t="s">
        <v>429</v>
      </c>
      <c r="F71" s="299">
        <v>0.55595534000000002</v>
      </c>
      <c r="G71" s="129">
        <v>130.77860000000001</v>
      </c>
      <c r="H71" s="129">
        <v>131.4057</v>
      </c>
      <c r="I71" s="129">
        <v>132.04159999999999</v>
      </c>
      <c r="J71" s="129">
        <v>132.74639999999999</v>
      </c>
      <c r="K71" s="129">
        <v>133.28399999999999</v>
      </c>
      <c r="L71" s="129">
        <v>133.4666</v>
      </c>
      <c r="M71" s="129">
        <v>133.7362</v>
      </c>
      <c r="N71" s="129">
        <v>133.69110000000001</v>
      </c>
      <c r="O71" s="129">
        <v>134.3056</v>
      </c>
      <c r="P71" s="129">
        <v>135.74039999999999</v>
      </c>
      <c r="Q71" s="129">
        <v>136.4684</v>
      </c>
      <c r="R71" s="129">
        <v>137.01079999999999</v>
      </c>
    </row>
    <row r="72" spans="1:18" ht="15">
      <c r="A72" s="141"/>
      <c r="B72" s="141"/>
      <c r="C72" s="141"/>
      <c r="D72" s="141"/>
      <c r="E72" s="301" t="s">
        <v>430</v>
      </c>
      <c r="F72" s="299">
        <v>6.1261991000000002E-2</v>
      </c>
      <c r="G72" s="129">
        <v>135.75530000000001</v>
      </c>
      <c r="H72" s="129">
        <v>136.5461</v>
      </c>
      <c r="I72" s="129">
        <v>137.01009999999999</v>
      </c>
      <c r="J72" s="129">
        <v>137.36609999999999</v>
      </c>
      <c r="K72" s="129">
        <v>138.01509999999999</v>
      </c>
      <c r="L72" s="129">
        <v>138.2243</v>
      </c>
      <c r="M72" s="129">
        <v>138.70570000000001</v>
      </c>
      <c r="N72" s="129">
        <v>139.23750000000001</v>
      </c>
      <c r="O72" s="129">
        <v>139.24959999999999</v>
      </c>
      <c r="P72" s="129">
        <v>139.80420000000001</v>
      </c>
      <c r="Q72" s="129">
        <v>140.227</v>
      </c>
      <c r="R72" s="129">
        <v>140.48670000000001</v>
      </c>
    </row>
    <row r="73" spans="1:18" ht="15">
      <c r="A73" s="141"/>
      <c r="B73" s="141"/>
      <c r="C73" s="141"/>
      <c r="D73" s="141"/>
      <c r="E73" s="301" t="s">
        <v>431</v>
      </c>
      <c r="F73" s="299">
        <v>5.0276756999999998E-2</v>
      </c>
      <c r="G73" s="129">
        <v>145.77369999999999</v>
      </c>
      <c r="H73" s="129">
        <v>145.8939</v>
      </c>
      <c r="I73" s="129">
        <v>146.24430000000001</v>
      </c>
      <c r="J73" s="129">
        <v>145.87280000000001</v>
      </c>
      <c r="K73" s="129">
        <v>145.8535</v>
      </c>
      <c r="L73" s="129">
        <v>145.4949</v>
      </c>
      <c r="M73" s="129">
        <v>145.1754</v>
      </c>
      <c r="N73" s="129">
        <v>144.4616</v>
      </c>
      <c r="O73" s="129">
        <v>143.6414</v>
      </c>
      <c r="P73" s="129">
        <v>142.98050000000001</v>
      </c>
      <c r="Q73" s="129">
        <v>142.5692</v>
      </c>
      <c r="R73" s="129">
        <v>141.95820000000001</v>
      </c>
    </row>
    <row r="74" spans="1:18" ht="15">
      <c r="A74" s="141"/>
      <c r="B74" s="141"/>
      <c r="C74" s="141"/>
      <c r="D74" s="141"/>
      <c r="E74" s="301" t="s">
        <v>432</v>
      </c>
      <c r="F74" s="299">
        <v>3.0711221E-2</v>
      </c>
      <c r="G74" s="129">
        <v>152.84880000000001</v>
      </c>
      <c r="H74" s="129">
        <v>153.654</v>
      </c>
      <c r="I74" s="129">
        <v>154.2124</v>
      </c>
      <c r="J74" s="129">
        <v>154.28649999999999</v>
      </c>
      <c r="K74" s="129">
        <v>155.02160000000001</v>
      </c>
      <c r="L74" s="129">
        <v>155.6534</v>
      </c>
      <c r="M74" s="129">
        <v>155.8364</v>
      </c>
      <c r="N74" s="129">
        <v>156.78749999999999</v>
      </c>
      <c r="O74" s="129">
        <v>157.08920000000001</v>
      </c>
      <c r="P74" s="129">
        <v>157.40870000000001</v>
      </c>
      <c r="Q74" s="129">
        <v>158.14009999999999</v>
      </c>
      <c r="R74" s="129">
        <v>158.81540000000001</v>
      </c>
    </row>
    <row r="75" spans="1:18" ht="15">
      <c r="A75" s="141"/>
      <c r="B75" s="141"/>
      <c r="C75" s="141"/>
      <c r="D75" s="141"/>
      <c r="E75" s="301" t="s">
        <v>433</v>
      </c>
      <c r="F75" s="299">
        <v>4.8787668999999999E-2</v>
      </c>
      <c r="G75" s="129">
        <v>131.39869999999999</v>
      </c>
      <c r="H75" s="129">
        <v>131.85169999999999</v>
      </c>
      <c r="I75" s="129">
        <v>132.34960000000001</v>
      </c>
      <c r="J75" s="129">
        <v>133.7312</v>
      </c>
      <c r="K75" s="129">
        <v>134.4864</v>
      </c>
      <c r="L75" s="129">
        <v>134.7244</v>
      </c>
      <c r="M75" s="129">
        <v>134.87430000000001</v>
      </c>
      <c r="N75" s="129">
        <v>135.22790000000001</v>
      </c>
      <c r="O75" s="129">
        <v>135.75319999999999</v>
      </c>
      <c r="P75" s="129">
        <v>136.85499999999999</v>
      </c>
      <c r="Q75" s="129">
        <v>137.51429999999999</v>
      </c>
      <c r="R75" s="129">
        <v>137.94040000000001</v>
      </c>
    </row>
    <row r="76" spans="1:18" ht="15">
      <c r="A76" s="141"/>
      <c r="B76" s="141"/>
      <c r="C76" s="141"/>
      <c r="D76" s="141"/>
      <c r="E76" s="301" t="s">
        <v>434</v>
      </c>
      <c r="F76" s="299">
        <v>0.18361292300000001</v>
      </c>
      <c r="G76" s="129">
        <v>146.39830000000001</v>
      </c>
      <c r="H76" s="129">
        <v>146.93119999999999</v>
      </c>
      <c r="I76" s="129">
        <v>147.2296</v>
      </c>
      <c r="J76" s="129">
        <v>147.6825</v>
      </c>
      <c r="K76" s="129">
        <v>148.40219999999999</v>
      </c>
      <c r="L76" s="129">
        <v>148.9119</v>
      </c>
      <c r="M76" s="129">
        <v>149.14320000000001</v>
      </c>
      <c r="N76" s="129">
        <v>149.2183</v>
      </c>
      <c r="O76" s="129">
        <v>149.34610000000001</v>
      </c>
      <c r="P76" s="129">
        <v>149.57079999999999</v>
      </c>
      <c r="Q76" s="129">
        <v>149.73099999999999</v>
      </c>
      <c r="R76" s="129">
        <v>150.02420000000001</v>
      </c>
    </row>
    <row r="77" spans="1:18" ht="15">
      <c r="A77" s="141"/>
      <c r="B77" s="141"/>
      <c r="C77" s="141"/>
      <c r="D77" s="141" t="s">
        <v>435</v>
      </c>
      <c r="E77" s="301"/>
      <c r="F77" s="299">
        <v>0.81528030600000001</v>
      </c>
      <c r="G77" s="129">
        <v>134.37909999999999</v>
      </c>
      <c r="H77" s="129">
        <v>134.8922</v>
      </c>
      <c r="I77" s="129">
        <v>135.4128</v>
      </c>
      <c r="J77" s="129">
        <v>136.3322</v>
      </c>
      <c r="K77" s="129">
        <v>137.8158</v>
      </c>
      <c r="L77" s="129">
        <v>138.48480000000001</v>
      </c>
      <c r="M77" s="129">
        <v>138.90880000000001</v>
      </c>
      <c r="N77" s="129">
        <v>139.22200000000001</v>
      </c>
      <c r="O77" s="129">
        <v>139.4599</v>
      </c>
      <c r="P77" s="129">
        <v>140.02549999999999</v>
      </c>
      <c r="Q77" s="129">
        <v>140.3869</v>
      </c>
      <c r="R77" s="129">
        <v>140.70490000000001</v>
      </c>
    </row>
    <row r="78" spans="1:18" ht="15">
      <c r="A78" s="141"/>
      <c r="B78" s="141"/>
      <c r="C78" s="141"/>
      <c r="D78" s="141"/>
      <c r="E78" s="301" t="s">
        <v>436</v>
      </c>
      <c r="F78" s="299">
        <v>0.32377267199999998</v>
      </c>
      <c r="G78" s="129">
        <v>136.7157</v>
      </c>
      <c r="H78" s="129">
        <v>137.37639999999999</v>
      </c>
      <c r="I78" s="129">
        <v>137.98689999999999</v>
      </c>
      <c r="J78" s="129">
        <v>138.40270000000001</v>
      </c>
      <c r="K78" s="129">
        <v>138.6474</v>
      </c>
      <c r="L78" s="129">
        <v>138.8586</v>
      </c>
      <c r="M78" s="129">
        <v>139.22810000000001</v>
      </c>
      <c r="N78" s="129">
        <v>139.52529999999999</v>
      </c>
      <c r="O78" s="129">
        <v>139.7045</v>
      </c>
      <c r="P78" s="129">
        <v>140.232</v>
      </c>
      <c r="Q78" s="129">
        <v>140.3888</v>
      </c>
      <c r="R78" s="129">
        <v>140.65110000000001</v>
      </c>
    </row>
    <row r="79" spans="1:18" ht="15">
      <c r="A79" s="141"/>
      <c r="B79" s="141"/>
      <c r="C79" s="141"/>
      <c r="D79" s="141"/>
      <c r="E79" s="301" t="s">
        <v>437</v>
      </c>
      <c r="F79" s="299">
        <v>0.25760396299999999</v>
      </c>
      <c r="G79" s="129">
        <v>134.01339999999999</v>
      </c>
      <c r="H79" s="129">
        <v>134.39769999999999</v>
      </c>
      <c r="I79" s="129">
        <v>134.83080000000001</v>
      </c>
      <c r="J79" s="129">
        <v>136.19829999999999</v>
      </c>
      <c r="K79" s="129">
        <v>139.00210000000001</v>
      </c>
      <c r="L79" s="129">
        <v>139.81989999999999</v>
      </c>
      <c r="M79" s="129">
        <v>140.34649999999999</v>
      </c>
      <c r="N79" s="129">
        <v>140.6481</v>
      </c>
      <c r="O79" s="129">
        <v>140.7679</v>
      </c>
      <c r="P79" s="129">
        <v>141.21979999999999</v>
      </c>
      <c r="Q79" s="129">
        <v>141.79490000000001</v>
      </c>
      <c r="R79" s="129">
        <v>142.21510000000001</v>
      </c>
    </row>
    <row r="80" spans="1:18" ht="15">
      <c r="A80" s="141"/>
      <c r="B80" s="141"/>
      <c r="C80" s="141"/>
      <c r="D80" s="141"/>
      <c r="E80" s="301" t="s">
        <v>438</v>
      </c>
      <c r="F80" s="299">
        <v>0.119862047</v>
      </c>
      <c r="G80" s="129">
        <v>132.8058</v>
      </c>
      <c r="H80" s="129">
        <v>133.27010000000001</v>
      </c>
      <c r="I80" s="129">
        <v>133.6217</v>
      </c>
      <c r="J80" s="129">
        <v>134.92779999999999</v>
      </c>
      <c r="K80" s="129">
        <v>137.02760000000001</v>
      </c>
      <c r="L80" s="129">
        <v>138.5822</v>
      </c>
      <c r="M80" s="129">
        <v>139.05099999999999</v>
      </c>
      <c r="N80" s="129">
        <v>139.68279999999999</v>
      </c>
      <c r="O80" s="129">
        <v>140.6328</v>
      </c>
      <c r="P80" s="129">
        <v>141.67760000000001</v>
      </c>
      <c r="Q80" s="129">
        <v>142.23339999999999</v>
      </c>
      <c r="R80" s="129">
        <v>142.63509999999999</v>
      </c>
    </row>
    <row r="81" spans="1:18" ht="15">
      <c r="A81" s="141"/>
      <c r="B81" s="141"/>
      <c r="C81" s="141"/>
      <c r="D81" s="141"/>
      <c r="E81" s="301" t="s">
        <v>439</v>
      </c>
      <c r="F81" s="299">
        <v>5.0925217000000002E-2</v>
      </c>
      <c r="G81" s="129">
        <v>127.2166</v>
      </c>
      <c r="H81" s="129">
        <v>128.2216</v>
      </c>
      <c r="I81" s="129">
        <v>128.85310000000001</v>
      </c>
      <c r="J81" s="129">
        <v>130.00640000000001</v>
      </c>
      <c r="K81" s="129">
        <v>133.30940000000001</v>
      </c>
      <c r="L81" s="129">
        <v>134.5838</v>
      </c>
      <c r="M81" s="129">
        <v>135.10589999999999</v>
      </c>
      <c r="N81" s="129">
        <v>134.94829999999999</v>
      </c>
      <c r="O81" s="129">
        <v>134.9847</v>
      </c>
      <c r="P81" s="129">
        <v>135.6155</v>
      </c>
      <c r="Q81" s="129">
        <v>135.51759999999999</v>
      </c>
      <c r="R81" s="129">
        <v>135.73859999999999</v>
      </c>
    </row>
    <row r="82" spans="1:18" ht="15">
      <c r="A82" s="141"/>
      <c r="B82" s="141"/>
      <c r="C82" s="141"/>
      <c r="D82" s="141"/>
      <c r="E82" s="301" t="s">
        <v>440</v>
      </c>
      <c r="F82" s="299">
        <v>6.3116406999999999E-2</v>
      </c>
      <c r="G82" s="129">
        <v>132.65199999999999</v>
      </c>
      <c r="H82" s="129">
        <v>132.63</v>
      </c>
      <c r="I82" s="129">
        <v>133.27770000000001</v>
      </c>
      <c r="J82" s="129">
        <v>134.02850000000001</v>
      </c>
      <c r="K82" s="129">
        <v>133.8415</v>
      </c>
      <c r="L82" s="129">
        <v>134.0805</v>
      </c>
      <c r="M82" s="129">
        <v>134.20160000000001</v>
      </c>
      <c r="N82" s="129">
        <v>134.4194</v>
      </c>
      <c r="O82" s="129">
        <v>134.251</v>
      </c>
      <c r="P82" s="129">
        <v>134.51339999999999</v>
      </c>
      <c r="Q82" s="129">
        <v>135.05269999999999</v>
      </c>
      <c r="R82" s="129">
        <v>135.15809999999999</v>
      </c>
    </row>
    <row r="83" spans="1:18" ht="15">
      <c r="A83" s="141"/>
      <c r="B83" s="141"/>
      <c r="C83" s="141"/>
      <c r="D83" s="141" t="s">
        <v>441</v>
      </c>
      <c r="E83" s="301"/>
      <c r="F83" s="299">
        <v>9.4443893000000001E-2</v>
      </c>
      <c r="G83" s="129">
        <v>118.4366</v>
      </c>
      <c r="H83" s="129">
        <v>118.9438</v>
      </c>
      <c r="I83" s="129">
        <v>118.9532</v>
      </c>
      <c r="J83" s="129">
        <v>119.6152</v>
      </c>
      <c r="K83" s="129">
        <v>119.8145</v>
      </c>
      <c r="L83" s="129">
        <v>120.0021</v>
      </c>
      <c r="M83" s="129">
        <v>120.05249999999999</v>
      </c>
      <c r="N83" s="129">
        <v>120.0194</v>
      </c>
      <c r="O83" s="129">
        <v>121.7651</v>
      </c>
      <c r="P83" s="129">
        <v>122.8895</v>
      </c>
      <c r="Q83" s="129">
        <v>123.2505</v>
      </c>
      <c r="R83" s="129">
        <v>123.425</v>
      </c>
    </row>
    <row r="84" spans="1:18" ht="15">
      <c r="A84" s="141"/>
      <c r="B84" s="141"/>
      <c r="C84" s="141"/>
      <c r="D84" s="141"/>
      <c r="E84" s="301" t="s">
        <v>442</v>
      </c>
      <c r="F84" s="299">
        <v>9.4443893000000001E-2</v>
      </c>
      <c r="G84" s="129">
        <v>118.4366</v>
      </c>
      <c r="H84" s="129">
        <v>118.9438</v>
      </c>
      <c r="I84" s="129">
        <v>118.9532</v>
      </c>
      <c r="J84" s="129">
        <v>119.6152</v>
      </c>
      <c r="K84" s="129">
        <v>119.8145</v>
      </c>
      <c r="L84" s="129">
        <v>120.0021</v>
      </c>
      <c r="M84" s="129">
        <v>120.05249999999999</v>
      </c>
      <c r="N84" s="129">
        <v>120.0194</v>
      </c>
      <c r="O84" s="129">
        <v>121.7651</v>
      </c>
      <c r="P84" s="129">
        <v>122.8895</v>
      </c>
      <c r="Q84" s="129">
        <v>123.2505</v>
      </c>
      <c r="R84" s="129">
        <v>123.425</v>
      </c>
    </row>
    <row r="85" spans="1:18" ht="15">
      <c r="A85" s="141"/>
      <c r="B85" s="141"/>
      <c r="C85" s="141"/>
      <c r="D85" s="141" t="s">
        <v>443</v>
      </c>
      <c r="E85" s="301"/>
      <c r="F85" s="299">
        <v>0.58845399099999995</v>
      </c>
      <c r="G85" s="129">
        <v>148.75470000000001</v>
      </c>
      <c r="H85" s="129">
        <v>149.52760000000001</v>
      </c>
      <c r="I85" s="129">
        <v>150.93979999999999</v>
      </c>
      <c r="J85" s="129">
        <v>151.45480000000001</v>
      </c>
      <c r="K85" s="129">
        <v>152.70590000000001</v>
      </c>
      <c r="L85" s="129">
        <v>153.124</v>
      </c>
      <c r="M85" s="129">
        <v>153.0883</v>
      </c>
      <c r="N85" s="129">
        <v>153.53059999999999</v>
      </c>
      <c r="O85" s="129">
        <v>153.9323</v>
      </c>
      <c r="P85" s="129">
        <v>153.98920000000001</v>
      </c>
      <c r="Q85" s="129">
        <v>154.1711</v>
      </c>
      <c r="R85" s="129">
        <v>154.2501</v>
      </c>
    </row>
    <row r="86" spans="1:18" ht="15">
      <c r="A86" s="141"/>
      <c r="B86" s="141"/>
      <c r="C86" s="141"/>
      <c r="D86" s="141"/>
      <c r="E86" s="301" t="s">
        <v>444</v>
      </c>
      <c r="F86" s="299">
        <v>0.58845399099999995</v>
      </c>
      <c r="G86" s="129">
        <v>148.75470000000001</v>
      </c>
      <c r="H86" s="129">
        <v>149.52760000000001</v>
      </c>
      <c r="I86" s="129">
        <v>150.93979999999999</v>
      </c>
      <c r="J86" s="129">
        <v>151.45480000000001</v>
      </c>
      <c r="K86" s="129">
        <v>152.70590000000001</v>
      </c>
      <c r="L86" s="129">
        <v>153.124</v>
      </c>
      <c r="M86" s="129">
        <v>153.0883</v>
      </c>
      <c r="N86" s="129">
        <v>153.53059999999999</v>
      </c>
      <c r="O86" s="129">
        <v>153.9323</v>
      </c>
      <c r="P86" s="129">
        <v>153.98920000000001</v>
      </c>
      <c r="Q86" s="129">
        <v>154.1711</v>
      </c>
      <c r="R86" s="129">
        <v>154.2501</v>
      </c>
    </row>
    <row r="87" spans="1:18" ht="15">
      <c r="A87" s="141"/>
      <c r="B87" s="141"/>
      <c r="C87" s="141" t="s">
        <v>445</v>
      </c>
      <c r="D87" s="141"/>
      <c r="E87" s="301"/>
      <c r="F87" s="299">
        <v>0.65911803199999996</v>
      </c>
      <c r="G87" s="129">
        <v>160.00540000000001</v>
      </c>
      <c r="H87" s="129">
        <v>159.9359</v>
      </c>
      <c r="I87" s="129">
        <v>159.67259999999999</v>
      </c>
      <c r="J87" s="129">
        <v>159.8913</v>
      </c>
      <c r="K87" s="129">
        <v>160.542</v>
      </c>
      <c r="L87" s="129">
        <v>160.08410000000001</v>
      </c>
      <c r="M87" s="129">
        <v>158.64349999999999</v>
      </c>
      <c r="N87" s="129">
        <v>158.245</v>
      </c>
      <c r="O87" s="129">
        <v>158.67609999999999</v>
      </c>
      <c r="P87" s="129">
        <v>159.23330000000001</v>
      </c>
      <c r="Q87" s="129">
        <v>159.27369999999999</v>
      </c>
      <c r="R87" s="129">
        <v>159.89080000000001</v>
      </c>
    </row>
    <row r="88" spans="1:18" ht="15">
      <c r="A88" s="141"/>
      <c r="B88" s="141"/>
      <c r="C88" s="141"/>
      <c r="D88" s="141" t="s">
        <v>446</v>
      </c>
      <c r="E88" s="301"/>
      <c r="F88" s="299">
        <v>0.58428628800000004</v>
      </c>
      <c r="G88" s="129">
        <v>162.38</v>
      </c>
      <c r="H88" s="129">
        <v>162.3784</v>
      </c>
      <c r="I88" s="129">
        <v>162.19970000000001</v>
      </c>
      <c r="J88" s="129">
        <v>162.262</v>
      </c>
      <c r="K88" s="129">
        <v>162.8768</v>
      </c>
      <c r="L88" s="129">
        <v>161.8742</v>
      </c>
      <c r="M88" s="129">
        <v>160.06129999999999</v>
      </c>
      <c r="N88" s="129">
        <v>159.52119999999999</v>
      </c>
      <c r="O88" s="129">
        <v>159.86410000000001</v>
      </c>
      <c r="P88" s="129">
        <v>160.50040000000001</v>
      </c>
      <c r="Q88" s="129">
        <v>160.43340000000001</v>
      </c>
      <c r="R88" s="129">
        <v>160.9982</v>
      </c>
    </row>
    <row r="89" spans="1:18" ht="15">
      <c r="A89" s="141"/>
      <c r="B89" s="141"/>
      <c r="C89" s="141"/>
      <c r="D89" s="141"/>
      <c r="E89" s="301" t="s">
        <v>447</v>
      </c>
      <c r="F89" s="299">
        <v>0.55307218999999996</v>
      </c>
      <c r="G89" s="129">
        <v>162.83260000000001</v>
      </c>
      <c r="H89" s="129">
        <v>162.845</v>
      </c>
      <c r="I89" s="129">
        <v>162.6891</v>
      </c>
      <c r="J89" s="129">
        <v>162.79329999999999</v>
      </c>
      <c r="K89" s="129">
        <v>163.4571</v>
      </c>
      <c r="L89" s="129">
        <v>162.43620000000001</v>
      </c>
      <c r="M89" s="129">
        <v>160.57069999999999</v>
      </c>
      <c r="N89" s="129">
        <v>159.96299999999999</v>
      </c>
      <c r="O89" s="129">
        <v>160.29730000000001</v>
      </c>
      <c r="P89" s="129">
        <v>160.89160000000001</v>
      </c>
      <c r="Q89" s="129">
        <v>160.85839999999999</v>
      </c>
      <c r="R89" s="129">
        <v>161.4341</v>
      </c>
    </row>
    <row r="90" spans="1:18" ht="15">
      <c r="A90" s="141"/>
      <c r="B90" s="141"/>
      <c r="C90" s="141"/>
      <c r="D90" s="141"/>
      <c r="E90" s="301" t="s">
        <v>448</v>
      </c>
      <c r="F90" s="299">
        <v>3.1214097999999999E-2</v>
      </c>
      <c r="G90" s="129">
        <v>154.3612</v>
      </c>
      <c r="H90" s="129">
        <v>154.11099999999999</v>
      </c>
      <c r="I90" s="129">
        <v>153.52889999999999</v>
      </c>
      <c r="J90" s="129">
        <v>152.84950000000001</v>
      </c>
      <c r="K90" s="129">
        <v>152.59559999999999</v>
      </c>
      <c r="L90" s="129">
        <v>151.9161</v>
      </c>
      <c r="M90" s="129">
        <v>151.03469999999999</v>
      </c>
      <c r="N90" s="129">
        <v>151.69329999999999</v>
      </c>
      <c r="O90" s="129">
        <v>152.18780000000001</v>
      </c>
      <c r="P90" s="129">
        <v>153.56890000000001</v>
      </c>
      <c r="Q90" s="129">
        <v>152.90309999999999</v>
      </c>
      <c r="R90" s="129">
        <v>153.2741</v>
      </c>
    </row>
    <row r="91" spans="1:18" ht="15">
      <c r="A91" s="141"/>
      <c r="B91" s="141"/>
      <c r="C91" s="141"/>
      <c r="D91" s="141" t="s">
        <v>449</v>
      </c>
      <c r="E91" s="301"/>
      <c r="F91" s="299">
        <v>7.4831744000000006E-2</v>
      </c>
      <c r="G91" s="129">
        <v>141.464</v>
      </c>
      <c r="H91" s="129">
        <v>140.86490000000001</v>
      </c>
      <c r="I91" s="129">
        <v>139.94069999999999</v>
      </c>
      <c r="J91" s="129">
        <v>141.38059999999999</v>
      </c>
      <c r="K91" s="129">
        <v>142.3115</v>
      </c>
      <c r="L91" s="129">
        <v>146.10720000000001</v>
      </c>
      <c r="M91" s="129">
        <v>147.5737</v>
      </c>
      <c r="N91" s="129">
        <v>148.28059999999999</v>
      </c>
      <c r="O91" s="129">
        <v>149.40049999999999</v>
      </c>
      <c r="P91" s="129">
        <v>149.34</v>
      </c>
      <c r="Q91" s="129">
        <v>150.21860000000001</v>
      </c>
      <c r="R91" s="129">
        <v>151.24459999999999</v>
      </c>
    </row>
    <row r="92" spans="1:18" ht="15">
      <c r="A92" s="141"/>
      <c r="B92" s="141"/>
      <c r="C92" s="141"/>
      <c r="D92" s="141"/>
      <c r="E92" s="301" t="s">
        <v>450</v>
      </c>
      <c r="F92" s="299">
        <v>7.4831744000000006E-2</v>
      </c>
      <c r="G92" s="129">
        <v>141.464</v>
      </c>
      <c r="H92" s="129">
        <v>140.86490000000001</v>
      </c>
      <c r="I92" s="129">
        <v>139.94069999999999</v>
      </c>
      <c r="J92" s="129">
        <v>141.38059999999999</v>
      </c>
      <c r="K92" s="129">
        <v>142.3115</v>
      </c>
      <c r="L92" s="129">
        <v>146.10720000000001</v>
      </c>
      <c r="M92" s="129">
        <v>147.5737</v>
      </c>
      <c r="N92" s="129">
        <v>148.28059999999999</v>
      </c>
      <c r="O92" s="129">
        <v>149.40049999999999</v>
      </c>
      <c r="P92" s="129">
        <v>149.34</v>
      </c>
      <c r="Q92" s="129">
        <v>150.21860000000001</v>
      </c>
      <c r="R92" s="129">
        <v>151.24459999999999</v>
      </c>
    </row>
    <row r="93" spans="1:18" ht="15">
      <c r="A93" s="141"/>
      <c r="B93" s="141"/>
      <c r="C93" s="141" t="s">
        <v>451</v>
      </c>
      <c r="D93" s="141"/>
      <c r="E93" s="301"/>
      <c r="F93" s="299">
        <v>2.1186846799999999</v>
      </c>
      <c r="G93" s="129">
        <v>143.9211</v>
      </c>
      <c r="H93" s="129">
        <v>146.7946</v>
      </c>
      <c r="I93" s="129">
        <v>147.9751</v>
      </c>
      <c r="J93" s="129">
        <v>145.1207</v>
      </c>
      <c r="K93" s="129">
        <v>141.8115</v>
      </c>
      <c r="L93" s="129">
        <v>135.22720000000001</v>
      </c>
      <c r="M93" s="129">
        <v>133.2885</v>
      </c>
      <c r="N93" s="129">
        <v>137.23419999999999</v>
      </c>
      <c r="O93" s="129">
        <v>141.7175</v>
      </c>
      <c r="P93" s="129">
        <v>147.82769999999999</v>
      </c>
      <c r="Q93" s="129">
        <v>161.37389999999999</v>
      </c>
      <c r="R93" s="129">
        <v>167.70859999999999</v>
      </c>
    </row>
    <row r="94" spans="1:18" ht="15">
      <c r="A94" s="141"/>
      <c r="B94" s="141"/>
      <c r="C94" s="141"/>
      <c r="D94" s="141" t="s">
        <v>452</v>
      </c>
      <c r="E94" s="301"/>
      <c r="F94" s="299">
        <v>2.0374587800000001</v>
      </c>
      <c r="G94" s="129">
        <v>142.2818</v>
      </c>
      <c r="H94" s="129">
        <v>144.98509999999999</v>
      </c>
      <c r="I94" s="129">
        <v>146.1183</v>
      </c>
      <c r="J94" s="129">
        <v>142.97819999999999</v>
      </c>
      <c r="K94" s="129">
        <v>139.45099999999999</v>
      </c>
      <c r="L94" s="129">
        <v>132.59520000000001</v>
      </c>
      <c r="M94" s="129">
        <v>130.56890000000001</v>
      </c>
      <c r="N94" s="129">
        <v>134.69329999999999</v>
      </c>
      <c r="O94" s="129">
        <v>139.3603</v>
      </c>
      <c r="P94" s="129">
        <v>145.7747</v>
      </c>
      <c r="Q94" s="129">
        <v>159.8691</v>
      </c>
      <c r="R94" s="129">
        <v>166.50069999999999</v>
      </c>
    </row>
    <row r="95" spans="1:18" ht="15">
      <c r="A95" s="141"/>
      <c r="B95" s="141"/>
      <c r="C95" s="141"/>
      <c r="D95" s="141"/>
      <c r="E95" s="301" t="s">
        <v>453</v>
      </c>
      <c r="F95" s="299">
        <v>0.80309174000000005</v>
      </c>
      <c r="G95" s="129">
        <v>135.23599999999999</v>
      </c>
      <c r="H95" s="129">
        <v>135.8021</v>
      </c>
      <c r="I95" s="129">
        <v>132.76779999999999</v>
      </c>
      <c r="J95" s="129">
        <v>122.44970000000001</v>
      </c>
      <c r="K95" s="129">
        <v>117.3899</v>
      </c>
      <c r="L95" s="129">
        <v>113.393</v>
      </c>
      <c r="M95" s="129">
        <v>113.47280000000001</v>
      </c>
      <c r="N95" s="129">
        <v>120.48309999999999</v>
      </c>
      <c r="O95" s="129">
        <v>127.6165</v>
      </c>
      <c r="P95" s="129">
        <v>137.15350000000001</v>
      </c>
      <c r="Q95" s="129">
        <v>160.91900000000001</v>
      </c>
      <c r="R95" s="129">
        <v>173.17160000000001</v>
      </c>
    </row>
    <row r="96" spans="1:18" ht="15">
      <c r="A96" s="141"/>
      <c r="B96" s="141"/>
      <c r="C96" s="141"/>
      <c r="D96" s="141"/>
      <c r="E96" s="301" t="s">
        <v>454</v>
      </c>
      <c r="F96" s="299">
        <v>0.37426094199999999</v>
      </c>
      <c r="G96" s="129">
        <v>141.53809999999999</v>
      </c>
      <c r="H96" s="129">
        <v>141.5581</v>
      </c>
      <c r="I96" s="129">
        <v>137.87979999999999</v>
      </c>
      <c r="J96" s="129">
        <v>127.8456</v>
      </c>
      <c r="K96" s="129">
        <v>125.6041</v>
      </c>
      <c r="L96" s="129">
        <v>123.29810000000001</v>
      </c>
      <c r="M96" s="129">
        <v>129.27549999999999</v>
      </c>
      <c r="N96" s="129">
        <v>136.32579999999999</v>
      </c>
      <c r="O96" s="129">
        <v>140.19730000000001</v>
      </c>
      <c r="P96" s="129">
        <v>142.26840000000001</v>
      </c>
      <c r="Q96" s="129">
        <v>149.626</v>
      </c>
      <c r="R96" s="129">
        <v>153.94560000000001</v>
      </c>
    </row>
    <row r="97" spans="1:18" ht="15">
      <c r="A97" s="141"/>
      <c r="B97" s="141"/>
      <c r="C97" s="141"/>
      <c r="D97" s="141"/>
      <c r="E97" s="301" t="s">
        <v>455</v>
      </c>
      <c r="F97" s="299">
        <v>0.13843746800000001</v>
      </c>
      <c r="G97" s="129">
        <v>154.80850000000001</v>
      </c>
      <c r="H97" s="129">
        <v>168.31389999999999</v>
      </c>
      <c r="I97" s="129">
        <v>181.2543</v>
      </c>
      <c r="J97" s="129">
        <v>217.02940000000001</v>
      </c>
      <c r="K97" s="129">
        <v>239.39570000000001</v>
      </c>
      <c r="L97" s="129">
        <v>209.61869999999999</v>
      </c>
      <c r="M97" s="129">
        <v>188.5539</v>
      </c>
      <c r="N97" s="129">
        <v>166.95910000000001</v>
      </c>
      <c r="O97" s="129">
        <v>155.77629999999999</v>
      </c>
      <c r="P97" s="129">
        <v>155.5076</v>
      </c>
      <c r="Q97" s="129">
        <v>163.2886</v>
      </c>
      <c r="R97" s="129">
        <v>164.6721</v>
      </c>
    </row>
    <row r="98" spans="1:18" ht="15">
      <c r="A98" s="141"/>
      <c r="B98" s="141"/>
      <c r="C98" s="141"/>
      <c r="D98" s="141"/>
      <c r="E98" s="301" t="s">
        <v>456</v>
      </c>
      <c r="F98" s="299">
        <v>0.17530310499999999</v>
      </c>
      <c r="G98" s="129">
        <v>137.96979999999999</v>
      </c>
      <c r="H98" s="129">
        <v>139.16800000000001</v>
      </c>
      <c r="I98" s="129">
        <v>135.22550000000001</v>
      </c>
      <c r="J98" s="129">
        <v>123.3592</v>
      </c>
      <c r="K98" s="129">
        <v>117.6392</v>
      </c>
      <c r="L98" s="129">
        <v>113.27800000000001</v>
      </c>
      <c r="M98" s="129">
        <v>112.4576</v>
      </c>
      <c r="N98" s="129">
        <v>119.7208</v>
      </c>
      <c r="O98" s="129">
        <v>127.90519999999999</v>
      </c>
      <c r="P98" s="129">
        <v>137.77099999999999</v>
      </c>
      <c r="Q98" s="129">
        <v>164.571</v>
      </c>
      <c r="R98" s="129">
        <v>177.98079999999999</v>
      </c>
    </row>
    <row r="99" spans="1:18" ht="15">
      <c r="A99" s="141"/>
      <c r="B99" s="141"/>
      <c r="C99" s="141"/>
      <c r="D99" s="141"/>
      <c r="E99" s="301" t="s">
        <v>457</v>
      </c>
      <c r="F99" s="299">
        <v>7.1448493000000002E-2</v>
      </c>
      <c r="G99" s="129">
        <v>131.69139999999999</v>
      </c>
      <c r="H99" s="129">
        <v>141.92590000000001</v>
      </c>
      <c r="I99" s="129">
        <v>152.23650000000001</v>
      </c>
      <c r="J99" s="129">
        <v>150.19710000000001</v>
      </c>
      <c r="K99" s="129">
        <v>143.80860000000001</v>
      </c>
      <c r="L99" s="129">
        <v>141.7824</v>
      </c>
      <c r="M99" s="129">
        <v>142.1207</v>
      </c>
      <c r="N99" s="129">
        <v>146.7321</v>
      </c>
      <c r="O99" s="129">
        <v>151.91560000000001</v>
      </c>
      <c r="P99" s="129">
        <v>158.07560000000001</v>
      </c>
      <c r="Q99" s="129">
        <v>160.2201</v>
      </c>
      <c r="R99" s="129">
        <v>163.036</v>
      </c>
    </row>
    <row r="100" spans="1:18" ht="15">
      <c r="A100" s="141"/>
      <c r="B100" s="141"/>
      <c r="C100" s="141"/>
      <c r="D100" s="141"/>
      <c r="E100" s="301" t="s">
        <v>458</v>
      </c>
      <c r="F100" s="299">
        <v>6.4108322999999995E-2</v>
      </c>
      <c r="G100" s="129">
        <v>190.9649</v>
      </c>
      <c r="H100" s="129">
        <v>206.2912</v>
      </c>
      <c r="I100" s="129">
        <v>233.67939999999999</v>
      </c>
      <c r="J100" s="129">
        <v>267.59089999999998</v>
      </c>
      <c r="K100" s="129">
        <v>276.57400000000001</v>
      </c>
      <c r="L100" s="129">
        <v>265.34640000000002</v>
      </c>
      <c r="M100" s="129">
        <v>250.34110000000001</v>
      </c>
      <c r="N100" s="129">
        <v>227.62790000000001</v>
      </c>
      <c r="O100" s="129">
        <v>207.84370000000001</v>
      </c>
      <c r="P100" s="129">
        <v>195.74350000000001</v>
      </c>
      <c r="Q100" s="129">
        <v>195.3398</v>
      </c>
      <c r="R100" s="129">
        <v>198.65539999999999</v>
      </c>
    </row>
    <row r="101" spans="1:18" ht="15">
      <c r="A101" s="141"/>
      <c r="B101" s="141"/>
      <c r="C101" s="141"/>
      <c r="D101" s="141"/>
      <c r="E101" s="301" t="s">
        <v>459</v>
      </c>
      <c r="F101" s="299">
        <v>7.3570547E-2</v>
      </c>
      <c r="G101" s="129">
        <v>158.77440000000001</v>
      </c>
      <c r="H101" s="129">
        <v>176.2004</v>
      </c>
      <c r="I101" s="129">
        <v>191.90090000000001</v>
      </c>
      <c r="J101" s="129">
        <v>194.94200000000001</v>
      </c>
      <c r="K101" s="129">
        <v>158.68979999999999</v>
      </c>
      <c r="L101" s="129">
        <v>121.8471</v>
      </c>
      <c r="M101" s="129">
        <v>93.121799999999993</v>
      </c>
      <c r="N101" s="129">
        <v>96.4208</v>
      </c>
      <c r="O101" s="129">
        <v>118.88549999999999</v>
      </c>
      <c r="P101" s="129">
        <v>143.96209999999999</v>
      </c>
      <c r="Q101" s="129">
        <v>152.3663</v>
      </c>
      <c r="R101" s="129">
        <v>148.3931</v>
      </c>
    </row>
    <row r="102" spans="1:18" ht="15">
      <c r="A102" s="141"/>
      <c r="B102" s="141"/>
      <c r="C102" s="141"/>
      <c r="D102" s="141"/>
      <c r="E102" s="301" t="s">
        <v>460</v>
      </c>
      <c r="F102" s="299">
        <v>6.2554213999999997E-2</v>
      </c>
      <c r="G102" s="129">
        <v>145.00049999999999</v>
      </c>
      <c r="H102" s="129">
        <v>146.00579999999999</v>
      </c>
      <c r="I102" s="129">
        <v>145.36150000000001</v>
      </c>
      <c r="J102" s="129">
        <v>143.70840000000001</v>
      </c>
      <c r="K102" s="129">
        <v>142.3253</v>
      </c>
      <c r="L102" s="129">
        <v>139.39779999999999</v>
      </c>
      <c r="M102" s="129">
        <v>139.45650000000001</v>
      </c>
      <c r="N102" s="129">
        <v>142.74369999999999</v>
      </c>
      <c r="O102" s="129">
        <v>144.25640000000001</v>
      </c>
      <c r="P102" s="129">
        <v>145.1183</v>
      </c>
      <c r="Q102" s="129">
        <v>149.9922</v>
      </c>
      <c r="R102" s="129">
        <v>151.8415</v>
      </c>
    </row>
    <row r="103" spans="1:18" ht="15">
      <c r="A103" s="141"/>
      <c r="B103" s="141"/>
      <c r="C103" s="141"/>
      <c r="D103" s="141"/>
      <c r="E103" s="301" t="s">
        <v>461</v>
      </c>
      <c r="F103" s="299">
        <v>9.4719724000000005E-2</v>
      </c>
      <c r="G103" s="129">
        <v>158.06010000000001</v>
      </c>
      <c r="H103" s="129">
        <v>157.62200000000001</v>
      </c>
      <c r="I103" s="129">
        <v>159.79220000000001</v>
      </c>
      <c r="J103" s="129">
        <v>158.4623</v>
      </c>
      <c r="K103" s="129">
        <v>150.5351</v>
      </c>
      <c r="L103" s="129">
        <v>144.38890000000001</v>
      </c>
      <c r="M103" s="129">
        <v>148.89779999999999</v>
      </c>
      <c r="N103" s="129">
        <v>168.18180000000001</v>
      </c>
      <c r="O103" s="129">
        <v>174.3038</v>
      </c>
      <c r="P103" s="129">
        <v>174.36060000000001</v>
      </c>
      <c r="Q103" s="129">
        <v>169.14529999999999</v>
      </c>
      <c r="R103" s="129">
        <v>165.39</v>
      </c>
    </row>
    <row r="104" spans="1:18" ht="15">
      <c r="A104" s="141"/>
      <c r="B104" s="141"/>
      <c r="C104" s="141"/>
      <c r="D104" s="141"/>
      <c r="E104" s="301" t="s">
        <v>462</v>
      </c>
      <c r="F104" s="299">
        <v>8.7658116999999994E-2</v>
      </c>
      <c r="G104" s="129">
        <v>135.0204</v>
      </c>
      <c r="H104" s="129">
        <v>134.10929999999999</v>
      </c>
      <c r="I104" s="129">
        <v>138.39590000000001</v>
      </c>
      <c r="J104" s="129">
        <v>141.3922</v>
      </c>
      <c r="K104" s="129">
        <v>141.45429999999999</v>
      </c>
      <c r="L104" s="129">
        <v>140.78059999999999</v>
      </c>
      <c r="M104" s="129">
        <v>138.78620000000001</v>
      </c>
      <c r="N104" s="129">
        <v>137.0575</v>
      </c>
      <c r="O104" s="129">
        <v>142.18379999999999</v>
      </c>
      <c r="P104" s="129">
        <v>148.9487</v>
      </c>
      <c r="Q104" s="129">
        <v>153.18860000000001</v>
      </c>
      <c r="R104" s="129">
        <v>150.92959999999999</v>
      </c>
    </row>
    <row r="105" spans="1:18" ht="15">
      <c r="A105" s="141"/>
      <c r="B105" s="141"/>
      <c r="C105" s="141"/>
      <c r="D105" s="141"/>
      <c r="E105" s="301" t="s">
        <v>463</v>
      </c>
      <c r="F105" s="299">
        <v>5.2979395999999998E-2</v>
      </c>
      <c r="G105" s="129">
        <v>170.91480000000001</v>
      </c>
      <c r="H105" s="129">
        <v>171.15270000000001</v>
      </c>
      <c r="I105" s="129">
        <v>186.75309999999999</v>
      </c>
      <c r="J105" s="129">
        <v>194.83199999999999</v>
      </c>
      <c r="K105" s="129">
        <v>177.8794</v>
      </c>
      <c r="L105" s="129">
        <v>168.30240000000001</v>
      </c>
      <c r="M105" s="129">
        <v>156.96520000000001</v>
      </c>
      <c r="N105" s="129">
        <v>168.38210000000001</v>
      </c>
      <c r="O105" s="129">
        <v>175.1842</v>
      </c>
      <c r="P105" s="129">
        <v>188.90559999999999</v>
      </c>
      <c r="Q105" s="129">
        <v>192.94290000000001</v>
      </c>
      <c r="R105" s="129">
        <v>190.75129999999999</v>
      </c>
    </row>
    <row r="106" spans="1:18" ht="15">
      <c r="A106" s="141"/>
      <c r="B106" s="141"/>
      <c r="C106" s="141"/>
      <c r="D106" s="141"/>
      <c r="E106" s="301" t="s">
        <v>464</v>
      </c>
      <c r="F106" s="299">
        <v>3.9326712999999999E-2</v>
      </c>
      <c r="G106" s="129">
        <v>112.6776</v>
      </c>
      <c r="H106" s="129">
        <v>113.0885</v>
      </c>
      <c r="I106" s="129">
        <v>113.2649</v>
      </c>
      <c r="J106" s="129">
        <v>114.74720000000001</v>
      </c>
      <c r="K106" s="129">
        <v>112.20310000000001</v>
      </c>
      <c r="L106" s="129">
        <v>109.611</v>
      </c>
      <c r="M106" s="129">
        <v>110.2773</v>
      </c>
      <c r="N106" s="129">
        <v>116.61669999999999</v>
      </c>
      <c r="O106" s="129">
        <v>121.8391</v>
      </c>
      <c r="P106" s="129">
        <v>123.2127</v>
      </c>
      <c r="Q106" s="129">
        <v>122.19459999999999</v>
      </c>
      <c r="R106" s="129">
        <v>120.80549999999999</v>
      </c>
    </row>
    <row r="107" spans="1:18" ht="15">
      <c r="A107" s="141"/>
      <c r="B107" s="141"/>
      <c r="C107" s="141"/>
      <c r="D107" s="141" t="s">
        <v>465</v>
      </c>
      <c r="E107" s="301"/>
      <c r="F107" s="299">
        <v>8.1225897000000005E-2</v>
      </c>
      <c r="G107" s="129">
        <v>185.04159999999999</v>
      </c>
      <c r="H107" s="129">
        <v>192.18190000000001</v>
      </c>
      <c r="I107" s="129">
        <v>194.54920000000001</v>
      </c>
      <c r="J107" s="129">
        <v>198.86089999999999</v>
      </c>
      <c r="K107" s="129">
        <v>201.02090000000001</v>
      </c>
      <c r="L107" s="129">
        <v>201.24770000000001</v>
      </c>
      <c r="M107" s="129">
        <v>201.5044</v>
      </c>
      <c r="N107" s="129">
        <v>200.96899999999999</v>
      </c>
      <c r="O107" s="129">
        <v>200.84479999999999</v>
      </c>
      <c r="P107" s="129">
        <v>199.32490000000001</v>
      </c>
      <c r="Q107" s="129">
        <v>199.11920000000001</v>
      </c>
      <c r="R107" s="129">
        <v>198.00559999999999</v>
      </c>
    </row>
    <row r="108" spans="1:18" ht="15">
      <c r="A108" s="141"/>
      <c r="B108" s="141"/>
      <c r="C108" s="141"/>
      <c r="D108" s="141"/>
      <c r="E108" s="301" t="s">
        <v>466</v>
      </c>
      <c r="F108" s="300">
        <v>8.1225897000000005E-2</v>
      </c>
      <c r="G108" s="130">
        <v>185.04159999999999</v>
      </c>
      <c r="H108" s="130">
        <v>192.18190000000001</v>
      </c>
      <c r="I108" s="130">
        <v>194.54920000000001</v>
      </c>
      <c r="J108" s="130">
        <v>198.86089999999999</v>
      </c>
      <c r="K108" s="130">
        <v>201.02090000000001</v>
      </c>
      <c r="L108" s="130">
        <v>201.24770000000001</v>
      </c>
      <c r="M108" s="130">
        <v>201.5044</v>
      </c>
      <c r="N108" s="130">
        <v>200.96899999999999</v>
      </c>
      <c r="O108" s="130">
        <v>200.84479999999999</v>
      </c>
      <c r="P108" s="130">
        <v>199.32490000000001</v>
      </c>
      <c r="Q108" s="130">
        <v>199.11920000000001</v>
      </c>
      <c r="R108" s="130">
        <v>198.00559999999999</v>
      </c>
    </row>
    <row r="109" spans="1:18" ht="15">
      <c r="A109" s="141"/>
      <c r="B109" s="141"/>
      <c r="C109" s="141" t="s">
        <v>467</v>
      </c>
      <c r="D109" s="141"/>
      <c r="E109" s="301"/>
      <c r="F109" s="299">
        <v>3.42007577</v>
      </c>
      <c r="G109" s="129">
        <v>137.0258</v>
      </c>
      <c r="H109" s="129">
        <v>134.0849</v>
      </c>
      <c r="I109" s="129">
        <v>133.96889999999999</v>
      </c>
      <c r="J109" s="129">
        <v>133.39240000000001</v>
      </c>
      <c r="K109" s="129">
        <v>131.58760000000001</v>
      </c>
      <c r="L109" s="129">
        <v>130.8965</v>
      </c>
      <c r="M109" s="129">
        <v>131.55359999999999</v>
      </c>
      <c r="N109" s="129">
        <v>133.76750000000001</v>
      </c>
      <c r="O109" s="129">
        <v>135.83750000000001</v>
      </c>
      <c r="P109" s="129">
        <v>139.04929999999999</v>
      </c>
      <c r="Q109" s="129">
        <v>146.31100000000001</v>
      </c>
      <c r="R109" s="129">
        <v>149.74189999999999</v>
      </c>
    </row>
    <row r="110" spans="1:18" ht="15">
      <c r="A110" s="141"/>
      <c r="B110" s="141"/>
      <c r="C110" s="141"/>
      <c r="D110" s="141" t="s">
        <v>468</v>
      </c>
      <c r="E110" s="301"/>
      <c r="F110" s="299">
        <v>0.67050691799999995</v>
      </c>
      <c r="G110" s="129">
        <v>127.7345</v>
      </c>
      <c r="H110" s="129">
        <v>127.9217</v>
      </c>
      <c r="I110" s="129">
        <v>127.20529999999999</v>
      </c>
      <c r="J110" s="129">
        <v>129.0112</v>
      </c>
      <c r="K110" s="129">
        <v>128.5008</v>
      </c>
      <c r="L110" s="129">
        <v>129.86779999999999</v>
      </c>
      <c r="M110" s="129">
        <v>129.62350000000001</v>
      </c>
      <c r="N110" s="129">
        <v>129.9016</v>
      </c>
      <c r="O110" s="129">
        <v>131.21379999999999</v>
      </c>
      <c r="P110" s="129">
        <v>132.22550000000001</v>
      </c>
      <c r="Q110" s="129">
        <v>132.8271</v>
      </c>
      <c r="R110" s="129">
        <v>126.20829999999999</v>
      </c>
    </row>
    <row r="111" spans="1:18" ht="15">
      <c r="A111" s="141"/>
      <c r="B111" s="141"/>
      <c r="C111" s="141"/>
      <c r="D111" s="141"/>
      <c r="E111" s="301" t="s">
        <v>469</v>
      </c>
      <c r="F111" s="299">
        <v>0.346726005</v>
      </c>
      <c r="G111" s="129">
        <v>117.7878</v>
      </c>
      <c r="H111" s="129">
        <v>117.8959</v>
      </c>
      <c r="I111" s="129">
        <v>117.2889</v>
      </c>
      <c r="J111" s="129">
        <v>117.4521</v>
      </c>
      <c r="K111" s="129">
        <v>117.1636</v>
      </c>
      <c r="L111" s="129">
        <v>116.871</v>
      </c>
      <c r="M111" s="129">
        <v>116.4644</v>
      </c>
      <c r="N111" s="129">
        <v>116.0402</v>
      </c>
      <c r="O111" s="129">
        <v>115.167</v>
      </c>
      <c r="P111" s="129">
        <v>114.9665</v>
      </c>
      <c r="Q111" s="129">
        <v>114.3369</v>
      </c>
      <c r="R111" s="129">
        <v>114.4982</v>
      </c>
    </row>
    <row r="112" spans="1:18" ht="15">
      <c r="A112" s="141"/>
      <c r="B112" s="141"/>
      <c r="C112" s="141"/>
      <c r="D112" s="141"/>
      <c r="E112" s="301" t="s">
        <v>470</v>
      </c>
      <c r="F112" s="299">
        <v>0.126669425</v>
      </c>
      <c r="G112" s="129">
        <v>147.0044</v>
      </c>
      <c r="H112" s="129">
        <v>147.66900000000001</v>
      </c>
      <c r="I112" s="129">
        <v>148.8759</v>
      </c>
      <c r="J112" s="129">
        <v>149.27889999999999</v>
      </c>
      <c r="K112" s="129">
        <v>149.3433</v>
      </c>
      <c r="L112" s="129">
        <v>149.08690000000001</v>
      </c>
      <c r="M112" s="129">
        <v>148.9393</v>
      </c>
      <c r="N112" s="129">
        <v>148.44739999999999</v>
      </c>
      <c r="O112" s="129">
        <v>148.23580000000001</v>
      </c>
      <c r="P112" s="129">
        <v>147.6508</v>
      </c>
      <c r="Q112" s="129">
        <v>147.04220000000001</v>
      </c>
      <c r="R112" s="129">
        <v>147.32900000000001</v>
      </c>
    </row>
    <row r="113" spans="1:18" ht="15">
      <c r="A113" s="141"/>
      <c r="B113" s="141"/>
      <c r="C113" s="141"/>
      <c r="D113" s="141"/>
      <c r="E113" s="301" t="s">
        <v>471</v>
      </c>
      <c r="F113" s="281">
        <v>0.14597316399999999</v>
      </c>
      <c r="G113" s="129">
        <v>134.28399999999999</v>
      </c>
      <c r="H113" s="129">
        <v>134.31360000000001</v>
      </c>
      <c r="I113" s="129">
        <v>131.59399999999999</v>
      </c>
      <c r="J113" s="129">
        <v>139.47040000000001</v>
      </c>
      <c r="K113" s="129">
        <v>138.1027</v>
      </c>
      <c r="L113" s="129">
        <v>145.56540000000001</v>
      </c>
      <c r="M113" s="129">
        <v>145.7413</v>
      </c>
      <c r="N113" s="129">
        <v>148.72380000000001</v>
      </c>
      <c r="O113" s="129">
        <v>157.44200000000001</v>
      </c>
      <c r="P113" s="129">
        <v>163.2978</v>
      </c>
      <c r="Q113" s="129">
        <v>168.3596</v>
      </c>
      <c r="R113" s="129">
        <v>137.37029999999999</v>
      </c>
    </row>
    <row r="114" spans="1:18" ht="15">
      <c r="A114" s="141"/>
      <c r="B114" s="141"/>
      <c r="C114" s="141"/>
      <c r="D114" s="141"/>
      <c r="E114" s="301" t="s">
        <v>472</v>
      </c>
      <c r="F114" s="299">
        <v>5.1138323999999999E-2</v>
      </c>
      <c r="G114" s="129">
        <v>128.74809999999999</v>
      </c>
      <c r="H114" s="129">
        <v>128.7389</v>
      </c>
      <c r="I114" s="129">
        <v>128.23439999999999</v>
      </c>
      <c r="J114" s="129">
        <v>127.3248</v>
      </c>
      <c r="K114" s="129">
        <v>126.3336</v>
      </c>
      <c r="L114" s="129">
        <v>125.5744</v>
      </c>
      <c r="M114" s="129">
        <v>124.99120000000001</v>
      </c>
      <c r="N114" s="129">
        <v>124.218</v>
      </c>
      <c r="O114" s="129">
        <v>122.98260000000001</v>
      </c>
      <c r="P114" s="129">
        <v>122.34059999999999</v>
      </c>
      <c r="Q114" s="129">
        <v>121.5564</v>
      </c>
      <c r="R114" s="129">
        <v>121.4276</v>
      </c>
    </row>
    <row r="115" spans="1:18" ht="15">
      <c r="A115" s="141"/>
      <c r="B115" s="141"/>
      <c r="C115" s="141"/>
      <c r="D115" s="141" t="s">
        <v>473</v>
      </c>
      <c r="E115" s="301"/>
      <c r="F115" s="299">
        <v>0.83392449300000004</v>
      </c>
      <c r="G115" s="129">
        <v>147.67349999999999</v>
      </c>
      <c r="H115" s="129">
        <v>150.09909999999999</v>
      </c>
      <c r="I115" s="129">
        <v>149.9409</v>
      </c>
      <c r="J115" s="129">
        <v>147.88120000000001</v>
      </c>
      <c r="K115" s="129">
        <v>144.6438</v>
      </c>
      <c r="L115" s="129">
        <v>142.83099999999999</v>
      </c>
      <c r="M115" s="129">
        <v>150.22880000000001</v>
      </c>
      <c r="N115" s="129">
        <v>161.37020000000001</v>
      </c>
      <c r="O115" s="129">
        <v>166.9665</v>
      </c>
      <c r="P115" s="129">
        <v>170.9385</v>
      </c>
      <c r="Q115" s="129">
        <v>177.77520000000001</v>
      </c>
      <c r="R115" s="129">
        <v>180.25229999999999</v>
      </c>
    </row>
    <row r="116" spans="1:18" ht="15">
      <c r="A116" s="141"/>
      <c r="B116" s="141"/>
      <c r="C116" s="141"/>
      <c r="D116" s="141"/>
      <c r="E116" s="301" t="s">
        <v>474</v>
      </c>
      <c r="F116" s="299">
        <v>0.34514408400000002</v>
      </c>
      <c r="G116" s="129">
        <v>135.58420000000001</v>
      </c>
      <c r="H116" s="129">
        <v>136.06720000000001</v>
      </c>
      <c r="I116" s="129">
        <v>136.62780000000001</v>
      </c>
      <c r="J116" s="129">
        <v>142.74340000000001</v>
      </c>
      <c r="K116" s="129">
        <v>145.67930000000001</v>
      </c>
      <c r="L116" s="129">
        <v>146.75829999999999</v>
      </c>
      <c r="M116" s="129">
        <v>160.5761</v>
      </c>
      <c r="N116" s="129">
        <v>186.28960000000001</v>
      </c>
      <c r="O116" s="129">
        <v>198.0789</v>
      </c>
      <c r="P116" s="129">
        <v>205.68039999999999</v>
      </c>
      <c r="Q116" s="129">
        <v>209.8604</v>
      </c>
      <c r="R116" s="129">
        <v>213.1481</v>
      </c>
    </row>
    <row r="117" spans="1:18" ht="15">
      <c r="A117" s="141"/>
      <c r="B117" s="141"/>
      <c r="C117" s="141"/>
      <c r="D117" s="141"/>
      <c r="E117" s="301" t="s">
        <v>475</v>
      </c>
      <c r="F117" s="299">
        <v>0.23831496899999999</v>
      </c>
      <c r="G117" s="129">
        <v>172.68430000000001</v>
      </c>
      <c r="H117" s="129">
        <v>176.5754</v>
      </c>
      <c r="I117" s="129">
        <v>179.69499999999999</v>
      </c>
      <c r="J117" s="129">
        <v>167.5667</v>
      </c>
      <c r="K117" s="129">
        <v>152.63570000000001</v>
      </c>
      <c r="L117" s="129">
        <v>146.56450000000001</v>
      </c>
      <c r="M117" s="129">
        <v>146.92310000000001</v>
      </c>
      <c r="N117" s="129">
        <v>144.5308</v>
      </c>
      <c r="O117" s="129">
        <v>148.3862</v>
      </c>
      <c r="P117" s="129">
        <v>150.43469999999999</v>
      </c>
      <c r="Q117" s="129">
        <v>165.29769999999999</v>
      </c>
      <c r="R117" s="129">
        <v>168.6515</v>
      </c>
    </row>
    <row r="118" spans="1:18" ht="15">
      <c r="A118" s="141"/>
      <c r="B118" s="141"/>
      <c r="C118" s="141"/>
      <c r="D118" s="141"/>
      <c r="E118" s="301" t="s">
        <v>476</v>
      </c>
      <c r="F118" s="299">
        <v>8.8326563999999996E-2</v>
      </c>
      <c r="G118" s="129">
        <v>143.72640000000001</v>
      </c>
      <c r="H118" s="129">
        <v>144.69489999999999</v>
      </c>
      <c r="I118" s="129">
        <v>144.09710000000001</v>
      </c>
      <c r="J118" s="129">
        <v>144.11259999999999</v>
      </c>
      <c r="K118" s="129">
        <v>145.36359999999999</v>
      </c>
      <c r="L118" s="129">
        <v>148.62180000000001</v>
      </c>
      <c r="M118" s="129">
        <v>167.56800000000001</v>
      </c>
      <c r="N118" s="129">
        <v>168.77070000000001</v>
      </c>
      <c r="O118" s="129">
        <v>162.63149999999999</v>
      </c>
      <c r="P118" s="129">
        <v>157.7826</v>
      </c>
      <c r="Q118" s="129">
        <v>153.6583</v>
      </c>
      <c r="R118" s="129">
        <v>151.0814</v>
      </c>
    </row>
    <row r="119" spans="1:18" ht="15">
      <c r="A119" s="141"/>
      <c r="B119" s="141"/>
      <c r="C119" s="141"/>
      <c r="D119" s="141"/>
      <c r="E119" s="301" t="s">
        <v>477</v>
      </c>
      <c r="F119" s="299">
        <v>8.9533376999999997E-2</v>
      </c>
      <c r="G119" s="129">
        <v>116.7349</v>
      </c>
      <c r="H119" s="129">
        <v>115.7689</v>
      </c>
      <c r="I119" s="129">
        <v>113.8618</v>
      </c>
      <c r="J119" s="129">
        <v>111.55929999999999</v>
      </c>
      <c r="K119" s="129">
        <v>109.992</v>
      </c>
      <c r="L119" s="129">
        <v>108.873</v>
      </c>
      <c r="M119" s="129">
        <v>109.0395</v>
      </c>
      <c r="N119" s="129">
        <v>111.6314</v>
      </c>
      <c r="O119" s="129">
        <v>114.3814</v>
      </c>
      <c r="P119" s="129">
        <v>118.44759999999999</v>
      </c>
      <c r="Q119" s="129">
        <v>126.3021</v>
      </c>
      <c r="R119" s="129">
        <v>129.16999999999999</v>
      </c>
    </row>
    <row r="120" spans="1:18" ht="15">
      <c r="A120" s="141"/>
      <c r="B120" s="141"/>
      <c r="C120" s="141"/>
      <c r="D120" s="141"/>
      <c r="E120" s="301" t="s">
        <v>478</v>
      </c>
      <c r="F120" s="299">
        <v>7.2605500000000003E-2</v>
      </c>
      <c r="G120" s="129">
        <v>166.00190000000001</v>
      </c>
      <c r="H120" s="129">
        <v>178.80719999999999</v>
      </c>
      <c r="I120" s="129">
        <v>167.16419999999999</v>
      </c>
      <c r="J120" s="129">
        <v>157.065</v>
      </c>
      <c r="K120" s="129">
        <v>155.34399999999999</v>
      </c>
      <c r="L120" s="129">
        <v>146.738</v>
      </c>
      <c r="M120" s="129">
        <v>141.59059999999999</v>
      </c>
      <c r="N120" s="129">
        <v>150.51580000000001</v>
      </c>
      <c r="O120" s="129">
        <v>150.173</v>
      </c>
      <c r="P120" s="129">
        <v>153.8203</v>
      </c>
      <c r="Q120" s="129">
        <v>159.0204</v>
      </c>
      <c r="R120" s="129">
        <v>160.43260000000001</v>
      </c>
    </row>
    <row r="121" spans="1:18" ht="15">
      <c r="A121" s="141"/>
      <c r="B121" s="141"/>
      <c r="C121" s="141"/>
      <c r="D121" s="141" t="s">
        <v>479</v>
      </c>
      <c r="E121" s="301"/>
      <c r="F121" s="299">
        <v>1.56598686</v>
      </c>
      <c r="G121" s="129">
        <v>133.89570000000001</v>
      </c>
      <c r="H121" s="129">
        <v>125.98520000000001</v>
      </c>
      <c r="I121" s="129">
        <v>126.026</v>
      </c>
      <c r="J121" s="129">
        <v>124.95659999999999</v>
      </c>
      <c r="K121" s="129">
        <v>122.77809999999999</v>
      </c>
      <c r="L121" s="129">
        <v>121.4502</v>
      </c>
      <c r="M121" s="129">
        <v>118.9333</v>
      </c>
      <c r="N121" s="129">
        <v>117.571</v>
      </c>
      <c r="O121" s="129">
        <v>118.3415</v>
      </c>
      <c r="P121" s="129">
        <v>122.57389999999999</v>
      </c>
      <c r="Q121" s="129">
        <v>134.40049999999999</v>
      </c>
      <c r="R121" s="129">
        <v>143.2861</v>
      </c>
    </row>
    <row r="122" spans="1:18" ht="15">
      <c r="A122" s="141"/>
      <c r="B122" s="141"/>
      <c r="C122" s="141"/>
      <c r="D122" s="141"/>
      <c r="E122" s="301" t="s">
        <v>480</v>
      </c>
      <c r="F122" s="299">
        <v>0.39736131200000002</v>
      </c>
      <c r="G122" s="129">
        <v>111.02160000000001</v>
      </c>
      <c r="H122" s="129">
        <v>93.941900000000004</v>
      </c>
      <c r="I122" s="129">
        <v>90.383600000000001</v>
      </c>
      <c r="J122" s="129">
        <v>92.731700000000004</v>
      </c>
      <c r="K122" s="129">
        <v>97.153800000000004</v>
      </c>
      <c r="L122" s="129">
        <v>98.533299999999997</v>
      </c>
      <c r="M122" s="129">
        <v>96.561499999999995</v>
      </c>
      <c r="N122" s="129">
        <v>95.158299999999997</v>
      </c>
      <c r="O122" s="129">
        <v>97.9893</v>
      </c>
      <c r="P122" s="129">
        <v>98.384200000000007</v>
      </c>
      <c r="Q122" s="129">
        <v>102.93559999999999</v>
      </c>
      <c r="R122" s="129">
        <v>103.6717</v>
      </c>
    </row>
    <row r="123" spans="1:18" ht="15">
      <c r="A123" s="141"/>
      <c r="B123" s="141"/>
      <c r="C123" s="141"/>
      <c r="D123" s="141"/>
      <c r="E123" s="301" t="s">
        <v>481</v>
      </c>
      <c r="F123" s="299">
        <v>0.31935683500000001</v>
      </c>
      <c r="G123" s="129">
        <v>104.19</v>
      </c>
      <c r="H123" s="129">
        <v>100.9508</v>
      </c>
      <c r="I123" s="129">
        <v>103.3854</v>
      </c>
      <c r="J123" s="129">
        <v>105.0638</v>
      </c>
      <c r="K123" s="129">
        <v>104.953</v>
      </c>
      <c r="L123" s="129">
        <v>100.9234</v>
      </c>
      <c r="M123" s="129">
        <v>91.028800000000004</v>
      </c>
      <c r="N123" s="129">
        <v>87.572999999999993</v>
      </c>
      <c r="O123" s="129">
        <v>89.404499999999999</v>
      </c>
      <c r="P123" s="129">
        <v>90.803100000000001</v>
      </c>
      <c r="Q123" s="129">
        <v>93.217600000000004</v>
      </c>
      <c r="R123" s="129">
        <v>93.580799999999996</v>
      </c>
    </row>
    <row r="124" spans="1:18" ht="15">
      <c r="A124" s="141"/>
      <c r="B124" s="141"/>
      <c r="C124" s="141"/>
      <c r="D124" s="141"/>
      <c r="E124" s="301" t="s">
        <v>482</v>
      </c>
      <c r="F124" s="299">
        <v>0.23791790099999999</v>
      </c>
      <c r="G124" s="129">
        <v>179.0685</v>
      </c>
      <c r="H124" s="129">
        <v>154.0197</v>
      </c>
      <c r="I124" s="129">
        <v>160.30500000000001</v>
      </c>
      <c r="J124" s="129">
        <v>152.1722</v>
      </c>
      <c r="K124" s="129">
        <v>137.55799999999999</v>
      </c>
      <c r="L124" s="129">
        <v>127.49850000000001</v>
      </c>
      <c r="M124" s="129">
        <v>131.46969999999999</v>
      </c>
      <c r="N124" s="129">
        <v>132.45179999999999</v>
      </c>
      <c r="O124" s="129">
        <v>128.4614</v>
      </c>
      <c r="P124" s="129">
        <v>135.28039999999999</v>
      </c>
      <c r="Q124" s="129">
        <v>169.17869999999999</v>
      </c>
      <c r="R124" s="129">
        <v>196.83629999999999</v>
      </c>
    </row>
    <row r="125" spans="1:18" ht="15">
      <c r="A125" s="141"/>
      <c r="B125" s="141"/>
      <c r="C125" s="141"/>
      <c r="D125" s="141"/>
      <c r="E125" s="301" t="s">
        <v>483</v>
      </c>
      <c r="F125" s="299">
        <v>0.13071544399999999</v>
      </c>
      <c r="G125" s="129">
        <v>156.935</v>
      </c>
      <c r="H125" s="129">
        <v>152.64400000000001</v>
      </c>
      <c r="I125" s="129">
        <v>147.43969999999999</v>
      </c>
      <c r="J125" s="129">
        <v>141.5677</v>
      </c>
      <c r="K125" s="129">
        <v>142.28380000000001</v>
      </c>
      <c r="L125" s="129">
        <v>143.97829999999999</v>
      </c>
      <c r="M125" s="129">
        <v>144.42789999999999</v>
      </c>
      <c r="N125" s="129">
        <v>142.64009999999999</v>
      </c>
      <c r="O125" s="129">
        <v>142.99340000000001</v>
      </c>
      <c r="P125" s="129">
        <v>158.38740000000001</v>
      </c>
      <c r="Q125" s="129">
        <v>183.19749999999999</v>
      </c>
      <c r="R125" s="129">
        <v>214.01820000000001</v>
      </c>
    </row>
    <row r="126" spans="1:18" ht="15">
      <c r="A126" s="141"/>
      <c r="B126" s="141"/>
      <c r="C126" s="141"/>
      <c r="D126" s="141"/>
      <c r="E126" s="301" t="s">
        <v>484</v>
      </c>
      <c r="F126" s="299">
        <v>8.8358036000000001E-2</v>
      </c>
      <c r="G126" s="129">
        <v>147.21459999999999</v>
      </c>
      <c r="H126" s="129">
        <v>143.12639999999999</v>
      </c>
      <c r="I126" s="129">
        <v>143.43790000000001</v>
      </c>
      <c r="J126" s="129">
        <v>142.40799999999999</v>
      </c>
      <c r="K126" s="129">
        <v>143.66399999999999</v>
      </c>
      <c r="L126" s="129">
        <v>143.45269999999999</v>
      </c>
      <c r="M126" s="129">
        <v>144.999</v>
      </c>
      <c r="N126" s="129">
        <v>147.60400000000001</v>
      </c>
      <c r="O126" s="129">
        <v>150.95160000000001</v>
      </c>
      <c r="P126" s="129">
        <v>154.27520000000001</v>
      </c>
      <c r="Q126" s="129">
        <v>161.547</v>
      </c>
      <c r="R126" s="129">
        <v>168.97049999999999</v>
      </c>
    </row>
    <row r="127" spans="1:18" ht="15">
      <c r="A127" s="141"/>
      <c r="B127" s="141"/>
      <c r="C127" s="141"/>
      <c r="D127" s="141"/>
      <c r="E127" s="301" t="s">
        <v>485</v>
      </c>
      <c r="F127" s="299">
        <v>9.8471623999999994E-2</v>
      </c>
      <c r="G127" s="129">
        <v>144.3613</v>
      </c>
      <c r="H127" s="129">
        <v>143.25970000000001</v>
      </c>
      <c r="I127" s="129">
        <v>140.72280000000001</v>
      </c>
      <c r="J127" s="129">
        <v>139.03479999999999</v>
      </c>
      <c r="K127" s="129">
        <v>138.76230000000001</v>
      </c>
      <c r="L127" s="129">
        <v>138.2602</v>
      </c>
      <c r="M127" s="129">
        <v>136.94040000000001</v>
      </c>
      <c r="N127" s="129">
        <v>137.30529999999999</v>
      </c>
      <c r="O127" s="129">
        <v>137.8897</v>
      </c>
      <c r="P127" s="129">
        <v>142.76650000000001</v>
      </c>
      <c r="Q127" s="129">
        <v>145.22659999999999</v>
      </c>
      <c r="R127" s="129">
        <v>145.82159999999999</v>
      </c>
    </row>
    <row r="128" spans="1:18" ht="15">
      <c r="A128" s="141"/>
      <c r="B128" s="141"/>
      <c r="C128" s="141"/>
      <c r="D128" s="141"/>
      <c r="E128" s="301" t="s">
        <v>486</v>
      </c>
      <c r="F128" s="299">
        <v>6.6488028000000005E-2</v>
      </c>
      <c r="G128" s="129">
        <v>132.3075</v>
      </c>
      <c r="H128" s="129">
        <v>132.59819999999999</v>
      </c>
      <c r="I128" s="129">
        <v>125.1279</v>
      </c>
      <c r="J128" s="129">
        <v>124.0287</v>
      </c>
      <c r="K128" s="129">
        <v>124.6082</v>
      </c>
      <c r="L128" s="129">
        <v>131.33799999999999</v>
      </c>
      <c r="M128" s="129">
        <v>121.5724</v>
      </c>
      <c r="N128" s="129">
        <v>119.62390000000001</v>
      </c>
      <c r="O128" s="129">
        <v>126.7611</v>
      </c>
      <c r="P128" s="129">
        <v>142.7182</v>
      </c>
      <c r="Q128" s="129">
        <v>153.59819999999999</v>
      </c>
      <c r="R128" s="129">
        <v>152.9871</v>
      </c>
    </row>
    <row r="129" spans="1:18" ht="15">
      <c r="A129" s="141"/>
      <c r="B129" s="141"/>
      <c r="C129" s="141"/>
      <c r="D129" s="141"/>
      <c r="E129" s="301" t="s">
        <v>487</v>
      </c>
      <c r="F129" s="299">
        <v>4.4751204000000003E-2</v>
      </c>
      <c r="G129" s="129">
        <v>156.4632</v>
      </c>
      <c r="H129" s="129">
        <v>199.19720000000001</v>
      </c>
      <c r="I129" s="129">
        <v>206.03380000000001</v>
      </c>
      <c r="J129" s="129">
        <v>210.10910000000001</v>
      </c>
      <c r="K129" s="129">
        <v>186.31489999999999</v>
      </c>
      <c r="L129" s="129">
        <v>167.60489999999999</v>
      </c>
      <c r="M129" s="129">
        <v>157.51910000000001</v>
      </c>
      <c r="N129" s="129">
        <v>154.61349999999999</v>
      </c>
      <c r="O129" s="129">
        <v>155.96960000000001</v>
      </c>
      <c r="P129" s="129">
        <v>157.44829999999999</v>
      </c>
      <c r="Q129" s="129">
        <v>172.31229999999999</v>
      </c>
      <c r="R129" s="129">
        <v>181.51179999999999</v>
      </c>
    </row>
    <row r="130" spans="1:18" ht="15">
      <c r="A130" s="141"/>
      <c r="B130" s="141"/>
      <c r="C130" s="141"/>
      <c r="D130" s="141"/>
      <c r="E130" s="301" t="s">
        <v>488</v>
      </c>
      <c r="F130" s="299">
        <v>6.1857007999999998E-2</v>
      </c>
      <c r="G130" s="129">
        <v>141.71289999999999</v>
      </c>
      <c r="H130" s="129">
        <v>138.46350000000001</v>
      </c>
      <c r="I130" s="129">
        <v>143.88380000000001</v>
      </c>
      <c r="J130" s="129">
        <v>146.33340000000001</v>
      </c>
      <c r="K130" s="129">
        <v>140.86490000000001</v>
      </c>
      <c r="L130" s="129">
        <v>155.9907</v>
      </c>
      <c r="M130" s="129">
        <v>158.4913</v>
      </c>
      <c r="N130" s="129">
        <v>145.554</v>
      </c>
      <c r="O130" s="129">
        <v>137.05959999999999</v>
      </c>
      <c r="P130" s="129">
        <v>134.19149999999999</v>
      </c>
      <c r="Q130" s="129">
        <v>148.78280000000001</v>
      </c>
      <c r="R130" s="129">
        <v>179.47130000000001</v>
      </c>
    </row>
    <row r="131" spans="1:18" ht="15">
      <c r="A131" s="141"/>
      <c r="B131" s="141"/>
      <c r="C131" s="141"/>
      <c r="D131" s="141"/>
      <c r="E131" s="301" t="s">
        <v>489</v>
      </c>
      <c r="F131" s="299">
        <v>4.2060798000000003E-2</v>
      </c>
      <c r="G131" s="129">
        <v>160.0061</v>
      </c>
      <c r="H131" s="129">
        <v>157.75880000000001</v>
      </c>
      <c r="I131" s="129">
        <v>156.2987</v>
      </c>
      <c r="J131" s="129">
        <v>155.6977</v>
      </c>
      <c r="K131" s="129">
        <v>155.31309999999999</v>
      </c>
      <c r="L131" s="129">
        <v>161.8913</v>
      </c>
      <c r="M131" s="129">
        <v>164.9999</v>
      </c>
      <c r="N131" s="129">
        <v>176.25880000000001</v>
      </c>
      <c r="O131" s="129">
        <v>175.95689999999999</v>
      </c>
      <c r="P131" s="129">
        <v>174.60290000000001</v>
      </c>
      <c r="Q131" s="129">
        <v>167.95580000000001</v>
      </c>
      <c r="R131" s="129">
        <v>168.03700000000001</v>
      </c>
    </row>
    <row r="132" spans="1:18" ht="15">
      <c r="A132" s="141"/>
      <c r="B132" s="141"/>
      <c r="C132" s="141"/>
      <c r="D132" s="141"/>
      <c r="E132" s="301" t="s">
        <v>490</v>
      </c>
      <c r="F132" s="299">
        <v>2.4961491999999998E-2</v>
      </c>
      <c r="G132" s="129">
        <v>132.81970000000001</v>
      </c>
      <c r="H132" s="129">
        <v>150.46719999999999</v>
      </c>
      <c r="I132" s="129">
        <v>162.28059999999999</v>
      </c>
      <c r="J132" s="129">
        <v>151.16220000000001</v>
      </c>
      <c r="K132" s="129">
        <v>134.37790000000001</v>
      </c>
      <c r="L132" s="129">
        <v>132.6421</v>
      </c>
      <c r="M132" s="129">
        <v>129.3321</v>
      </c>
      <c r="N132" s="129">
        <v>126.3985</v>
      </c>
      <c r="O132" s="129">
        <v>125.01519999999999</v>
      </c>
      <c r="P132" s="129">
        <v>138.27889999999999</v>
      </c>
      <c r="Q132" s="129">
        <v>160.1207</v>
      </c>
      <c r="R132" s="129">
        <v>163.2961</v>
      </c>
    </row>
    <row r="133" spans="1:18" ht="15">
      <c r="A133" s="141"/>
      <c r="B133" s="141"/>
      <c r="C133" s="141"/>
      <c r="D133" s="141"/>
      <c r="E133" s="301" t="s">
        <v>491</v>
      </c>
      <c r="F133" s="299">
        <v>2.5775829E-2</v>
      </c>
      <c r="G133" s="129">
        <v>144.08199999999999</v>
      </c>
      <c r="H133" s="129">
        <v>146.43809999999999</v>
      </c>
      <c r="I133" s="129">
        <v>138.6224</v>
      </c>
      <c r="J133" s="129">
        <v>136.7773</v>
      </c>
      <c r="K133" s="129">
        <v>142.12889999999999</v>
      </c>
      <c r="L133" s="129">
        <v>139.20650000000001</v>
      </c>
      <c r="M133" s="129">
        <v>136.96860000000001</v>
      </c>
      <c r="N133" s="129">
        <v>136.70859999999999</v>
      </c>
      <c r="O133" s="129">
        <v>141.5625</v>
      </c>
      <c r="P133" s="129">
        <v>150.76920000000001</v>
      </c>
      <c r="Q133" s="129">
        <v>176.0729</v>
      </c>
      <c r="R133" s="129">
        <v>169.65</v>
      </c>
    </row>
    <row r="134" spans="1:18" ht="15">
      <c r="A134" s="141"/>
      <c r="B134" s="141"/>
      <c r="C134" s="141"/>
      <c r="D134" s="141"/>
      <c r="E134" s="301" t="s">
        <v>492</v>
      </c>
      <c r="F134" s="299">
        <v>2.7911353E-2</v>
      </c>
      <c r="G134" s="129">
        <v>129.87450000000001</v>
      </c>
      <c r="H134" s="129">
        <v>140.1318</v>
      </c>
      <c r="I134" s="129">
        <v>137.65809999999999</v>
      </c>
      <c r="J134" s="129">
        <v>134.27189999999999</v>
      </c>
      <c r="K134" s="129">
        <v>128.10140000000001</v>
      </c>
      <c r="L134" s="129">
        <v>135.09649999999999</v>
      </c>
      <c r="M134" s="129">
        <v>133.21190000000001</v>
      </c>
      <c r="N134" s="129">
        <v>130.63079999999999</v>
      </c>
      <c r="O134" s="129">
        <v>129.16210000000001</v>
      </c>
      <c r="P134" s="129">
        <v>134.70140000000001</v>
      </c>
      <c r="Q134" s="129">
        <v>154.00720000000001</v>
      </c>
      <c r="R134" s="129">
        <v>153.87520000000001</v>
      </c>
    </row>
    <row r="135" spans="1:18" ht="15">
      <c r="A135" s="141"/>
      <c r="B135" s="141"/>
      <c r="C135" s="141"/>
      <c r="D135" s="141" t="s">
        <v>493</v>
      </c>
      <c r="E135" s="301"/>
      <c r="F135" s="299">
        <v>0.245648117</v>
      </c>
      <c r="G135" s="129">
        <v>149.41329999999999</v>
      </c>
      <c r="H135" s="129">
        <v>150.08869999999999</v>
      </c>
      <c r="I135" s="129">
        <v>150.67330000000001</v>
      </c>
      <c r="J135" s="129">
        <v>151.50489999999999</v>
      </c>
      <c r="K135" s="129">
        <v>152.61359999999999</v>
      </c>
      <c r="L135" s="129">
        <v>153.8596</v>
      </c>
      <c r="M135" s="129">
        <v>154.5806</v>
      </c>
      <c r="N135" s="129">
        <v>155.44710000000001</v>
      </c>
      <c r="O135" s="129">
        <v>156.70599999999999</v>
      </c>
      <c r="P135" s="129">
        <v>158.20679999999999</v>
      </c>
      <c r="Q135" s="129">
        <v>158.946</v>
      </c>
      <c r="R135" s="129">
        <v>159.6078</v>
      </c>
    </row>
    <row r="136" spans="1:18" ht="15">
      <c r="A136" s="141"/>
      <c r="B136" s="141"/>
      <c r="C136" s="141"/>
      <c r="D136" s="141"/>
      <c r="E136" s="301" t="s">
        <v>494</v>
      </c>
      <c r="F136" s="299">
        <v>0.14734098800000001</v>
      </c>
      <c r="G136" s="129">
        <v>147.81700000000001</v>
      </c>
      <c r="H136" s="129">
        <v>148.62790000000001</v>
      </c>
      <c r="I136" s="129">
        <v>149.63849999999999</v>
      </c>
      <c r="J136" s="129">
        <v>150.81479999999999</v>
      </c>
      <c r="K136" s="129">
        <v>152.02029999999999</v>
      </c>
      <c r="L136" s="129">
        <v>153.30009999999999</v>
      </c>
      <c r="M136" s="129">
        <v>154.3723</v>
      </c>
      <c r="N136" s="129">
        <v>155.5317</v>
      </c>
      <c r="O136" s="129">
        <v>157.24</v>
      </c>
      <c r="P136" s="129">
        <v>159.14019999999999</v>
      </c>
      <c r="Q136" s="129">
        <v>160.14160000000001</v>
      </c>
      <c r="R136" s="129">
        <v>161.06180000000001</v>
      </c>
    </row>
    <row r="137" spans="1:18" ht="15">
      <c r="A137" s="141"/>
      <c r="B137" s="141"/>
      <c r="C137" s="141"/>
      <c r="D137" s="141"/>
      <c r="E137" s="301" t="s">
        <v>495</v>
      </c>
      <c r="F137" s="299">
        <v>9.8307128999999993E-2</v>
      </c>
      <c r="G137" s="129">
        <v>151.8057</v>
      </c>
      <c r="H137" s="129">
        <v>152.27809999999999</v>
      </c>
      <c r="I137" s="129">
        <v>152.2243</v>
      </c>
      <c r="J137" s="129">
        <v>152.5393</v>
      </c>
      <c r="K137" s="129">
        <v>153.50290000000001</v>
      </c>
      <c r="L137" s="129">
        <v>154.69820000000001</v>
      </c>
      <c r="M137" s="129">
        <v>154.8929</v>
      </c>
      <c r="N137" s="129">
        <v>155.32040000000001</v>
      </c>
      <c r="O137" s="129">
        <v>155.90549999999999</v>
      </c>
      <c r="P137" s="129">
        <v>156.80770000000001</v>
      </c>
      <c r="Q137" s="129">
        <v>157.1541</v>
      </c>
      <c r="R137" s="129">
        <v>157.42859999999999</v>
      </c>
    </row>
    <row r="138" spans="1:18" ht="15">
      <c r="A138" s="141"/>
      <c r="B138" s="141"/>
      <c r="C138" s="141"/>
      <c r="D138" s="141" t="s">
        <v>496</v>
      </c>
      <c r="E138" s="301"/>
      <c r="F138" s="299">
        <v>0.104009381</v>
      </c>
      <c r="G138" s="129">
        <v>129.42269999999999</v>
      </c>
      <c r="H138" s="129">
        <v>129.5728</v>
      </c>
      <c r="I138" s="129">
        <v>129.64779999999999</v>
      </c>
      <c r="J138" s="129">
        <v>129.70310000000001</v>
      </c>
      <c r="K138" s="129">
        <v>129.78440000000001</v>
      </c>
      <c r="L138" s="129">
        <v>129.83279999999999</v>
      </c>
      <c r="M138" s="129">
        <v>129.88980000000001</v>
      </c>
      <c r="N138" s="129">
        <v>130.0335</v>
      </c>
      <c r="O138" s="129">
        <v>130.19499999999999</v>
      </c>
      <c r="P138" s="129">
        <v>130.17080000000001</v>
      </c>
      <c r="Q138" s="129">
        <v>130.4487</v>
      </c>
      <c r="R138" s="129">
        <v>130.7243</v>
      </c>
    </row>
    <row r="139" spans="1:18" ht="15">
      <c r="A139" s="141"/>
      <c r="B139" s="141"/>
      <c r="C139" s="141"/>
      <c r="D139" s="141"/>
      <c r="E139" s="301" t="s">
        <v>497</v>
      </c>
      <c r="F139" s="299">
        <v>6.0072430000000003E-2</v>
      </c>
      <c r="G139" s="129">
        <v>125.2128</v>
      </c>
      <c r="H139" s="129">
        <v>125.29989999999999</v>
      </c>
      <c r="I139" s="129">
        <v>125.3691</v>
      </c>
      <c r="J139" s="129">
        <v>125.3663</v>
      </c>
      <c r="K139" s="129">
        <v>125.428</v>
      </c>
      <c r="L139" s="129">
        <v>125.4556</v>
      </c>
      <c r="M139" s="129">
        <v>125.5685</v>
      </c>
      <c r="N139" s="129">
        <v>125.6806</v>
      </c>
      <c r="O139" s="129">
        <v>125.79049999999999</v>
      </c>
      <c r="P139" s="129">
        <v>125.6794</v>
      </c>
      <c r="Q139" s="129">
        <v>125.8481</v>
      </c>
      <c r="R139" s="129">
        <v>126.1951</v>
      </c>
    </row>
    <row r="140" spans="1:18" ht="15">
      <c r="A140" s="141"/>
      <c r="B140" s="141"/>
      <c r="C140" s="141"/>
      <c r="D140" s="141"/>
      <c r="E140" s="301" t="s">
        <v>498</v>
      </c>
      <c r="F140" s="299">
        <v>4.3936951000000002E-2</v>
      </c>
      <c r="G140" s="129">
        <v>135.17869999999999</v>
      </c>
      <c r="H140" s="129">
        <v>135.41499999999999</v>
      </c>
      <c r="I140" s="129">
        <v>135.49780000000001</v>
      </c>
      <c r="J140" s="129">
        <v>135.6326</v>
      </c>
      <c r="K140" s="129">
        <v>135.74080000000001</v>
      </c>
      <c r="L140" s="129">
        <v>135.81739999999999</v>
      </c>
      <c r="M140" s="129">
        <v>135.79820000000001</v>
      </c>
      <c r="N140" s="129">
        <v>135.98490000000001</v>
      </c>
      <c r="O140" s="129">
        <v>136.21700000000001</v>
      </c>
      <c r="P140" s="129">
        <v>136.3115</v>
      </c>
      <c r="Q140" s="129">
        <v>136.7388</v>
      </c>
      <c r="R140" s="129">
        <v>136.91679999999999</v>
      </c>
    </row>
    <row r="141" spans="1:18" ht="15" customHeight="1">
      <c r="A141" s="141"/>
      <c r="B141" s="141"/>
      <c r="C141" s="141" t="s">
        <v>499</v>
      </c>
      <c r="D141" s="141"/>
      <c r="E141" s="301"/>
      <c r="F141" s="299">
        <v>0.62855216700000005</v>
      </c>
      <c r="G141" s="129">
        <v>138.49969999999999</v>
      </c>
      <c r="H141" s="129">
        <v>138.7998</v>
      </c>
      <c r="I141" s="129">
        <v>139.56479999999999</v>
      </c>
      <c r="J141" s="129">
        <v>139.93170000000001</v>
      </c>
      <c r="K141" s="129">
        <v>140.3817</v>
      </c>
      <c r="L141" s="129">
        <v>140.61529999999999</v>
      </c>
      <c r="M141" s="129">
        <v>140.8296</v>
      </c>
      <c r="N141" s="129">
        <v>141.08510000000001</v>
      </c>
      <c r="O141" s="129">
        <v>141.15260000000001</v>
      </c>
      <c r="P141" s="129">
        <v>142.01570000000001</v>
      </c>
      <c r="Q141" s="129">
        <v>142.63669999999999</v>
      </c>
      <c r="R141" s="129">
        <v>143.09559999999999</v>
      </c>
    </row>
    <row r="142" spans="1:18" ht="15">
      <c r="A142" s="141"/>
      <c r="B142" s="141"/>
      <c r="C142" s="141"/>
      <c r="D142" s="141" t="s">
        <v>500</v>
      </c>
      <c r="E142" s="301"/>
      <c r="F142" s="299">
        <v>0.43950768899999998</v>
      </c>
      <c r="G142" s="129">
        <v>137.03710000000001</v>
      </c>
      <c r="H142" s="129">
        <v>137.458</v>
      </c>
      <c r="I142" s="129">
        <v>138.16980000000001</v>
      </c>
      <c r="J142" s="129">
        <v>138.13339999999999</v>
      </c>
      <c r="K142" s="129">
        <v>138.12780000000001</v>
      </c>
      <c r="L142" s="129">
        <v>138.03700000000001</v>
      </c>
      <c r="M142" s="129">
        <v>138.1113</v>
      </c>
      <c r="N142" s="129">
        <v>138.1473</v>
      </c>
      <c r="O142" s="129">
        <v>138.1498</v>
      </c>
      <c r="P142" s="129">
        <v>138.3655</v>
      </c>
      <c r="Q142" s="129">
        <v>138.7199</v>
      </c>
      <c r="R142" s="129">
        <v>138.87799999999999</v>
      </c>
    </row>
    <row r="143" spans="1:18" ht="15">
      <c r="A143" s="141"/>
      <c r="B143" s="141"/>
      <c r="C143" s="141"/>
      <c r="D143" s="141"/>
      <c r="E143" s="301" t="s">
        <v>501</v>
      </c>
      <c r="F143" s="299">
        <v>0.38317603500000003</v>
      </c>
      <c r="G143" s="129">
        <v>135.36760000000001</v>
      </c>
      <c r="H143" s="129">
        <v>135.77950000000001</v>
      </c>
      <c r="I143" s="129">
        <v>136.49979999999999</v>
      </c>
      <c r="J143" s="129">
        <v>136.5172</v>
      </c>
      <c r="K143" s="129">
        <v>136.51230000000001</v>
      </c>
      <c r="L143" s="129">
        <v>136.48320000000001</v>
      </c>
      <c r="M143" s="129">
        <v>136.58879999999999</v>
      </c>
      <c r="N143" s="129">
        <v>136.57650000000001</v>
      </c>
      <c r="O143" s="129">
        <v>136.61320000000001</v>
      </c>
      <c r="P143" s="129">
        <v>136.94550000000001</v>
      </c>
      <c r="Q143" s="129">
        <v>137.36019999999999</v>
      </c>
      <c r="R143" s="129">
        <v>137.5574</v>
      </c>
    </row>
    <row r="144" spans="1:18" ht="15">
      <c r="A144" s="141"/>
      <c r="B144" s="141"/>
      <c r="C144" s="141"/>
      <c r="D144" s="141"/>
      <c r="E144" s="301" t="s">
        <v>502</v>
      </c>
      <c r="F144" s="299">
        <v>5.6331654000000002E-2</v>
      </c>
      <c r="G144" s="129">
        <v>148.39320000000001</v>
      </c>
      <c r="H144" s="129">
        <v>148.87530000000001</v>
      </c>
      <c r="I144" s="129">
        <v>149.52950000000001</v>
      </c>
      <c r="J144" s="129">
        <v>149.12710000000001</v>
      </c>
      <c r="K144" s="129">
        <v>149.11670000000001</v>
      </c>
      <c r="L144" s="129">
        <v>148.60659999999999</v>
      </c>
      <c r="M144" s="129">
        <v>148.46770000000001</v>
      </c>
      <c r="N144" s="129">
        <v>148.83170000000001</v>
      </c>
      <c r="O144" s="129">
        <v>148.6018</v>
      </c>
      <c r="P144" s="129">
        <v>148.0241</v>
      </c>
      <c r="Q144" s="129">
        <v>147.96899999999999</v>
      </c>
      <c r="R144" s="129">
        <v>147.86150000000001</v>
      </c>
    </row>
    <row r="145" spans="1:18" ht="15">
      <c r="A145" s="141"/>
      <c r="B145" s="141"/>
      <c r="C145" s="141"/>
      <c r="D145" s="141" t="s">
        <v>503</v>
      </c>
      <c r="E145" s="301"/>
      <c r="F145" s="299">
        <v>9.2491449000000003E-2</v>
      </c>
      <c r="G145" s="129">
        <v>136.26400000000001</v>
      </c>
      <c r="H145" s="129">
        <v>136.72139999999999</v>
      </c>
      <c r="I145" s="129">
        <v>137.74860000000001</v>
      </c>
      <c r="J145" s="129">
        <v>138.92959999999999</v>
      </c>
      <c r="K145" s="129">
        <v>140.6498</v>
      </c>
      <c r="L145" s="129">
        <v>141.54249999999999</v>
      </c>
      <c r="M145" s="129">
        <v>142.4144</v>
      </c>
      <c r="N145" s="129">
        <v>143.0445</v>
      </c>
      <c r="O145" s="129">
        <v>143.67359999999999</v>
      </c>
      <c r="P145" s="129">
        <v>144.39279999999999</v>
      </c>
      <c r="Q145" s="129">
        <v>145.06379999999999</v>
      </c>
      <c r="R145" s="129">
        <v>145.8039</v>
      </c>
    </row>
    <row r="146" spans="1:18" ht="15">
      <c r="A146" s="141"/>
      <c r="B146" s="141"/>
      <c r="C146" s="141"/>
      <c r="D146" s="141"/>
      <c r="E146" s="301" t="s">
        <v>504</v>
      </c>
      <c r="F146" s="299">
        <v>1.6052404999999999E-2</v>
      </c>
      <c r="G146" s="129">
        <v>141.9572</v>
      </c>
      <c r="H146" s="129">
        <v>143.38040000000001</v>
      </c>
      <c r="I146" s="129">
        <v>146.11529999999999</v>
      </c>
      <c r="J146" s="129">
        <v>148.04310000000001</v>
      </c>
      <c r="K146" s="129">
        <v>151.0823</v>
      </c>
      <c r="L146" s="129">
        <v>153.52029999999999</v>
      </c>
      <c r="M146" s="129">
        <v>155.04499999999999</v>
      </c>
      <c r="N146" s="129">
        <v>156.33500000000001</v>
      </c>
      <c r="O146" s="129">
        <v>157.85579999999999</v>
      </c>
      <c r="P146" s="129">
        <v>159.51660000000001</v>
      </c>
      <c r="Q146" s="129">
        <v>160.89060000000001</v>
      </c>
      <c r="R146" s="129">
        <v>161.54320000000001</v>
      </c>
    </row>
    <row r="147" spans="1:18" ht="15">
      <c r="A147" s="141"/>
      <c r="B147" s="141"/>
      <c r="C147" s="141"/>
      <c r="D147" s="141"/>
      <c r="E147" s="301" t="s">
        <v>505</v>
      </c>
      <c r="F147" s="299">
        <v>5.6640603999999997E-2</v>
      </c>
      <c r="G147" s="129">
        <v>127.1682</v>
      </c>
      <c r="H147" s="129">
        <v>127.2116</v>
      </c>
      <c r="I147" s="129">
        <v>128.0257</v>
      </c>
      <c r="J147" s="129">
        <v>129.24789999999999</v>
      </c>
      <c r="K147" s="129">
        <v>131.0095</v>
      </c>
      <c r="L147" s="129">
        <v>131.61529999999999</v>
      </c>
      <c r="M147" s="129">
        <v>132.3588</v>
      </c>
      <c r="N147" s="129">
        <v>132.78469999999999</v>
      </c>
      <c r="O147" s="129">
        <v>133.19820000000001</v>
      </c>
      <c r="P147" s="129">
        <v>133.64769999999999</v>
      </c>
      <c r="Q147" s="129">
        <v>133.98220000000001</v>
      </c>
      <c r="R147" s="129">
        <v>134.67679999999999</v>
      </c>
    </row>
    <row r="148" spans="1:18" ht="15">
      <c r="A148" s="141"/>
      <c r="B148" s="141"/>
      <c r="C148" s="141"/>
      <c r="D148" s="141"/>
      <c r="E148" s="301" t="s">
        <v>506</v>
      </c>
      <c r="F148" s="299">
        <v>1.979844E-2</v>
      </c>
      <c r="G148" s="129">
        <v>157.66990000000001</v>
      </c>
      <c r="H148" s="129">
        <v>158.52860000000001</v>
      </c>
      <c r="I148" s="129">
        <v>158.7808</v>
      </c>
      <c r="J148" s="129">
        <v>159.23820000000001</v>
      </c>
      <c r="K148" s="129">
        <v>159.77090000000001</v>
      </c>
      <c r="L148" s="129">
        <v>160.23140000000001</v>
      </c>
      <c r="M148" s="129">
        <v>160.94139999999999</v>
      </c>
      <c r="N148" s="129">
        <v>161.62029999999999</v>
      </c>
      <c r="O148" s="129">
        <v>162.14340000000001</v>
      </c>
      <c r="P148" s="129">
        <v>162.87110000000001</v>
      </c>
      <c r="Q148" s="129">
        <v>163.93469999999999</v>
      </c>
      <c r="R148" s="129">
        <v>164.8758</v>
      </c>
    </row>
    <row r="149" spans="1:18" ht="15">
      <c r="A149" s="141"/>
      <c r="B149" s="141"/>
      <c r="C149" s="141"/>
      <c r="D149" s="141" t="s">
        <v>507</v>
      </c>
      <c r="E149" s="301"/>
      <c r="F149" s="299">
        <v>9.6553029999999998E-2</v>
      </c>
      <c r="G149" s="129">
        <v>147.29920000000001</v>
      </c>
      <c r="H149" s="129">
        <v>146.8989</v>
      </c>
      <c r="I149" s="129">
        <v>147.65440000000001</v>
      </c>
      <c r="J149" s="129">
        <v>149.07730000000001</v>
      </c>
      <c r="K149" s="129">
        <v>150.38460000000001</v>
      </c>
      <c r="L149" s="129">
        <v>151.46340000000001</v>
      </c>
      <c r="M149" s="129">
        <v>151.6848</v>
      </c>
      <c r="N149" s="129">
        <v>152.5813</v>
      </c>
      <c r="O149" s="129">
        <v>152.40629999999999</v>
      </c>
      <c r="P149" s="129">
        <v>156.35409999999999</v>
      </c>
      <c r="Q149" s="129">
        <v>158.14109999999999</v>
      </c>
      <c r="R149" s="129">
        <v>159.69970000000001</v>
      </c>
    </row>
    <row r="150" spans="1:18" ht="15">
      <c r="A150" s="141"/>
      <c r="B150" s="141"/>
      <c r="C150" s="141"/>
      <c r="D150" s="141"/>
      <c r="E150" s="301" t="s">
        <v>508</v>
      </c>
      <c r="F150" s="299">
        <v>6.9688097000000004E-2</v>
      </c>
      <c r="G150" s="129">
        <v>156.01259999999999</v>
      </c>
      <c r="H150" s="129">
        <v>155.3477</v>
      </c>
      <c r="I150" s="129">
        <v>156.33699999999999</v>
      </c>
      <c r="J150" s="129">
        <v>157.90539999999999</v>
      </c>
      <c r="K150" s="129">
        <v>159.3717</v>
      </c>
      <c r="L150" s="129">
        <v>160.62639999999999</v>
      </c>
      <c r="M150" s="129">
        <v>160.76660000000001</v>
      </c>
      <c r="N150" s="129">
        <v>161.78909999999999</v>
      </c>
      <c r="O150" s="129">
        <v>161.24979999999999</v>
      </c>
      <c r="P150" s="129">
        <v>166.43549999999999</v>
      </c>
      <c r="Q150" s="129">
        <v>168.67330000000001</v>
      </c>
      <c r="R150" s="129">
        <v>170.64009999999999</v>
      </c>
    </row>
    <row r="151" spans="1:18" ht="15">
      <c r="A151" s="141"/>
      <c r="B151" s="141"/>
      <c r="C151" s="141"/>
      <c r="D151" s="141"/>
      <c r="E151" s="301" t="s">
        <v>509</v>
      </c>
      <c r="F151" s="299">
        <v>2.6864932000000001E-2</v>
      </c>
      <c r="G151" s="129">
        <v>124.69670000000001</v>
      </c>
      <c r="H151" s="129">
        <v>124.98260000000001</v>
      </c>
      <c r="I151" s="129">
        <v>125.1314</v>
      </c>
      <c r="J151" s="129">
        <v>126.17700000000001</v>
      </c>
      <c r="K151" s="129">
        <v>127.07170000000001</v>
      </c>
      <c r="L151" s="129">
        <v>127.6943</v>
      </c>
      <c r="M151" s="129">
        <v>128.12649999999999</v>
      </c>
      <c r="N151" s="129">
        <v>128.696</v>
      </c>
      <c r="O151" s="129">
        <v>129.46610000000001</v>
      </c>
      <c r="P151" s="129">
        <v>130.2028</v>
      </c>
      <c r="Q151" s="129">
        <v>130.8202</v>
      </c>
      <c r="R151" s="129">
        <v>131.31979999999999</v>
      </c>
    </row>
    <row r="152" spans="1:18" ht="15">
      <c r="A152" s="141"/>
      <c r="B152" s="141"/>
      <c r="C152" s="141" t="s">
        <v>510</v>
      </c>
      <c r="D152" s="141"/>
      <c r="E152" s="301"/>
      <c r="F152" s="299">
        <v>1.2906004</v>
      </c>
      <c r="G152" s="129">
        <v>142.5164</v>
      </c>
      <c r="H152" s="129">
        <v>143.41650000000001</v>
      </c>
      <c r="I152" s="129">
        <v>143.65479999999999</v>
      </c>
      <c r="J152" s="129">
        <v>143.7302</v>
      </c>
      <c r="K152" s="129">
        <v>144.2799</v>
      </c>
      <c r="L152" s="129">
        <v>144.95529999999999</v>
      </c>
      <c r="M152" s="129">
        <v>145.6293</v>
      </c>
      <c r="N152" s="129">
        <v>146.69829999999999</v>
      </c>
      <c r="O152" s="129">
        <v>148.57689999999999</v>
      </c>
      <c r="P152" s="129">
        <v>152.00059999999999</v>
      </c>
      <c r="Q152" s="129">
        <v>153.12899999999999</v>
      </c>
      <c r="R152" s="129">
        <v>153.6405</v>
      </c>
    </row>
    <row r="153" spans="1:18" ht="15">
      <c r="A153" s="141"/>
      <c r="B153" s="141"/>
      <c r="C153" s="141"/>
      <c r="D153" s="141" t="s">
        <v>511</v>
      </c>
      <c r="E153" s="301"/>
      <c r="F153" s="299">
        <v>2.6470169000000002E-2</v>
      </c>
      <c r="G153" s="129">
        <v>150.14429999999999</v>
      </c>
      <c r="H153" s="129">
        <v>151.26900000000001</v>
      </c>
      <c r="I153" s="129">
        <v>152.02860000000001</v>
      </c>
      <c r="J153" s="129">
        <v>152.7979</v>
      </c>
      <c r="K153" s="129">
        <v>153.21270000000001</v>
      </c>
      <c r="L153" s="129">
        <v>153.46180000000001</v>
      </c>
      <c r="M153" s="129">
        <v>153.8604</v>
      </c>
      <c r="N153" s="129">
        <v>154.2064</v>
      </c>
      <c r="O153" s="129">
        <v>154.4246</v>
      </c>
      <c r="P153" s="129">
        <v>155.15880000000001</v>
      </c>
      <c r="Q153" s="129">
        <v>155.53559999999999</v>
      </c>
      <c r="R153" s="129">
        <v>156.24510000000001</v>
      </c>
    </row>
    <row r="154" spans="1:18" ht="15">
      <c r="A154" s="141"/>
      <c r="B154" s="141"/>
      <c r="C154" s="141"/>
      <c r="D154" s="141"/>
      <c r="E154" s="301" t="s">
        <v>512</v>
      </c>
      <c r="F154" s="299">
        <v>2.6470169000000002E-2</v>
      </c>
      <c r="G154" s="129">
        <v>150.14429999999999</v>
      </c>
      <c r="H154" s="129">
        <v>151.26900000000001</v>
      </c>
      <c r="I154" s="129">
        <v>152.02860000000001</v>
      </c>
      <c r="J154" s="129">
        <v>152.7979</v>
      </c>
      <c r="K154" s="129">
        <v>153.21270000000001</v>
      </c>
      <c r="L154" s="129">
        <v>153.46180000000001</v>
      </c>
      <c r="M154" s="129">
        <v>153.8604</v>
      </c>
      <c r="N154" s="129">
        <v>154.2064</v>
      </c>
      <c r="O154" s="129">
        <v>154.4246</v>
      </c>
      <c r="P154" s="129">
        <v>155.15880000000001</v>
      </c>
      <c r="Q154" s="129">
        <v>155.53559999999999</v>
      </c>
      <c r="R154" s="129">
        <v>156.24510000000001</v>
      </c>
    </row>
    <row r="155" spans="1:18" ht="15">
      <c r="A155" s="141"/>
      <c r="B155" s="141"/>
      <c r="C155" s="141"/>
      <c r="D155" s="141" t="s">
        <v>513</v>
      </c>
      <c r="E155" s="301"/>
      <c r="F155" s="299">
        <v>0.76418571599999996</v>
      </c>
      <c r="G155" s="129">
        <v>141.05690000000001</v>
      </c>
      <c r="H155" s="129">
        <v>141.9571</v>
      </c>
      <c r="I155" s="129">
        <v>142.2775</v>
      </c>
      <c r="J155" s="129">
        <v>142.32490000000001</v>
      </c>
      <c r="K155" s="129">
        <v>142.94130000000001</v>
      </c>
      <c r="L155" s="129">
        <v>143.77350000000001</v>
      </c>
      <c r="M155" s="129">
        <v>144.5874</v>
      </c>
      <c r="N155" s="129">
        <v>146.35159999999999</v>
      </c>
      <c r="O155" s="129">
        <v>149.21510000000001</v>
      </c>
      <c r="P155" s="129">
        <v>154.65190000000001</v>
      </c>
      <c r="Q155" s="129">
        <v>154.75389999999999</v>
      </c>
      <c r="R155" s="129">
        <v>153.47200000000001</v>
      </c>
    </row>
    <row r="156" spans="1:18" ht="15">
      <c r="A156" s="141"/>
      <c r="B156" s="141"/>
      <c r="C156" s="141"/>
      <c r="D156" s="141"/>
      <c r="E156" s="301" t="s">
        <v>514</v>
      </c>
      <c r="F156" s="299">
        <v>0.31242068099999998</v>
      </c>
      <c r="G156" s="129">
        <v>148.02610000000001</v>
      </c>
      <c r="H156" s="129">
        <v>149.2116</v>
      </c>
      <c r="I156" s="129">
        <v>150.0335</v>
      </c>
      <c r="J156" s="129">
        <v>150.10069999999999</v>
      </c>
      <c r="K156" s="129">
        <v>150.75579999999999</v>
      </c>
      <c r="L156" s="129">
        <v>151.13570000000001</v>
      </c>
      <c r="M156" s="129">
        <v>153.03200000000001</v>
      </c>
      <c r="N156" s="129">
        <v>157.5591</v>
      </c>
      <c r="O156" s="129">
        <v>160.04320000000001</v>
      </c>
      <c r="P156" s="129">
        <v>162.2252</v>
      </c>
      <c r="Q156" s="129">
        <v>163.8322</v>
      </c>
      <c r="R156" s="129">
        <v>164.71299999999999</v>
      </c>
    </row>
    <row r="157" spans="1:18" ht="15">
      <c r="A157" s="141"/>
      <c r="B157" s="141"/>
      <c r="C157" s="141"/>
      <c r="D157" s="141"/>
      <c r="E157" s="301" t="s">
        <v>515</v>
      </c>
      <c r="F157" s="299">
        <v>0.17052104800000001</v>
      </c>
      <c r="G157" s="129">
        <v>140.07820000000001</v>
      </c>
      <c r="H157" s="129">
        <v>141.01859999999999</v>
      </c>
      <c r="I157" s="129">
        <v>140.35560000000001</v>
      </c>
      <c r="J157" s="129">
        <v>139.98009999999999</v>
      </c>
      <c r="K157" s="129">
        <v>140.39150000000001</v>
      </c>
      <c r="L157" s="129">
        <v>142.89349999999999</v>
      </c>
      <c r="M157" s="129">
        <v>142.31190000000001</v>
      </c>
      <c r="N157" s="129">
        <v>141.12289999999999</v>
      </c>
      <c r="O157" s="129">
        <v>148.6088</v>
      </c>
      <c r="P157" s="129">
        <v>167.7911</v>
      </c>
      <c r="Q157" s="129">
        <v>164.43049999999999</v>
      </c>
      <c r="R157" s="129">
        <v>156.05420000000001</v>
      </c>
    </row>
    <row r="158" spans="1:18" ht="15">
      <c r="A158" s="141"/>
      <c r="B158" s="141"/>
      <c r="C158" s="141"/>
      <c r="D158" s="141"/>
      <c r="E158" s="301" t="s">
        <v>516</v>
      </c>
      <c r="F158" s="299">
        <v>9.3711903999999999E-2</v>
      </c>
      <c r="G158" s="129">
        <v>132.76150000000001</v>
      </c>
      <c r="H158" s="129">
        <v>133.22479999999999</v>
      </c>
      <c r="I158" s="129">
        <v>133.59100000000001</v>
      </c>
      <c r="J158" s="129">
        <v>133.9239</v>
      </c>
      <c r="K158" s="129">
        <v>134.88990000000001</v>
      </c>
      <c r="L158" s="129">
        <v>135.07169999999999</v>
      </c>
      <c r="M158" s="129">
        <v>135.47020000000001</v>
      </c>
      <c r="N158" s="129">
        <v>135.95760000000001</v>
      </c>
      <c r="O158" s="129">
        <v>136.52330000000001</v>
      </c>
      <c r="P158" s="129">
        <v>137.40100000000001</v>
      </c>
      <c r="Q158" s="129">
        <v>138.541</v>
      </c>
      <c r="R158" s="129">
        <v>139.65559999999999</v>
      </c>
    </row>
    <row r="159" spans="1:18" ht="15">
      <c r="A159" s="141"/>
      <c r="B159" s="141"/>
      <c r="C159" s="141"/>
      <c r="D159" s="141"/>
      <c r="E159" s="301" t="s">
        <v>517</v>
      </c>
      <c r="F159" s="300">
        <v>4.1478661999999999E-2</v>
      </c>
      <c r="G159" s="130">
        <v>134.15880000000001</v>
      </c>
      <c r="H159" s="130">
        <v>134.68940000000001</v>
      </c>
      <c r="I159" s="130">
        <v>134.91200000000001</v>
      </c>
      <c r="J159" s="130">
        <v>135.05430000000001</v>
      </c>
      <c r="K159" s="130">
        <v>136.29130000000001</v>
      </c>
      <c r="L159" s="130">
        <v>136.6893</v>
      </c>
      <c r="M159" s="130">
        <v>137.5531</v>
      </c>
      <c r="N159" s="130">
        <v>137.89609999999999</v>
      </c>
      <c r="O159" s="130">
        <v>138.46360000000001</v>
      </c>
      <c r="P159" s="130">
        <v>139.4068</v>
      </c>
      <c r="Q159" s="130">
        <v>140.1206</v>
      </c>
      <c r="R159" s="130">
        <v>141.02930000000001</v>
      </c>
    </row>
    <row r="160" spans="1:18" ht="15">
      <c r="A160" s="141"/>
      <c r="B160" s="141"/>
      <c r="C160" s="141"/>
      <c r="D160" s="141"/>
      <c r="E160" s="301" t="s">
        <v>518</v>
      </c>
      <c r="F160" s="299">
        <v>5.4487545999999998E-2</v>
      </c>
      <c r="G160" s="129">
        <v>149.76830000000001</v>
      </c>
      <c r="H160" s="129">
        <v>150.70259999999999</v>
      </c>
      <c r="I160" s="129">
        <v>150.99039999999999</v>
      </c>
      <c r="J160" s="129">
        <v>151.35509999999999</v>
      </c>
      <c r="K160" s="129">
        <v>151.6645</v>
      </c>
      <c r="L160" s="129">
        <v>151.9478</v>
      </c>
      <c r="M160" s="129">
        <v>152.30340000000001</v>
      </c>
      <c r="N160" s="129">
        <v>152.96109999999999</v>
      </c>
      <c r="O160" s="129">
        <v>153.25049999999999</v>
      </c>
      <c r="P160" s="129">
        <v>153.76310000000001</v>
      </c>
      <c r="Q160" s="129">
        <v>152.9555</v>
      </c>
      <c r="R160" s="129">
        <v>152.9075</v>
      </c>
    </row>
    <row r="161" spans="1:18" ht="15">
      <c r="A161" s="141"/>
      <c r="B161" s="141"/>
      <c r="C161" s="141"/>
      <c r="D161" s="141"/>
      <c r="E161" s="301" t="s">
        <v>519</v>
      </c>
      <c r="F161" s="299">
        <v>3.6392108999999999E-2</v>
      </c>
      <c r="G161" s="129">
        <v>125.3279</v>
      </c>
      <c r="H161" s="129">
        <v>125.86669999999999</v>
      </c>
      <c r="I161" s="129">
        <v>126.4879</v>
      </c>
      <c r="J161" s="129">
        <v>126.6082</v>
      </c>
      <c r="K161" s="129">
        <v>126.8974</v>
      </c>
      <c r="L161" s="129">
        <v>127.3935</v>
      </c>
      <c r="M161" s="129">
        <v>127.8897</v>
      </c>
      <c r="N161" s="129">
        <v>128.33109999999999</v>
      </c>
      <c r="O161" s="129">
        <v>128.65539999999999</v>
      </c>
      <c r="P161" s="129">
        <v>129.0035</v>
      </c>
      <c r="Q161" s="129">
        <v>129.78919999999999</v>
      </c>
      <c r="R161" s="129">
        <v>130.12289999999999</v>
      </c>
    </row>
    <row r="162" spans="1:18" ht="15">
      <c r="A162" s="141"/>
      <c r="B162" s="141"/>
      <c r="C162" s="141"/>
      <c r="D162" s="141"/>
      <c r="E162" s="301" t="s">
        <v>520</v>
      </c>
      <c r="F162" s="299">
        <v>2.5737822E-2</v>
      </c>
      <c r="G162" s="129">
        <v>122.06310000000001</v>
      </c>
      <c r="H162" s="129">
        <v>122.39279999999999</v>
      </c>
      <c r="I162" s="129">
        <v>122.42449999999999</v>
      </c>
      <c r="J162" s="129">
        <v>122.7081</v>
      </c>
      <c r="K162" s="129">
        <v>123.0664</v>
      </c>
      <c r="L162" s="129">
        <v>123.3005</v>
      </c>
      <c r="M162" s="129">
        <v>123.5651</v>
      </c>
      <c r="N162" s="129">
        <v>123.8138</v>
      </c>
      <c r="O162" s="129">
        <v>123.858</v>
      </c>
      <c r="P162" s="129">
        <v>124.1203</v>
      </c>
      <c r="Q162" s="129">
        <v>124.4555</v>
      </c>
      <c r="R162" s="129">
        <v>124.64749999999999</v>
      </c>
    </row>
    <row r="163" spans="1:18" ht="15">
      <c r="A163" s="141"/>
      <c r="B163" s="141"/>
      <c r="C163" s="141"/>
      <c r="D163" s="141"/>
      <c r="E163" s="301" t="s">
        <v>521</v>
      </c>
      <c r="F163" s="299">
        <v>8.3271249999999995E-3</v>
      </c>
      <c r="G163" s="129">
        <v>110.5394</v>
      </c>
      <c r="H163" s="129">
        <v>110.69029999999999</v>
      </c>
      <c r="I163" s="129">
        <v>111.13339999999999</v>
      </c>
      <c r="J163" s="129">
        <v>111.477</v>
      </c>
      <c r="K163" s="129">
        <v>112.0558</v>
      </c>
      <c r="L163" s="129">
        <v>112.4957</v>
      </c>
      <c r="M163" s="129">
        <v>112.7731</v>
      </c>
      <c r="N163" s="129">
        <v>113.1465</v>
      </c>
      <c r="O163" s="129">
        <v>113.78</v>
      </c>
      <c r="P163" s="129">
        <v>115.08750000000001</v>
      </c>
      <c r="Q163" s="129">
        <v>115.6992</v>
      </c>
      <c r="R163" s="129">
        <v>116.2843</v>
      </c>
    </row>
    <row r="164" spans="1:18" ht="15">
      <c r="A164" s="141"/>
      <c r="B164" s="141"/>
      <c r="C164" s="141"/>
      <c r="D164" s="141"/>
      <c r="E164" s="301" t="s">
        <v>522</v>
      </c>
      <c r="F164" s="299">
        <v>2.1108819000000001E-2</v>
      </c>
      <c r="G164" s="129">
        <v>136.02590000000001</v>
      </c>
      <c r="H164" s="129">
        <v>136.5685</v>
      </c>
      <c r="I164" s="129">
        <v>137.27109999999999</v>
      </c>
      <c r="J164" s="129">
        <v>137.6371</v>
      </c>
      <c r="K164" s="129">
        <v>138.25129999999999</v>
      </c>
      <c r="L164" s="129">
        <v>138.90950000000001</v>
      </c>
      <c r="M164" s="129">
        <v>139.33600000000001</v>
      </c>
      <c r="N164" s="129">
        <v>140.05889999999999</v>
      </c>
      <c r="O164" s="129">
        <v>141.2484</v>
      </c>
      <c r="P164" s="129">
        <v>142.31190000000001</v>
      </c>
      <c r="Q164" s="129">
        <v>142.98320000000001</v>
      </c>
      <c r="R164" s="129">
        <v>143.5565</v>
      </c>
    </row>
    <row r="165" spans="1:18" ht="15">
      <c r="A165" s="141"/>
      <c r="B165" s="141"/>
      <c r="C165" s="141"/>
      <c r="D165" s="141" t="s">
        <v>523</v>
      </c>
      <c r="E165" s="301"/>
      <c r="F165" s="299">
        <v>0.49994451699999998</v>
      </c>
      <c r="G165" s="129">
        <v>144.34350000000001</v>
      </c>
      <c r="H165" s="129">
        <v>145.23159999999999</v>
      </c>
      <c r="I165" s="129">
        <v>145.31659999999999</v>
      </c>
      <c r="J165" s="129">
        <v>145.39830000000001</v>
      </c>
      <c r="K165" s="129">
        <v>145.85300000000001</v>
      </c>
      <c r="L165" s="129">
        <v>146.31139999999999</v>
      </c>
      <c r="M165" s="129">
        <v>146.78620000000001</v>
      </c>
      <c r="N165" s="129">
        <v>146.83080000000001</v>
      </c>
      <c r="O165" s="129">
        <v>147.2919</v>
      </c>
      <c r="P165" s="129">
        <v>147.7809</v>
      </c>
      <c r="Q165" s="129">
        <v>150.51779999999999</v>
      </c>
      <c r="R165" s="129">
        <v>153.76009999999999</v>
      </c>
    </row>
    <row r="166" spans="1:18" ht="15">
      <c r="A166" s="141"/>
      <c r="B166" s="141"/>
      <c r="C166" s="141"/>
      <c r="D166" s="141"/>
      <c r="E166" s="301" t="s">
        <v>524</v>
      </c>
      <c r="F166" s="299">
        <v>0.405823398</v>
      </c>
      <c r="G166" s="129">
        <v>144.44589999999999</v>
      </c>
      <c r="H166" s="129">
        <v>145.191</v>
      </c>
      <c r="I166" s="129">
        <v>145.11199999999999</v>
      </c>
      <c r="J166" s="129">
        <v>145.0301</v>
      </c>
      <c r="K166" s="129">
        <v>145.46260000000001</v>
      </c>
      <c r="L166" s="129">
        <v>145.9186</v>
      </c>
      <c r="M166" s="129">
        <v>146.38659999999999</v>
      </c>
      <c r="N166" s="129">
        <v>146.39580000000001</v>
      </c>
      <c r="O166" s="129">
        <v>146.864</v>
      </c>
      <c r="P166" s="129">
        <v>147.32040000000001</v>
      </c>
      <c r="Q166" s="129">
        <v>150.55680000000001</v>
      </c>
      <c r="R166" s="129">
        <v>154.40539999999999</v>
      </c>
    </row>
    <row r="167" spans="1:18" ht="15">
      <c r="A167" s="141"/>
      <c r="B167" s="141"/>
      <c r="C167" s="141"/>
      <c r="D167" s="141"/>
      <c r="E167" s="301" t="s">
        <v>525</v>
      </c>
      <c r="F167" s="299">
        <v>6.8425117999999993E-2</v>
      </c>
      <c r="G167" s="129">
        <v>139.65969999999999</v>
      </c>
      <c r="H167" s="129">
        <v>141.62899999999999</v>
      </c>
      <c r="I167" s="129">
        <v>142.68</v>
      </c>
      <c r="J167" s="129">
        <v>143.64859999999999</v>
      </c>
      <c r="K167" s="129">
        <v>144.14750000000001</v>
      </c>
      <c r="L167" s="129">
        <v>144.36199999999999</v>
      </c>
      <c r="M167" s="129">
        <v>144.81620000000001</v>
      </c>
      <c r="N167" s="129">
        <v>145.048</v>
      </c>
      <c r="O167" s="129">
        <v>145.43600000000001</v>
      </c>
      <c r="P167" s="129">
        <v>145.98660000000001</v>
      </c>
      <c r="Q167" s="129">
        <v>146.59710000000001</v>
      </c>
      <c r="R167" s="129">
        <v>147.32</v>
      </c>
    </row>
    <row r="168" spans="1:18" ht="15">
      <c r="A168" s="141"/>
      <c r="B168" s="141"/>
      <c r="C168" s="141"/>
      <c r="D168" s="141"/>
      <c r="E168" s="301" t="s">
        <v>526</v>
      </c>
      <c r="F168" s="299">
        <v>2.5696001999999999E-2</v>
      </c>
      <c r="G168" s="129">
        <v>155.1977</v>
      </c>
      <c r="H168" s="129">
        <v>155.46600000000001</v>
      </c>
      <c r="I168" s="129">
        <v>155.56829999999999</v>
      </c>
      <c r="J168" s="129">
        <v>155.8717</v>
      </c>
      <c r="K168" s="129">
        <v>156.56139999999999</v>
      </c>
      <c r="L168" s="129">
        <v>157.70750000000001</v>
      </c>
      <c r="M168" s="129">
        <v>158.3434</v>
      </c>
      <c r="N168" s="129">
        <v>158.44710000000001</v>
      </c>
      <c r="O168" s="129">
        <v>158.9914</v>
      </c>
      <c r="P168" s="129">
        <v>159.8304</v>
      </c>
      <c r="Q168" s="129">
        <v>160.34289999999999</v>
      </c>
      <c r="R168" s="129">
        <v>160.71879999999999</v>
      </c>
    </row>
    <row r="169" spans="1:18" ht="15">
      <c r="A169" s="141"/>
      <c r="B169" s="141" t="s">
        <v>527</v>
      </c>
      <c r="C169" s="141"/>
      <c r="D169" s="141"/>
      <c r="E169" s="301"/>
      <c r="F169" s="299">
        <v>2.7913507399999999</v>
      </c>
      <c r="G169" s="129">
        <v>141.32669999999999</v>
      </c>
      <c r="H169" s="129">
        <v>142.72210000000001</v>
      </c>
      <c r="I169" s="129">
        <v>143.2799</v>
      </c>
      <c r="J169" s="129">
        <v>144.60759999999999</v>
      </c>
      <c r="K169" s="129">
        <v>145.49250000000001</v>
      </c>
      <c r="L169" s="129">
        <v>145.71549999999999</v>
      </c>
      <c r="M169" s="129">
        <v>146.00409999999999</v>
      </c>
      <c r="N169" s="129">
        <v>146.60409999999999</v>
      </c>
      <c r="O169" s="129">
        <v>147.1952</v>
      </c>
      <c r="P169" s="129">
        <v>147.80430000000001</v>
      </c>
      <c r="Q169" s="129">
        <v>150.02850000000001</v>
      </c>
      <c r="R169" s="129">
        <v>152.36349999999999</v>
      </c>
    </row>
    <row r="170" spans="1:18" ht="15">
      <c r="A170" s="141"/>
      <c r="B170" s="141"/>
      <c r="C170" s="141" t="s">
        <v>528</v>
      </c>
      <c r="D170" s="141"/>
      <c r="E170" s="301"/>
      <c r="F170" s="299">
        <v>0.57634590900000005</v>
      </c>
      <c r="G170" s="129">
        <v>152.0823</v>
      </c>
      <c r="H170" s="129">
        <v>156.70679999999999</v>
      </c>
      <c r="I170" s="129">
        <v>158.1985</v>
      </c>
      <c r="J170" s="129">
        <v>158.65090000000001</v>
      </c>
      <c r="K170" s="129">
        <v>159.1541</v>
      </c>
      <c r="L170" s="129">
        <v>159.23429999999999</v>
      </c>
      <c r="M170" s="129">
        <v>159.38149999999999</v>
      </c>
      <c r="N170" s="129">
        <v>159.55420000000001</v>
      </c>
      <c r="O170" s="129">
        <v>159.54759999999999</v>
      </c>
      <c r="P170" s="129">
        <v>159.89179999999999</v>
      </c>
      <c r="Q170" s="129">
        <v>168.40379999999999</v>
      </c>
      <c r="R170" s="129">
        <v>178.2242</v>
      </c>
    </row>
    <row r="171" spans="1:18" ht="15">
      <c r="A171" s="141"/>
      <c r="B171" s="141"/>
      <c r="C171" s="141"/>
      <c r="D171" s="141" t="s">
        <v>529</v>
      </c>
      <c r="E171" s="301"/>
      <c r="F171" s="299">
        <v>0.43533433300000002</v>
      </c>
      <c r="G171" s="129">
        <v>152.02199999999999</v>
      </c>
      <c r="H171" s="129">
        <v>157.3049</v>
      </c>
      <c r="I171" s="129">
        <v>158.3604</v>
      </c>
      <c r="J171" s="129">
        <v>158.61660000000001</v>
      </c>
      <c r="K171" s="129">
        <v>159.09399999999999</v>
      </c>
      <c r="L171" s="129">
        <v>159.06530000000001</v>
      </c>
      <c r="M171" s="129">
        <v>159.05240000000001</v>
      </c>
      <c r="N171" s="129">
        <v>159.22319999999999</v>
      </c>
      <c r="O171" s="129">
        <v>159.1678</v>
      </c>
      <c r="P171" s="129">
        <v>159.38059999999999</v>
      </c>
      <c r="Q171" s="129">
        <v>170.4264</v>
      </c>
      <c r="R171" s="129">
        <v>183.24889999999999</v>
      </c>
    </row>
    <row r="172" spans="1:18" ht="15">
      <c r="A172" s="141"/>
      <c r="B172" s="141"/>
      <c r="C172" s="141"/>
      <c r="D172" s="141"/>
      <c r="E172" s="301" t="s">
        <v>530</v>
      </c>
      <c r="F172" s="299">
        <v>0.43533433300000002</v>
      </c>
      <c r="G172" s="129">
        <v>152.02199999999999</v>
      </c>
      <c r="H172" s="129">
        <v>157.3049</v>
      </c>
      <c r="I172" s="129">
        <v>158.3604</v>
      </c>
      <c r="J172" s="129">
        <v>158.61660000000001</v>
      </c>
      <c r="K172" s="129">
        <v>159.09399999999999</v>
      </c>
      <c r="L172" s="129">
        <v>159.06530000000001</v>
      </c>
      <c r="M172" s="129">
        <v>159.05240000000001</v>
      </c>
      <c r="N172" s="129">
        <v>159.22319999999999</v>
      </c>
      <c r="O172" s="129">
        <v>159.1678</v>
      </c>
      <c r="P172" s="129">
        <v>159.38059999999999</v>
      </c>
      <c r="Q172" s="129">
        <v>170.4264</v>
      </c>
      <c r="R172" s="129">
        <v>183.24889999999999</v>
      </c>
    </row>
    <row r="173" spans="1:18" ht="15">
      <c r="A173" s="141"/>
      <c r="B173" s="141"/>
      <c r="C173" s="141"/>
      <c r="D173" s="141" t="s">
        <v>531</v>
      </c>
      <c r="E173" s="301"/>
      <c r="F173" s="299">
        <v>0.141011576</v>
      </c>
      <c r="G173" s="129">
        <v>152.26859999999999</v>
      </c>
      <c r="H173" s="129">
        <v>154.86009999999999</v>
      </c>
      <c r="I173" s="129">
        <v>157.6987</v>
      </c>
      <c r="J173" s="129">
        <v>158.7569</v>
      </c>
      <c r="K173" s="129">
        <v>159.33949999999999</v>
      </c>
      <c r="L173" s="129">
        <v>159.75569999999999</v>
      </c>
      <c r="M173" s="129">
        <v>160.3974</v>
      </c>
      <c r="N173" s="129">
        <v>160.57599999999999</v>
      </c>
      <c r="O173" s="129">
        <v>160.72030000000001</v>
      </c>
      <c r="P173" s="129">
        <v>161.47</v>
      </c>
      <c r="Q173" s="129">
        <v>162.15940000000001</v>
      </c>
      <c r="R173" s="129">
        <v>162.7116</v>
      </c>
    </row>
    <row r="174" spans="1:18" ht="15">
      <c r="A174" s="141"/>
      <c r="B174" s="141"/>
      <c r="C174" s="141"/>
      <c r="D174" s="141"/>
      <c r="E174" s="301" t="s">
        <v>532</v>
      </c>
      <c r="F174" s="299">
        <v>9.9538391000000004E-2</v>
      </c>
      <c r="G174" s="129">
        <v>151.7389</v>
      </c>
      <c r="H174" s="129">
        <v>154.45400000000001</v>
      </c>
      <c r="I174" s="129">
        <v>157.8493</v>
      </c>
      <c r="J174" s="129">
        <v>158.96729999999999</v>
      </c>
      <c r="K174" s="129">
        <v>159.43809999999999</v>
      </c>
      <c r="L174" s="129">
        <v>159.8261</v>
      </c>
      <c r="M174" s="129">
        <v>160.45670000000001</v>
      </c>
      <c r="N174" s="129">
        <v>160.70099999999999</v>
      </c>
      <c r="O174" s="129">
        <v>160.8372</v>
      </c>
      <c r="P174" s="129">
        <v>161.6497</v>
      </c>
      <c r="Q174" s="129">
        <v>162.3597</v>
      </c>
      <c r="R174" s="129">
        <v>162.81370000000001</v>
      </c>
    </row>
    <row r="175" spans="1:18" ht="15">
      <c r="A175" s="141"/>
      <c r="B175" s="141"/>
      <c r="C175" s="141"/>
      <c r="D175" s="141"/>
      <c r="E175" s="301" t="s">
        <v>533</v>
      </c>
      <c r="F175" s="299">
        <v>4.1473185000000003E-2</v>
      </c>
      <c r="G175" s="129">
        <v>153.53970000000001</v>
      </c>
      <c r="H175" s="129">
        <v>155.8349</v>
      </c>
      <c r="I175" s="129">
        <v>157.3373</v>
      </c>
      <c r="J175" s="129">
        <v>158.2518</v>
      </c>
      <c r="K175" s="129">
        <v>159.1027</v>
      </c>
      <c r="L175" s="129">
        <v>159.58680000000001</v>
      </c>
      <c r="M175" s="129">
        <v>160.2551</v>
      </c>
      <c r="N175" s="129">
        <v>160.27619999999999</v>
      </c>
      <c r="O175" s="129">
        <v>160.43979999999999</v>
      </c>
      <c r="P175" s="129">
        <v>161.03890000000001</v>
      </c>
      <c r="Q175" s="129">
        <v>161.67869999999999</v>
      </c>
      <c r="R175" s="129">
        <v>162.4665</v>
      </c>
    </row>
    <row r="176" spans="1:18" ht="15">
      <c r="A176" s="141"/>
      <c r="B176" s="141"/>
      <c r="C176" s="141" t="s">
        <v>534</v>
      </c>
      <c r="D176" s="141"/>
      <c r="E176" s="301"/>
      <c r="F176" s="299">
        <v>2.2150048299999998</v>
      </c>
      <c r="G176" s="129">
        <v>138.52809999999999</v>
      </c>
      <c r="H176" s="129">
        <v>139.08330000000001</v>
      </c>
      <c r="I176" s="129">
        <v>139.398</v>
      </c>
      <c r="J176" s="129">
        <v>140.95349999999999</v>
      </c>
      <c r="K176" s="129">
        <v>141.93780000000001</v>
      </c>
      <c r="L176" s="129">
        <v>142.1979</v>
      </c>
      <c r="M176" s="129">
        <v>142.52330000000001</v>
      </c>
      <c r="N176" s="129">
        <v>143.23439999999999</v>
      </c>
      <c r="O176" s="129">
        <v>143.9811</v>
      </c>
      <c r="P176" s="129">
        <v>144.6591</v>
      </c>
      <c r="Q176" s="129">
        <v>145.2473</v>
      </c>
      <c r="R176" s="129">
        <v>145.6345</v>
      </c>
    </row>
    <row r="177" spans="1:18" ht="15">
      <c r="A177" s="141"/>
      <c r="B177" s="141"/>
      <c r="C177" s="141"/>
      <c r="D177" s="141" t="s">
        <v>535</v>
      </c>
      <c r="E177" s="301"/>
      <c r="F177" s="299">
        <v>0.71005829300000001</v>
      </c>
      <c r="G177" s="129">
        <v>136.99090000000001</v>
      </c>
      <c r="H177" s="129">
        <v>137.54939999999999</v>
      </c>
      <c r="I177" s="129">
        <v>137.8389</v>
      </c>
      <c r="J177" s="129">
        <v>137.90389999999999</v>
      </c>
      <c r="K177" s="129">
        <v>138.3246</v>
      </c>
      <c r="L177" s="129">
        <v>138.15639999999999</v>
      </c>
      <c r="M177" s="129">
        <v>138.86349999999999</v>
      </c>
      <c r="N177" s="129">
        <v>139.34540000000001</v>
      </c>
      <c r="O177" s="129">
        <v>140.15219999999999</v>
      </c>
      <c r="P177" s="129">
        <v>141.01</v>
      </c>
      <c r="Q177" s="129">
        <v>141.6054</v>
      </c>
      <c r="R177" s="129">
        <v>141.93340000000001</v>
      </c>
    </row>
    <row r="178" spans="1:18" ht="15">
      <c r="A178" s="141"/>
      <c r="B178" s="141"/>
      <c r="C178" s="141"/>
      <c r="D178" s="141"/>
      <c r="E178" s="301" t="s">
        <v>536</v>
      </c>
      <c r="F178" s="299">
        <v>0.65795630699999996</v>
      </c>
      <c r="G178" s="129">
        <v>138.62690000000001</v>
      </c>
      <c r="H178" s="129">
        <v>139.2304</v>
      </c>
      <c r="I178" s="129">
        <v>139.5359</v>
      </c>
      <c r="J178" s="129">
        <v>139.57769999999999</v>
      </c>
      <c r="K178" s="129">
        <v>140.0179</v>
      </c>
      <c r="L178" s="129">
        <v>139.8433</v>
      </c>
      <c r="M178" s="129">
        <v>140.6061</v>
      </c>
      <c r="N178" s="129">
        <v>141.12549999999999</v>
      </c>
      <c r="O178" s="129">
        <v>141.9785</v>
      </c>
      <c r="P178" s="129">
        <v>142.87610000000001</v>
      </c>
      <c r="Q178" s="129">
        <v>143.53149999999999</v>
      </c>
      <c r="R178" s="129">
        <v>143.8741</v>
      </c>
    </row>
    <row r="179" spans="1:18" ht="15">
      <c r="A179" s="141"/>
      <c r="B179" s="141"/>
      <c r="C179" s="141"/>
      <c r="D179" s="141"/>
      <c r="E179" s="301" t="s">
        <v>537</v>
      </c>
      <c r="F179" s="299">
        <v>5.2101986000000003E-2</v>
      </c>
      <c r="G179" s="129">
        <v>116.3317</v>
      </c>
      <c r="H179" s="129">
        <v>116.32129999999999</v>
      </c>
      <c r="I179" s="129">
        <v>116.4079</v>
      </c>
      <c r="J179" s="129">
        <v>116.7675</v>
      </c>
      <c r="K179" s="129">
        <v>116.9406</v>
      </c>
      <c r="L179" s="129">
        <v>116.8539</v>
      </c>
      <c r="M179" s="129">
        <v>116.8582</v>
      </c>
      <c r="N179" s="129">
        <v>116.86669999999999</v>
      </c>
      <c r="O179" s="129">
        <v>117.08920000000001</v>
      </c>
      <c r="P179" s="129">
        <v>117.4451</v>
      </c>
      <c r="Q179" s="129">
        <v>117.2816</v>
      </c>
      <c r="R179" s="129">
        <v>117.4258</v>
      </c>
    </row>
    <row r="180" spans="1:18" ht="15">
      <c r="A180" s="141"/>
      <c r="B180" s="141"/>
      <c r="C180" s="141"/>
      <c r="D180" s="141" t="s">
        <v>538</v>
      </c>
      <c r="E180" s="301"/>
      <c r="F180" s="299">
        <v>1.5049465399999999</v>
      </c>
      <c r="G180" s="129">
        <v>139.2534</v>
      </c>
      <c r="H180" s="129">
        <v>139.80699999999999</v>
      </c>
      <c r="I180" s="129">
        <v>140.1337</v>
      </c>
      <c r="J180" s="129">
        <v>142.39230000000001</v>
      </c>
      <c r="K180" s="129">
        <v>143.64259999999999</v>
      </c>
      <c r="L180" s="129">
        <v>144.10470000000001</v>
      </c>
      <c r="M180" s="129">
        <v>144.25</v>
      </c>
      <c r="N180" s="129">
        <v>145.0693</v>
      </c>
      <c r="O180" s="129">
        <v>145.7876</v>
      </c>
      <c r="P180" s="129">
        <v>146.38079999999999</v>
      </c>
      <c r="Q180" s="129">
        <v>146.96559999999999</v>
      </c>
      <c r="R180" s="129">
        <v>147.38079999999999</v>
      </c>
    </row>
    <row r="181" spans="1:18" ht="15">
      <c r="A181" s="141"/>
      <c r="B181" s="141"/>
      <c r="C181" s="141"/>
      <c r="D181" s="141"/>
      <c r="E181" s="301" t="s">
        <v>539</v>
      </c>
      <c r="F181" s="299">
        <v>0.88560077299999995</v>
      </c>
      <c r="G181" s="129">
        <v>135.79759999999999</v>
      </c>
      <c r="H181" s="129">
        <v>136.62430000000001</v>
      </c>
      <c r="I181" s="129">
        <v>137.14920000000001</v>
      </c>
      <c r="J181" s="129">
        <v>140.73390000000001</v>
      </c>
      <c r="K181" s="129">
        <v>142.3777</v>
      </c>
      <c r="L181" s="129">
        <v>143.06909999999999</v>
      </c>
      <c r="M181" s="129">
        <v>143.2655</v>
      </c>
      <c r="N181" s="129">
        <v>144.13300000000001</v>
      </c>
      <c r="O181" s="129">
        <v>145.1499</v>
      </c>
      <c r="P181" s="129">
        <v>145.6335</v>
      </c>
      <c r="Q181" s="129">
        <v>146.19890000000001</v>
      </c>
      <c r="R181" s="129">
        <v>146.58019999999999</v>
      </c>
    </row>
    <row r="182" spans="1:18" ht="15">
      <c r="A182" s="141"/>
      <c r="B182" s="141"/>
      <c r="C182" s="141"/>
      <c r="D182" s="141"/>
      <c r="E182" s="301" t="s">
        <v>540</v>
      </c>
      <c r="F182" s="299">
        <v>0.223357785</v>
      </c>
      <c r="G182" s="129">
        <v>124.2221</v>
      </c>
      <c r="H182" s="129">
        <v>124.47969999999999</v>
      </c>
      <c r="I182" s="129">
        <v>124.4774</v>
      </c>
      <c r="J182" s="129">
        <v>124.5119</v>
      </c>
      <c r="K182" s="129">
        <v>125.2599</v>
      </c>
      <c r="L182" s="129">
        <v>125.24550000000001</v>
      </c>
      <c r="M182" s="129">
        <v>125.1767</v>
      </c>
      <c r="N182" s="129">
        <v>126.6101</v>
      </c>
      <c r="O182" s="129">
        <v>126.7921</v>
      </c>
      <c r="P182" s="129">
        <v>127.0629</v>
      </c>
      <c r="Q182" s="129">
        <v>127.6044</v>
      </c>
      <c r="R182" s="129">
        <v>127.681</v>
      </c>
    </row>
    <row r="183" spans="1:18" ht="15">
      <c r="A183" s="141"/>
      <c r="B183" s="141"/>
      <c r="C183" s="141"/>
      <c r="D183" s="141"/>
      <c r="E183" s="301" t="s">
        <v>541</v>
      </c>
      <c r="F183" s="299">
        <v>5.3393740000000002E-2</v>
      </c>
      <c r="G183" s="129">
        <v>137.75540000000001</v>
      </c>
      <c r="H183" s="129">
        <v>137.85570000000001</v>
      </c>
      <c r="I183" s="129">
        <v>138.0677</v>
      </c>
      <c r="J183" s="129">
        <v>138.83629999999999</v>
      </c>
      <c r="K183" s="129">
        <v>139.4119</v>
      </c>
      <c r="L183" s="129">
        <v>140.05950000000001</v>
      </c>
      <c r="M183" s="129">
        <v>140.14859999999999</v>
      </c>
      <c r="N183" s="129">
        <v>140.67920000000001</v>
      </c>
      <c r="O183" s="129">
        <v>140.8175</v>
      </c>
      <c r="P183" s="129">
        <v>141.01419999999999</v>
      </c>
      <c r="Q183" s="129">
        <v>141.18299999999999</v>
      </c>
      <c r="R183" s="129">
        <v>141.398</v>
      </c>
    </row>
    <row r="184" spans="1:18" ht="15">
      <c r="A184" s="141"/>
      <c r="B184" s="141"/>
      <c r="C184" s="141"/>
      <c r="D184" s="141"/>
      <c r="E184" s="301" t="s">
        <v>542</v>
      </c>
      <c r="F184" s="299">
        <v>0.342594238</v>
      </c>
      <c r="G184" s="129">
        <v>158.21969999999999</v>
      </c>
      <c r="H184" s="129">
        <v>158.3313</v>
      </c>
      <c r="I184" s="129">
        <v>158.3777</v>
      </c>
      <c r="J184" s="129">
        <v>158.89089999999999</v>
      </c>
      <c r="K184" s="129">
        <v>159.5564</v>
      </c>
      <c r="L184" s="129">
        <v>159.70760000000001</v>
      </c>
      <c r="M184" s="129">
        <v>159.8691</v>
      </c>
      <c r="N184" s="129">
        <v>160.20849999999999</v>
      </c>
      <c r="O184" s="129">
        <v>160.595</v>
      </c>
      <c r="P184" s="129">
        <v>161.74359999999999</v>
      </c>
      <c r="Q184" s="129">
        <v>162.4716</v>
      </c>
      <c r="R184" s="129">
        <v>163.22620000000001</v>
      </c>
    </row>
    <row r="185" spans="1:18" ht="15">
      <c r="A185" s="141" t="s">
        <v>543</v>
      </c>
      <c r="B185" s="141"/>
      <c r="C185" s="141"/>
      <c r="D185" s="141"/>
      <c r="E185" s="301"/>
      <c r="F185" s="299">
        <v>2.3590851499999999</v>
      </c>
      <c r="G185" s="129">
        <v>133.72929999999999</v>
      </c>
      <c r="H185" s="129">
        <v>133.92420000000001</v>
      </c>
      <c r="I185" s="129">
        <v>134.05779999999999</v>
      </c>
      <c r="J185" s="129">
        <v>134.11600000000001</v>
      </c>
      <c r="K185" s="129">
        <v>134.3554</v>
      </c>
      <c r="L185" s="129">
        <v>134.46369999999999</v>
      </c>
      <c r="M185" s="129">
        <v>134.65090000000001</v>
      </c>
      <c r="N185" s="129">
        <v>135.86879999999999</v>
      </c>
      <c r="O185" s="129">
        <v>138.0335</v>
      </c>
      <c r="P185" s="129">
        <v>138.99979999999999</v>
      </c>
      <c r="Q185" s="129">
        <v>139.47999999999999</v>
      </c>
      <c r="R185" s="129">
        <v>140.0258</v>
      </c>
    </row>
    <row r="186" spans="1:18" ht="15">
      <c r="A186" s="141"/>
      <c r="B186" s="141" t="s">
        <v>544</v>
      </c>
      <c r="C186" s="141"/>
      <c r="D186" s="141"/>
      <c r="E186" s="301"/>
      <c r="F186" s="299">
        <v>2.13972074</v>
      </c>
      <c r="G186" s="129">
        <v>134.31299999999999</v>
      </c>
      <c r="H186" s="129">
        <v>134.42080000000001</v>
      </c>
      <c r="I186" s="129">
        <v>134.52330000000001</v>
      </c>
      <c r="J186" s="129">
        <v>134.53970000000001</v>
      </c>
      <c r="K186" s="129">
        <v>134.77699999999999</v>
      </c>
      <c r="L186" s="129">
        <v>134.857</v>
      </c>
      <c r="M186" s="129">
        <v>135.04849999999999</v>
      </c>
      <c r="N186" s="129">
        <v>136.3656</v>
      </c>
      <c r="O186" s="129">
        <v>138.72219999999999</v>
      </c>
      <c r="P186" s="129">
        <v>139.73670000000001</v>
      </c>
      <c r="Q186" s="129">
        <v>140.21510000000001</v>
      </c>
      <c r="R186" s="129">
        <v>140.6696</v>
      </c>
    </row>
    <row r="187" spans="1:18" ht="15">
      <c r="A187" s="141"/>
      <c r="B187" s="141"/>
      <c r="C187" s="141" t="s">
        <v>545</v>
      </c>
      <c r="D187" s="141"/>
      <c r="E187" s="301"/>
      <c r="F187" s="299">
        <v>0.49473110799999998</v>
      </c>
      <c r="G187" s="129">
        <v>133.09059999999999</v>
      </c>
      <c r="H187" s="129">
        <v>133.3236</v>
      </c>
      <c r="I187" s="129">
        <v>133.5839</v>
      </c>
      <c r="J187" s="129">
        <v>133.8279</v>
      </c>
      <c r="K187" s="129">
        <v>134.27690000000001</v>
      </c>
      <c r="L187" s="129">
        <v>134.44290000000001</v>
      </c>
      <c r="M187" s="129">
        <v>134.7741</v>
      </c>
      <c r="N187" s="129">
        <v>135.035</v>
      </c>
      <c r="O187" s="129">
        <v>135.2269</v>
      </c>
      <c r="P187" s="129">
        <v>135.69069999999999</v>
      </c>
      <c r="Q187" s="129">
        <v>135.9152</v>
      </c>
      <c r="R187" s="129">
        <v>136.33799999999999</v>
      </c>
    </row>
    <row r="188" spans="1:18" ht="15">
      <c r="A188" s="141"/>
      <c r="B188" s="141"/>
      <c r="C188" s="141"/>
      <c r="D188" s="141" t="s">
        <v>546</v>
      </c>
      <c r="E188" s="301"/>
      <c r="F188" s="299">
        <v>0.49473110799999998</v>
      </c>
      <c r="G188" s="129">
        <v>133.09059999999999</v>
      </c>
      <c r="H188" s="129">
        <v>133.3236</v>
      </c>
      <c r="I188" s="129">
        <v>133.5839</v>
      </c>
      <c r="J188" s="129">
        <v>133.8279</v>
      </c>
      <c r="K188" s="129">
        <v>134.27690000000001</v>
      </c>
      <c r="L188" s="129">
        <v>134.44290000000001</v>
      </c>
      <c r="M188" s="129">
        <v>134.7741</v>
      </c>
      <c r="N188" s="129">
        <v>135.035</v>
      </c>
      <c r="O188" s="129">
        <v>135.2269</v>
      </c>
      <c r="P188" s="129">
        <v>135.69069999999999</v>
      </c>
      <c r="Q188" s="129">
        <v>135.9152</v>
      </c>
      <c r="R188" s="129">
        <v>136.33799999999999</v>
      </c>
    </row>
    <row r="189" spans="1:18" ht="15">
      <c r="A189" s="141"/>
      <c r="B189" s="141"/>
      <c r="C189" s="141"/>
      <c r="D189" s="141"/>
      <c r="E189" s="301" t="s">
        <v>547</v>
      </c>
      <c r="F189" s="299">
        <v>8.6697136999999994E-2</v>
      </c>
      <c r="G189" s="129">
        <v>126.90730000000001</v>
      </c>
      <c r="H189" s="129">
        <v>127.2835</v>
      </c>
      <c r="I189" s="129">
        <v>127.3861</v>
      </c>
      <c r="J189" s="129">
        <v>127.4609</v>
      </c>
      <c r="K189" s="129">
        <v>128.4813</v>
      </c>
      <c r="L189" s="129">
        <v>128.97980000000001</v>
      </c>
      <c r="M189" s="129">
        <v>128.91540000000001</v>
      </c>
      <c r="N189" s="129">
        <v>129.495</v>
      </c>
      <c r="O189" s="129">
        <v>129.4829</v>
      </c>
      <c r="P189" s="129">
        <v>130.72559999999999</v>
      </c>
      <c r="Q189" s="129">
        <v>131.26070000000001</v>
      </c>
      <c r="R189" s="129">
        <v>131.98990000000001</v>
      </c>
    </row>
    <row r="190" spans="1:18" ht="15">
      <c r="A190" s="141"/>
      <c r="B190" s="141"/>
      <c r="C190" s="141"/>
      <c r="D190" s="141"/>
      <c r="E190" s="301" t="s">
        <v>548</v>
      </c>
      <c r="F190" s="299">
        <v>0.278567126</v>
      </c>
      <c r="G190" s="129">
        <v>135.71770000000001</v>
      </c>
      <c r="H190" s="129">
        <v>135.7567</v>
      </c>
      <c r="I190" s="129">
        <v>136.0428</v>
      </c>
      <c r="J190" s="129">
        <v>136.3374</v>
      </c>
      <c r="K190" s="129">
        <v>136.73480000000001</v>
      </c>
      <c r="L190" s="129">
        <v>136.90430000000001</v>
      </c>
      <c r="M190" s="129">
        <v>137.3169</v>
      </c>
      <c r="N190" s="129">
        <v>137.56200000000001</v>
      </c>
      <c r="O190" s="129">
        <v>137.79929999999999</v>
      </c>
      <c r="P190" s="129">
        <v>138.17580000000001</v>
      </c>
      <c r="Q190" s="129">
        <v>138.42080000000001</v>
      </c>
      <c r="R190" s="129">
        <v>138.82239999999999</v>
      </c>
    </row>
    <row r="191" spans="1:18" ht="15">
      <c r="A191" s="141"/>
      <c r="B191" s="141"/>
      <c r="C191" s="141"/>
      <c r="D191" s="141"/>
      <c r="E191" s="301" t="s">
        <v>549</v>
      </c>
      <c r="F191" s="299">
        <v>6.1470232999999999E-2</v>
      </c>
      <c r="G191" s="129">
        <v>135.7517</v>
      </c>
      <c r="H191" s="129">
        <v>136.03489999999999</v>
      </c>
      <c r="I191" s="129">
        <v>136.41200000000001</v>
      </c>
      <c r="J191" s="129">
        <v>136.6234</v>
      </c>
      <c r="K191" s="129">
        <v>136.9034</v>
      </c>
      <c r="L191" s="129">
        <v>136.53460000000001</v>
      </c>
      <c r="M191" s="129">
        <v>137.18279999999999</v>
      </c>
      <c r="N191" s="129">
        <v>137.3734</v>
      </c>
      <c r="O191" s="129">
        <v>137.67959999999999</v>
      </c>
      <c r="P191" s="129">
        <v>137.82040000000001</v>
      </c>
      <c r="Q191" s="129">
        <v>137.9529</v>
      </c>
      <c r="R191" s="129">
        <v>138.429</v>
      </c>
    </row>
    <row r="192" spans="1:18" ht="15">
      <c r="A192" s="141"/>
      <c r="B192" s="141"/>
      <c r="C192" s="141"/>
      <c r="D192" s="141"/>
      <c r="E192" s="301" t="s">
        <v>550</v>
      </c>
      <c r="F192" s="299">
        <v>6.7996610999999998E-2</v>
      </c>
      <c r="G192" s="129">
        <v>127.80629999999999</v>
      </c>
      <c r="H192" s="129">
        <v>128.60599999999999</v>
      </c>
      <c r="I192" s="129">
        <v>128.8561</v>
      </c>
      <c r="J192" s="129">
        <v>129.1379</v>
      </c>
      <c r="K192" s="129">
        <v>129.22239999999999</v>
      </c>
      <c r="L192" s="129">
        <v>129.43389999999999</v>
      </c>
      <c r="M192" s="129">
        <v>129.64959999999999</v>
      </c>
      <c r="N192" s="129">
        <v>129.63239999999999</v>
      </c>
      <c r="O192" s="129">
        <v>129.7946</v>
      </c>
      <c r="P192" s="129">
        <v>129.9152</v>
      </c>
      <c r="Q192" s="129">
        <v>129.74270000000001</v>
      </c>
      <c r="R192" s="129">
        <v>129.8133</v>
      </c>
    </row>
    <row r="193" spans="1:18" ht="15">
      <c r="A193" s="141"/>
      <c r="B193" s="141"/>
      <c r="C193" s="141" t="s">
        <v>551</v>
      </c>
      <c r="D193" s="141"/>
      <c r="E193" s="301"/>
      <c r="F193" s="299">
        <v>0.121235303</v>
      </c>
      <c r="G193" s="129">
        <v>129.1542</v>
      </c>
      <c r="H193" s="129">
        <v>129.3716</v>
      </c>
      <c r="I193" s="129">
        <v>129.68870000000001</v>
      </c>
      <c r="J193" s="129">
        <v>129.83959999999999</v>
      </c>
      <c r="K193" s="129">
        <v>130.13499999999999</v>
      </c>
      <c r="L193" s="129">
        <v>130.4342</v>
      </c>
      <c r="M193" s="129">
        <v>130.56780000000001</v>
      </c>
      <c r="N193" s="129">
        <v>131.2859</v>
      </c>
      <c r="O193" s="129">
        <v>131.6722</v>
      </c>
      <c r="P193" s="129">
        <v>132.08009999999999</v>
      </c>
      <c r="Q193" s="129">
        <v>132.41159999999999</v>
      </c>
      <c r="R193" s="129">
        <v>132.74299999999999</v>
      </c>
    </row>
    <row r="194" spans="1:18" ht="15">
      <c r="A194" s="141"/>
      <c r="B194" s="141"/>
      <c r="C194" s="141"/>
      <c r="D194" s="141" t="s">
        <v>552</v>
      </c>
      <c r="E194" s="301"/>
      <c r="F194" s="299">
        <v>0.121235303</v>
      </c>
      <c r="G194" s="129">
        <v>129.1542</v>
      </c>
      <c r="H194" s="129">
        <v>129.3716</v>
      </c>
      <c r="I194" s="129">
        <v>129.68870000000001</v>
      </c>
      <c r="J194" s="129">
        <v>129.83959999999999</v>
      </c>
      <c r="K194" s="129">
        <v>130.13499999999999</v>
      </c>
      <c r="L194" s="129">
        <v>130.4342</v>
      </c>
      <c r="M194" s="129">
        <v>130.56780000000001</v>
      </c>
      <c r="N194" s="129">
        <v>131.2859</v>
      </c>
      <c r="O194" s="129">
        <v>131.6722</v>
      </c>
      <c r="P194" s="129">
        <v>132.08009999999999</v>
      </c>
      <c r="Q194" s="129">
        <v>132.41159999999999</v>
      </c>
      <c r="R194" s="129">
        <v>132.74299999999999</v>
      </c>
    </row>
    <row r="195" spans="1:18" ht="15">
      <c r="A195" s="141"/>
      <c r="B195" s="141"/>
      <c r="C195" s="141"/>
      <c r="D195" s="141"/>
      <c r="E195" s="301" t="s">
        <v>553</v>
      </c>
      <c r="F195" s="299">
        <v>0.121235303</v>
      </c>
      <c r="G195" s="129">
        <v>129.1542</v>
      </c>
      <c r="H195" s="129">
        <v>129.3716</v>
      </c>
      <c r="I195" s="129">
        <v>129.68870000000001</v>
      </c>
      <c r="J195" s="129">
        <v>129.83959999999999</v>
      </c>
      <c r="K195" s="129">
        <v>130.13499999999999</v>
      </c>
      <c r="L195" s="129">
        <v>130.4342</v>
      </c>
      <c r="M195" s="129">
        <v>130.56780000000001</v>
      </c>
      <c r="N195" s="129">
        <v>131.2859</v>
      </c>
      <c r="O195" s="129">
        <v>131.6722</v>
      </c>
      <c r="P195" s="129">
        <v>132.08009999999999</v>
      </c>
      <c r="Q195" s="129">
        <v>132.41159999999999</v>
      </c>
      <c r="R195" s="129">
        <v>132.74299999999999</v>
      </c>
    </row>
    <row r="196" spans="1:18" ht="15">
      <c r="A196" s="141"/>
      <c r="B196" s="141"/>
      <c r="C196" s="141" t="s">
        <v>554</v>
      </c>
      <c r="D196" s="141"/>
      <c r="E196" s="301"/>
      <c r="F196" s="299">
        <v>1.52375433</v>
      </c>
      <c r="G196" s="129">
        <v>135.12029999999999</v>
      </c>
      <c r="H196" s="129">
        <v>135.1788</v>
      </c>
      <c r="I196" s="129">
        <v>135.21299999999999</v>
      </c>
      <c r="J196" s="129">
        <v>135.1448</v>
      </c>
      <c r="K196" s="129">
        <v>135.30869999999999</v>
      </c>
      <c r="L196" s="129">
        <v>135.3434</v>
      </c>
      <c r="M196" s="129">
        <v>135.4941</v>
      </c>
      <c r="N196" s="129">
        <v>137.20179999999999</v>
      </c>
      <c r="O196" s="129">
        <v>140.4179</v>
      </c>
      <c r="P196" s="129">
        <v>141.65950000000001</v>
      </c>
      <c r="Q196" s="129">
        <v>142.2321</v>
      </c>
      <c r="R196" s="129">
        <v>142.70670000000001</v>
      </c>
    </row>
    <row r="197" spans="1:18" ht="15">
      <c r="A197" s="141"/>
      <c r="B197" s="141"/>
      <c r="C197" s="141"/>
      <c r="D197" s="141" t="s">
        <v>555</v>
      </c>
      <c r="E197" s="301"/>
      <c r="F197" s="299">
        <v>1.52375433</v>
      </c>
      <c r="G197" s="129">
        <v>135.12029999999999</v>
      </c>
      <c r="H197" s="129">
        <v>135.1788</v>
      </c>
      <c r="I197" s="129">
        <v>135.21299999999999</v>
      </c>
      <c r="J197" s="129">
        <v>135.1448</v>
      </c>
      <c r="K197" s="129">
        <v>135.30869999999999</v>
      </c>
      <c r="L197" s="129">
        <v>135.3434</v>
      </c>
      <c r="M197" s="129">
        <v>135.4941</v>
      </c>
      <c r="N197" s="129">
        <v>137.20179999999999</v>
      </c>
      <c r="O197" s="129">
        <v>140.4179</v>
      </c>
      <c r="P197" s="129">
        <v>141.65950000000001</v>
      </c>
      <c r="Q197" s="129">
        <v>142.2321</v>
      </c>
      <c r="R197" s="129">
        <v>142.70670000000001</v>
      </c>
    </row>
    <row r="198" spans="1:18" ht="15">
      <c r="A198" s="141"/>
      <c r="B198" s="141"/>
      <c r="C198" s="141"/>
      <c r="D198" s="141"/>
      <c r="E198" s="301" t="s">
        <v>556</v>
      </c>
      <c r="F198" s="299">
        <v>1.31305607</v>
      </c>
      <c r="G198" s="129">
        <v>135.82820000000001</v>
      </c>
      <c r="H198" s="129">
        <v>135.9211</v>
      </c>
      <c r="I198" s="129">
        <v>135.9212</v>
      </c>
      <c r="J198" s="129">
        <v>135.88419999999999</v>
      </c>
      <c r="K198" s="129">
        <v>136.0444</v>
      </c>
      <c r="L198" s="129">
        <v>136.05000000000001</v>
      </c>
      <c r="M198" s="129">
        <v>136.21029999999999</v>
      </c>
      <c r="N198" s="129">
        <v>138.25110000000001</v>
      </c>
      <c r="O198" s="129">
        <v>141.88820000000001</v>
      </c>
      <c r="P198" s="129">
        <v>143.24629999999999</v>
      </c>
      <c r="Q198" s="129">
        <v>143.8278</v>
      </c>
      <c r="R198" s="129">
        <v>144.3288</v>
      </c>
    </row>
    <row r="199" spans="1:18" ht="15">
      <c r="A199" s="141"/>
      <c r="B199" s="141"/>
      <c r="C199" s="141"/>
      <c r="D199" s="141"/>
      <c r="E199" s="301" t="s">
        <v>557</v>
      </c>
      <c r="F199" s="299">
        <v>0.21069826</v>
      </c>
      <c r="G199" s="129">
        <v>130.7089</v>
      </c>
      <c r="H199" s="129">
        <v>130.55330000000001</v>
      </c>
      <c r="I199" s="129">
        <v>130.79910000000001</v>
      </c>
      <c r="J199" s="129">
        <v>130.5367</v>
      </c>
      <c r="K199" s="129">
        <v>130.72450000000001</v>
      </c>
      <c r="L199" s="129">
        <v>130.93989999999999</v>
      </c>
      <c r="M199" s="129">
        <v>131.0307</v>
      </c>
      <c r="N199" s="129">
        <v>130.66220000000001</v>
      </c>
      <c r="O199" s="129">
        <v>131.25489999999999</v>
      </c>
      <c r="P199" s="129">
        <v>131.7706</v>
      </c>
      <c r="Q199" s="129">
        <v>132.28749999999999</v>
      </c>
      <c r="R199" s="129">
        <v>132.59800000000001</v>
      </c>
    </row>
    <row r="200" spans="1:18" ht="15">
      <c r="A200" s="141"/>
      <c r="B200" s="141" t="s">
        <v>558</v>
      </c>
      <c r="C200" s="141"/>
      <c r="D200" s="141"/>
      <c r="E200" s="301"/>
      <c r="F200" s="299">
        <v>0.21936440700000001</v>
      </c>
      <c r="G200" s="129">
        <v>128.03620000000001</v>
      </c>
      <c r="H200" s="129">
        <v>129.0796</v>
      </c>
      <c r="I200" s="129">
        <v>129.51689999999999</v>
      </c>
      <c r="J200" s="129">
        <v>129.98310000000001</v>
      </c>
      <c r="K200" s="129">
        <v>130.24289999999999</v>
      </c>
      <c r="L200" s="129">
        <v>130.62700000000001</v>
      </c>
      <c r="M200" s="129">
        <v>130.77269999999999</v>
      </c>
      <c r="N200" s="129">
        <v>131.02330000000001</v>
      </c>
      <c r="O200" s="129">
        <v>131.3167</v>
      </c>
      <c r="P200" s="129">
        <v>131.81190000000001</v>
      </c>
      <c r="Q200" s="129">
        <v>132.31020000000001</v>
      </c>
      <c r="R200" s="129">
        <v>133.74590000000001</v>
      </c>
    </row>
    <row r="201" spans="1:18" ht="15">
      <c r="A201" s="141"/>
      <c r="B201" s="141"/>
      <c r="C201" s="141" t="s">
        <v>559</v>
      </c>
      <c r="D201" s="141"/>
      <c r="E201" s="301"/>
      <c r="F201" s="299">
        <v>0.21936440700000001</v>
      </c>
      <c r="G201" s="129">
        <v>128.03620000000001</v>
      </c>
      <c r="H201" s="129">
        <v>129.0796</v>
      </c>
      <c r="I201" s="129">
        <v>129.51689999999999</v>
      </c>
      <c r="J201" s="129">
        <v>129.98310000000001</v>
      </c>
      <c r="K201" s="129">
        <v>130.24289999999999</v>
      </c>
      <c r="L201" s="129">
        <v>130.62700000000001</v>
      </c>
      <c r="M201" s="129">
        <v>130.77269999999999</v>
      </c>
      <c r="N201" s="129">
        <v>131.02330000000001</v>
      </c>
      <c r="O201" s="129">
        <v>131.3167</v>
      </c>
      <c r="P201" s="129">
        <v>131.81190000000001</v>
      </c>
      <c r="Q201" s="129">
        <v>132.31020000000001</v>
      </c>
      <c r="R201" s="129">
        <v>133.74590000000001</v>
      </c>
    </row>
    <row r="202" spans="1:18" ht="15">
      <c r="A202" s="141"/>
      <c r="B202" s="141"/>
      <c r="C202" s="141"/>
      <c r="D202" s="141" t="s">
        <v>560</v>
      </c>
      <c r="E202" s="301"/>
      <c r="F202" s="299">
        <v>0.21936440700000001</v>
      </c>
      <c r="G202" s="129">
        <v>128.03620000000001</v>
      </c>
      <c r="H202" s="129">
        <v>129.0796</v>
      </c>
      <c r="I202" s="129">
        <v>129.51689999999999</v>
      </c>
      <c r="J202" s="129">
        <v>129.98310000000001</v>
      </c>
      <c r="K202" s="129">
        <v>130.24289999999999</v>
      </c>
      <c r="L202" s="129">
        <v>130.62700000000001</v>
      </c>
      <c r="M202" s="129">
        <v>130.77269999999999</v>
      </c>
      <c r="N202" s="129">
        <v>131.02330000000001</v>
      </c>
      <c r="O202" s="129">
        <v>131.3167</v>
      </c>
      <c r="P202" s="129">
        <v>131.81190000000001</v>
      </c>
      <c r="Q202" s="129">
        <v>132.31020000000001</v>
      </c>
      <c r="R202" s="129">
        <v>133.74590000000001</v>
      </c>
    </row>
    <row r="203" spans="1:18" ht="15">
      <c r="A203" s="141"/>
      <c r="B203" s="141"/>
      <c r="C203" s="141"/>
      <c r="D203" s="141"/>
      <c r="E203" s="301" t="s">
        <v>561</v>
      </c>
      <c r="F203" s="299">
        <v>0.21936440700000001</v>
      </c>
      <c r="G203" s="129">
        <v>128.03620000000001</v>
      </c>
      <c r="H203" s="129">
        <v>129.0796</v>
      </c>
      <c r="I203" s="129">
        <v>129.51689999999999</v>
      </c>
      <c r="J203" s="129">
        <v>129.98310000000001</v>
      </c>
      <c r="K203" s="129">
        <v>130.24289999999999</v>
      </c>
      <c r="L203" s="129">
        <v>130.62700000000001</v>
      </c>
      <c r="M203" s="129">
        <v>130.77269999999999</v>
      </c>
      <c r="N203" s="129">
        <v>131.02330000000001</v>
      </c>
      <c r="O203" s="129">
        <v>131.3167</v>
      </c>
      <c r="P203" s="129">
        <v>131.81190000000001</v>
      </c>
      <c r="Q203" s="129">
        <v>132.31020000000001</v>
      </c>
      <c r="R203" s="129">
        <v>133.74590000000001</v>
      </c>
    </row>
    <row r="204" spans="1:18" ht="15">
      <c r="A204" s="141" t="s">
        <v>562</v>
      </c>
      <c r="B204" s="141"/>
      <c r="C204" s="141"/>
      <c r="D204" s="141"/>
      <c r="E204" s="301"/>
      <c r="F204" s="299">
        <v>4.1869516899999999</v>
      </c>
      <c r="G204" s="129">
        <v>98.117900000000006</v>
      </c>
      <c r="H204" s="129">
        <v>98.097899999999996</v>
      </c>
      <c r="I204" s="129">
        <v>97.799499999999995</v>
      </c>
      <c r="J204" s="129">
        <v>97.941500000000005</v>
      </c>
      <c r="K204" s="129">
        <v>97.746200000000002</v>
      </c>
      <c r="L204" s="129">
        <v>97.536199999999994</v>
      </c>
      <c r="M204" s="129">
        <v>97.399900000000002</v>
      </c>
      <c r="N204" s="129">
        <v>97.1631</v>
      </c>
      <c r="O204" s="129">
        <v>97.242000000000004</v>
      </c>
      <c r="P204" s="129">
        <v>97.052199999999999</v>
      </c>
      <c r="Q204" s="129">
        <v>96.480400000000003</v>
      </c>
      <c r="R204" s="129">
        <v>96.993899999999996</v>
      </c>
    </row>
    <row r="205" spans="1:18" ht="15">
      <c r="A205" s="141"/>
      <c r="B205" s="141" t="s">
        <v>563</v>
      </c>
      <c r="C205" s="141"/>
      <c r="D205" s="141"/>
      <c r="E205" s="301"/>
      <c r="F205" s="299">
        <v>2.9123703299999999</v>
      </c>
      <c r="G205" s="129">
        <v>101.7693</v>
      </c>
      <c r="H205" s="129">
        <v>101.7796</v>
      </c>
      <c r="I205" s="129">
        <v>101.6242</v>
      </c>
      <c r="J205" s="129">
        <v>101.79340000000001</v>
      </c>
      <c r="K205" s="129">
        <v>101.7268</v>
      </c>
      <c r="L205" s="129">
        <v>101.54900000000001</v>
      </c>
      <c r="M205" s="129">
        <v>101.49760000000001</v>
      </c>
      <c r="N205" s="129">
        <v>101.372</v>
      </c>
      <c r="O205" s="129">
        <v>101.44070000000001</v>
      </c>
      <c r="P205" s="129">
        <v>101.4363</v>
      </c>
      <c r="Q205" s="129">
        <v>100.8185</v>
      </c>
      <c r="R205" s="129">
        <v>101.4164</v>
      </c>
    </row>
    <row r="206" spans="1:18" ht="15">
      <c r="A206" s="141"/>
      <c r="B206" s="141"/>
      <c r="C206" s="141" t="s">
        <v>564</v>
      </c>
      <c r="D206" s="141"/>
      <c r="E206" s="301"/>
      <c r="F206" s="299">
        <v>2.6880314799999998</v>
      </c>
      <c r="G206" s="129">
        <v>100.3385</v>
      </c>
      <c r="H206" s="129">
        <v>100.3086</v>
      </c>
      <c r="I206" s="129">
        <v>100.12909999999999</v>
      </c>
      <c r="J206" s="129">
        <v>100.2794</v>
      </c>
      <c r="K206" s="129">
        <v>100.1632</v>
      </c>
      <c r="L206" s="129">
        <v>99.954499999999996</v>
      </c>
      <c r="M206" s="129">
        <v>99.891900000000007</v>
      </c>
      <c r="N206" s="129">
        <v>99.748199999999997</v>
      </c>
      <c r="O206" s="129">
        <v>99.797300000000007</v>
      </c>
      <c r="P206" s="129">
        <v>99.747699999999995</v>
      </c>
      <c r="Q206" s="129">
        <v>99.045000000000002</v>
      </c>
      <c r="R206" s="129">
        <v>99.702299999999994</v>
      </c>
    </row>
    <row r="207" spans="1:18" ht="15">
      <c r="A207" s="141"/>
      <c r="B207" s="141"/>
      <c r="C207" s="141"/>
      <c r="D207" s="141" t="s">
        <v>565</v>
      </c>
      <c r="E207" s="301"/>
      <c r="F207" s="299">
        <v>1.0244814</v>
      </c>
      <c r="G207" s="129">
        <v>102.0224</v>
      </c>
      <c r="H207" s="129">
        <v>101.97499999999999</v>
      </c>
      <c r="I207" s="129">
        <v>101.88209999999999</v>
      </c>
      <c r="J207" s="129">
        <v>102.19459999999999</v>
      </c>
      <c r="K207" s="129">
        <v>102.13290000000001</v>
      </c>
      <c r="L207" s="129">
        <v>102.0582</v>
      </c>
      <c r="M207" s="129">
        <v>101.7092</v>
      </c>
      <c r="N207" s="129">
        <v>101.8061</v>
      </c>
      <c r="O207" s="129">
        <v>102.15989999999999</v>
      </c>
      <c r="P207" s="129">
        <v>101.9217</v>
      </c>
      <c r="Q207" s="129">
        <v>101.09229999999999</v>
      </c>
      <c r="R207" s="129">
        <v>101.8545</v>
      </c>
    </row>
    <row r="208" spans="1:18" ht="15">
      <c r="A208" s="141"/>
      <c r="B208" s="141"/>
      <c r="C208" s="141"/>
      <c r="D208" s="141"/>
      <c r="E208" s="301" t="s">
        <v>566</v>
      </c>
      <c r="F208" s="299">
        <v>0.45822977599999998</v>
      </c>
      <c r="G208" s="129">
        <v>102.10209999999999</v>
      </c>
      <c r="H208" s="129">
        <v>102.02809999999999</v>
      </c>
      <c r="I208" s="129">
        <v>101.9141</v>
      </c>
      <c r="J208" s="129">
        <v>102.32040000000001</v>
      </c>
      <c r="K208" s="129">
        <v>102.1962</v>
      </c>
      <c r="L208" s="129">
        <v>102.78100000000001</v>
      </c>
      <c r="M208" s="129">
        <v>102.26430000000001</v>
      </c>
      <c r="N208" s="129">
        <v>102.2043</v>
      </c>
      <c r="O208" s="129">
        <v>102.5286</v>
      </c>
      <c r="P208" s="129">
        <v>102.5774</v>
      </c>
      <c r="Q208" s="129">
        <v>101.4118</v>
      </c>
      <c r="R208" s="129">
        <v>102.3044</v>
      </c>
    </row>
    <row r="209" spans="1:18" ht="15">
      <c r="A209" s="141"/>
      <c r="B209" s="141"/>
      <c r="C209" s="141"/>
      <c r="D209" s="141"/>
      <c r="E209" s="301" t="s">
        <v>567</v>
      </c>
      <c r="F209" s="299">
        <v>0.25336792299999999</v>
      </c>
      <c r="G209" s="129">
        <v>98.929500000000004</v>
      </c>
      <c r="H209" s="129">
        <v>98.887699999999995</v>
      </c>
      <c r="I209" s="129">
        <v>98.671700000000001</v>
      </c>
      <c r="J209" s="129">
        <v>99.083699999999993</v>
      </c>
      <c r="K209" s="129">
        <v>98.983800000000002</v>
      </c>
      <c r="L209" s="129">
        <v>98.199399999999997</v>
      </c>
      <c r="M209" s="129">
        <v>97.931600000000003</v>
      </c>
      <c r="N209" s="129">
        <v>98.319199999999995</v>
      </c>
      <c r="O209" s="129">
        <v>98.550299999999993</v>
      </c>
      <c r="P209" s="129">
        <v>97.868300000000005</v>
      </c>
      <c r="Q209" s="129">
        <v>97.256299999999996</v>
      </c>
      <c r="R209" s="129">
        <v>98.096000000000004</v>
      </c>
    </row>
    <row r="210" spans="1:18" ht="15">
      <c r="A210" s="141"/>
      <c r="B210" s="141"/>
      <c r="C210" s="141"/>
      <c r="D210" s="141"/>
      <c r="E210" s="301" t="s">
        <v>568</v>
      </c>
      <c r="F210" s="300">
        <v>0.14597723900000001</v>
      </c>
      <c r="G210" s="130">
        <v>96.971599999999995</v>
      </c>
      <c r="H210" s="130">
        <v>97.038300000000007</v>
      </c>
      <c r="I210" s="130">
        <v>97.114599999999996</v>
      </c>
      <c r="J210" s="130">
        <v>97.230800000000002</v>
      </c>
      <c r="K210" s="130">
        <v>97.149100000000004</v>
      </c>
      <c r="L210" s="130">
        <v>96.396799999999999</v>
      </c>
      <c r="M210" s="130">
        <v>96.021600000000007</v>
      </c>
      <c r="N210" s="130">
        <v>96.073800000000006</v>
      </c>
      <c r="O210" s="130">
        <v>96.608199999999997</v>
      </c>
      <c r="P210" s="130">
        <v>95.730500000000006</v>
      </c>
      <c r="Q210" s="130">
        <v>94.794700000000006</v>
      </c>
      <c r="R210" s="130">
        <v>95.732100000000003</v>
      </c>
    </row>
    <row r="211" spans="1:18" ht="15">
      <c r="A211" s="141"/>
      <c r="B211" s="141"/>
      <c r="C211" s="141"/>
      <c r="D211" s="141"/>
      <c r="E211" s="301" t="s">
        <v>569</v>
      </c>
      <c r="F211" s="299">
        <v>6.4286478999999994E-2</v>
      </c>
      <c r="G211" s="129">
        <v>99.922700000000006</v>
      </c>
      <c r="H211" s="129">
        <v>99.889399999999995</v>
      </c>
      <c r="I211" s="129">
        <v>99.661600000000007</v>
      </c>
      <c r="J211" s="129">
        <v>100.11060000000001</v>
      </c>
      <c r="K211" s="129">
        <v>100.0864</v>
      </c>
      <c r="L211" s="129">
        <v>99.554199999999994</v>
      </c>
      <c r="M211" s="129">
        <v>99.517300000000006</v>
      </c>
      <c r="N211" s="129">
        <v>99.421400000000006</v>
      </c>
      <c r="O211" s="129">
        <v>100.3582</v>
      </c>
      <c r="P211" s="129">
        <v>100.0078</v>
      </c>
      <c r="Q211" s="129">
        <v>99.270700000000005</v>
      </c>
      <c r="R211" s="129">
        <v>99.946799999999996</v>
      </c>
    </row>
    <row r="212" spans="1:18" ht="15">
      <c r="A212" s="141"/>
      <c r="B212" s="141"/>
      <c r="C212" s="141"/>
      <c r="D212" s="141"/>
      <c r="E212" s="301" t="s">
        <v>570</v>
      </c>
      <c r="F212" s="299">
        <v>6.8633585999999996E-2</v>
      </c>
      <c r="G212" s="129">
        <v>116.9783</v>
      </c>
      <c r="H212" s="129">
        <v>116.9487</v>
      </c>
      <c r="I212" s="129">
        <v>117.1966</v>
      </c>
      <c r="J212" s="129">
        <v>116.9353</v>
      </c>
      <c r="K212" s="129">
        <v>117.2148</v>
      </c>
      <c r="L212" s="129">
        <v>117.13339999999999</v>
      </c>
      <c r="M212" s="129">
        <v>117.2073</v>
      </c>
      <c r="N212" s="129">
        <v>117.5899</v>
      </c>
      <c r="O212" s="129">
        <v>117.6109</v>
      </c>
      <c r="P212" s="129">
        <v>118.4453</v>
      </c>
      <c r="Q212" s="129">
        <v>118.7876</v>
      </c>
      <c r="R212" s="129">
        <v>118.46129999999999</v>
      </c>
    </row>
    <row r="213" spans="1:18" ht="15">
      <c r="A213" s="141"/>
      <c r="B213" s="141"/>
      <c r="C213" s="141"/>
      <c r="D213" s="141"/>
      <c r="E213" s="301" t="s">
        <v>571</v>
      </c>
      <c r="F213" s="299">
        <v>3.3986391999999997E-2</v>
      </c>
      <c r="G213" s="129">
        <v>119.4697</v>
      </c>
      <c r="H213" s="129">
        <v>119.18429999999999</v>
      </c>
      <c r="I213" s="129">
        <v>119.1357</v>
      </c>
      <c r="J213" s="129">
        <v>119.1857</v>
      </c>
      <c r="K213" s="129">
        <v>119.57559999999999</v>
      </c>
      <c r="L213" s="129">
        <v>119.6908</v>
      </c>
      <c r="M213" s="129">
        <v>119.6649</v>
      </c>
      <c r="N213" s="129">
        <v>119.6892</v>
      </c>
      <c r="O213" s="129">
        <v>120.1499</v>
      </c>
      <c r="P213" s="129">
        <v>120.1447</v>
      </c>
      <c r="Q213" s="129">
        <v>120.1421</v>
      </c>
      <c r="R213" s="129">
        <v>120.1765</v>
      </c>
    </row>
    <row r="214" spans="1:18" ht="15">
      <c r="A214" s="141"/>
      <c r="B214" s="141"/>
      <c r="C214" s="141"/>
      <c r="D214" s="141" t="s">
        <v>572</v>
      </c>
      <c r="E214" s="301"/>
      <c r="F214" s="299">
        <v>1.01947945</v>
      </c>
      <c r="G214" s="129">
        <v>97.860100000000003</v>
      </c>
      <c r="H214" s="129">
        <v>97.643600000000006</v>
      </c>
      <c r="I214" s="129">
        <v>97.439099999999996</v>
      </c>
      <c r="J214" s="129">
        <v>97.467200000000005</v>
      </c>
      <c r="K214" s="129">
        <v>97.212900000000005</v>
      </c>
      <c r="L214" s="129">
        <v>96.718400000000003</v>
      </c>
      <c r="M214" s="129">
        <v>96.780299999999997</v>
      </c>
      <c r="N214" s="129">
        <v>96.318200000000004</v>
      </c>
      <c r="O214" s="129">
        <v>96.299599999999998</v>
      </c>
      <c r="P214" s="129">
        <v>96.524299999999997</v>
      </c>
      <c r="Q214" s="129">
        <v>95.719399999999993</v>
      </c>
      <c r="R214" s="129">
        <v>96.522300000000001</v>
      </c>
    </row>
    <row r="215" spans="1:18" ht="15">
      <c r="A215" s="141"/>
      <c r="B215" s="141"/>
      <c r="C215" s="141"/>
      <c r="D215" s="141"/>
      <c r="E215" s="301" t="s">
        <v>573</v>
      </c>
      <c r="F215" s="299">
        <v>1.7309963000000001E-2</v>
      </c>
      <c r="G215" s="129">
        <v>95.617400000000004</v>
      </c>
      <c r="H215" s="129">
        <v>94.869699999999995</v>
      </c>
      <c r="I215" s="129">
        <v>94.256900000000002</v>
      </c>
      <c r="J215" s="129">
        <v>94.661199999999994</v>
      </c>
      <c r="K215" s="129">
        <v>94.491600000000005</v>
      </c>
      <c r="L215" s="129">
        <v>94.105199999999996</v>
      </c>
      <c r="M215" s="129">
        <v>93.347099999999998</v>
      </c>
      <c r="N215" s="129">
        <v>93.003</v>
      </c>
      <c r="O215" s="129">
        <v>92.802199999999999</v>
      </c>
      <c r="P215" s="129">
        <v>93.383700000000005</v>
      </c>
      <c r="Q215" s="129">
        <v>92.458200000000005</v>
      </c>
      <c r="R215" s="129">
        <v>92.969099999999997</v>
      </c>
    </row>
    <row r="216" spans="1:18" ht="15">
      <c r="A216" s="141"/>
      <c r="B216" s="141"/>
      <c r="C216" s="141"/>
      <c r="D216" s="141"/>
      <c r="E216" s="301" t="s">
        <v>574</v>
      </c>
      <c r="F216" s="299">
        <v>0.284972067</v>
      </c>
      <c r="G216" s="129">
        <v>99.691400000000002</v>
      </c>
      <c r="H216" s="129">
        <v>99.582700000000003</v>
      </c>
      <c r="I216" s="129">
        <v>99.349500000000006</v>
      </c>
      <c r="J216" s="129">
        <v>99.275099999999995</v>
      </c>
      <c r="K216" s="129">
        <v>98.977800000000002</v>
      </c>
      <c r="L216" s="129">
        <v>97.642200000000003</v>
      </c>
      <c r="M216" s="129">
        <v>97.734700000000004</v>
      </c>
      <c r="N216" s="129">
        <v>96.720799999999997</v>
      </c>
      <c r="O216" s="129">
        <v>96.463399999999993</v>
      </c>
      <c r="P216" s="129">
        <v>96.994299999999996</v>
      </c>
      <c r="Q216" s="129">
        <v>96.061000000000007</v>
      </c>
      <c r="R216" s="129">
        <v>96.974900000000005</v>
      </c>
    </row>
    <row r="217" spans="1:18" ht="15">
      <c r="A217" s="141"/>
      <c r="B217" s="141"/>
      <c r="C217" s="141"/>
      <c r="D217" s="141"/>
      <c r="E217" s="301" t="s">
        <v>575</v>
      </c>
      <c r="F217" s="281">
        <v>0.38466802</v>
      </c>
      <c r="G217" s="129">
        <v>95.564599999999999</v>
      </c>
      <c r="H217" s="129">
        <v>95.127799999999993</v>
      </c>
      <c r="I217" s="129">
        <v>94.941400000000002</v>
      </c>
      <c r="J217" s="129">
        <v>95.103399999999993</v>
      </c>
      <c r="K217" s="129">
        <v>94.967299999999994</v>
      </c>
      <c r="L217" s="129">
        <v>94.918400000000005</v>
      </c>
      <c r="M217" s="129">
        <v>94.995999999999995</v>
      </c>
      <c r="N217" s="129">
        <v>94.717500000000001</v>
      </c>
      <c r="O217" s="129">
        <v>94.777100000000004</v>
      </c>
      <c r="P217" s="129">
        <v>95.063000000000002</v>
      </c>
      <c r="Q217" s="129">
        <v>93.795900000000003</v>
      </c>
      <c r="R217" s="129">
        <v>94.875699999999995</v>
      </c>
    </row>
    <row r="218" spans="1:18" ht="15">
      <c r="A218" s="141"/>
      <c r="B218" s="141"/>
      <c r="C218" s="141"/>
      <c r="D218" s="141"/>
      <c r="E218" s="301" t="s">
        <v>576</v>
      </c>
      <c r="F218" s="281">
        <v>5.4837639000000001E-2</v>
      </c>
      <c r="G218" s="129">
        <v>112.6391</v>
      </c>
      <c r="H218" s="129">
        <v>112.86750000000001</v>
      </c>
      <c r="I218" s="129">
        <v>112.518</v>
      </c>
      <c r="J218" s="129">
        <v>112.7458</v>
      </c>
      <c r="K218" s="129">
        <v>112.6884</v>
      </c>
      <c r="L218" s="129">
        <v>113.1161</v>
      </c>
      <c r="M218" s="129">
        <v>113.3312</v>
      </c>
      <c r="N218" s="129">
        <v>113.2868</v>
      </c>
      <c r="O218" s="129">
        <v>113.0219</v>
      </c>
      <c r="P218" s="129">
        <v>112.9734</v>
      </c>
      <c r="Q218" s="129">
        <v>113.2968</v>
      </c>
      <c r="R218" s="129">
        <v>113.9619</v>
      </c>
    </row>
    <row r="219" spans="1:18" ht="15">
      <c r="A219" s="141"/>
      <c r="B219" s="141"/>
      <c r="C219" s="141"/>
      <c r="D219" s="141"/>
      <c r="E219" s="301" t="s">
        <v>577</v>
      </c>
      <c r="F219" s="299">
        <v>0.144473925</v>
      </c>
      <c r="G219" s="129">
        <v>88.864999999999995</v>
      </c>
      <c r="H219" s="129">
        <v>88.677400000000006</v>
      </c>
      <c r="I219" s="129">
        <v>88.437799999999996</v>
      </c>
      <c r="J219" s="129">
        <v>88.193600000000004</v>
      </c>
      <c r="K219" s="129">
        <v>87.681299999999993</v>
      </c>
      <c r="L219" s="129">
        <v>87.093500000000006</v>
      </c>
      <c r="M219" s="129">
        <v>87.108199999999997</v>
      </c>
      <c r="N219" s="129">
        <v>86.811199999999999</v>
      </c>
      <c r="O219" s="129">
        <v>87.117699999999999</v>
      </c>
      <c r="P219" s="129">
        <v>86.971000000000004</v>
      </c>
      <c r="Q219" s="129">
        <v>86.616200000000006</v>
      </c>
      <c r="R219" s="129">
        <v>87.159300000000002</v>
      </c>
    </row>
    <row r="220" spans="1:18" ht="15">
      <c r="A220" s="141"/>
      <c r="B220" s="141"/>
      <c r="C220" s="141"/>
      <c r="D220" s="141"/>
      <c r="E220" s="301" t="s">
        <v>578</v>
      </c>
      <c r="F220" s="299">
        <v>5.4695365000000003E-2</v>
      </c>
      <c r="G220" s="129">
        <v>107.84399999999999</v>
      </c>
      <c r="H220" s="129">
        <v>107.8248</v>
      </c>
      <c r="I220" s="129">
        <v>107.32810000000001</v>
      </c>
      <c r="J220" s="129">
        <v>107.742</v>
      </c>
      <c r="K220" s="129">
        <v>107.4243</v>
      </c>
      <c r="L220" s="129">
        <v>107.0681</v>
      </c>
      <c r="M220" s="129">
        <v>107.3261</v>
      </c>
      <c r="N220" s="129">
        <v>107.25700000000001</v>
      </c>
      <c r="O220" s="129">
        <v>107.252</v>
      </c>
      <c r="P220" s="129">
        <v>107.17959999999999</v>
      </c>
      <c r="Q220" s="129">
        <v>107.0836</v>
      </c>
      <c r="R220" s="129">
        <v>107.44240000000001</v>
      </c>
    </row>
    <row r="221" spans="1:18" ht="15">
      <c r="A221" s="141"/>
      <c r="B221" s="141"/>
      <c r="C221" s="141"/>
      <c r="D221" s="141"/>
      <c r="E221" s="301" t="s">
        <v>579</v>
      </c>
      <c r="F221" s="299">
        <v>4.9167556000000001E-2</v>
      </c>
      <c r="G221" s="129">
        <v>104.3552</v>
      </c>
      <c r="H221" s="129">
        <v>104.3704</v>
      </c>
      <c r="I221" s="129">
        <v>104.65900000000001</v>
      </c>
      <c r="J221" s="129">
        <v>104.1033</v>
      </c>
      <c r="K221" s="129">
        <v>103.6001</v>
      </c>
      <c r="L221" s="129">
        <v>103.4573</v>
      </c>
      <c r="M221" s="129">
        <v>103.4772</v>
      </c>
      <c r="N221" s="129">
        <v>103.16249999999999</v>
      </c>
      <c r="O221" s="129">
        <v>103.2116</v>
      </c>
      <c r="P221" s="129">
        <v>102.8237</v>
      </c>
      <c r="Q221" s="129">
        <v>102.7483</v>
      </c>
      <c r="R221" s="129">
        <v>102.67489999999999</v>
      </c>
    </row>
    <row r="222" spans="1:18" ht="15">
      <c r="A222" s="141"/>
      <c r="B222" s="141"/>
      <c r="C222" s="141"/>
      <c r="D222" s="141"/>
      <c r="E222" s="301" t="s">
        <v>580</v>
      </c>
      <c r="F222" s="299">
        <v>2.9354908999999998E-2</v>
      </c>
      <c r="G222" s="129">
        <v>98.664699999999996</v>
      </c>
      <c r="H222" s="129">
        <v>98.875900000000001</v>
      </c>
      <c r="I222" s="129">
        <v>99.111999999999995</v>
      </c>
      <c r="J222" s="129">
        <v>99.386399999999995</v>
      </c>
      <c r="K222" s="129">
        <v>99.386200000000002</v>
      </c>
      <c r="L222" s="129">
        <v>99.047300000000007</v>
      </c>
      <c r="M222" s="129">
        <v>98.738</v>
      </c>
      <c r="N222" s="129">
        <v>98.584100000000007</v>
      </c>
      <c r="O222" s="129">
        <v>98.691400000000002</v>
      </c>
      <c r="P222" s="129">
        <v>98.846699999999998</v>
      </c>
      <c r="Q222" s="129">
        <v>98.548699999999997</v>
      </c>
      <c r="R222" s="129">
        <v>98.651200000000003</v>
      </c>
    </row>
    <row r="223" spans="1:18" ht="15">
      <c r="A223" s="141"/>
      <c r="B223" s="141"/>
      <c r="C223" s="141"/>
      <c r="D223" s="141" t="s">
        <v>581</v>
      </c>
      <c r="E223" s="301"/>
      <c r="F223" s="299">
        <v>0.64407064000000003</v>
      </c>
      <c r="G223" s="129">
        <v>101.5829</v>
      </c>
      <c r="H223" s="129">
        <v>101.8762</v>
      </c>
      <c r="I223" s="129">
        <v>101.5985</v>
      </c>
      <c r="J223" s="129">
        <v>101.6842</v>
      </c>
      <c r="K223" s="129">
        <v>101.7003</v>
      </c>
      <c r="L223" s="129">
        <v>101.7306</v>
      </c>
      <c r="M223" s="129">
        <v>101.9263</v>
      </c>
      <c r="N223" s="129">
        <v>101.9042</v>
      </c>
      <c r="O223" s="129">
        <v>101.5754</v>
      </c>
      <c r="P223" s="129">
        <v>101.3917</v>
      </c>
      <c r="Q223" s="129">
        <v>101.05240000000001</v>
      </c>
      <c r="R223" s="129">
        <v>101.3126</v>
      </c>
    </row>
    <row r="224" spans="1:18" ht="15">
      <c r="A224" s="141"/>
      <c r="B224" s="141"/>
      <c r="C224" s="141"/>
      <c r="D224" s="141"/>
      <c r="E224" s="301" t="s">
        <v>582</v>
      </c>
      <c r="F224" s="299">
        <v>5.1625873000000003E-2</v>
      </c>
      <c r="G224" s="129">
        <v>99.967500000000001</v>
      </c>
      <c r="H224" s="129">
        <v>99.753299999999996</v>
      </c>
      <c r="I224" s="129">
        <v>99.726799999999997</v>
      </c>
      <c r="J224" s="129">
        <v>99.827799999999996</v>
      </c>
      <c r="K224" s="129">
        <v>99.736199999999997</v>
      </c>
      <c r="L224" s="129">
        <v>99.679900000000004</v>
      </c>
      <c r="M224" s="129">
        <v>100.1058</v>
      </c>
      <c r="N224" s="129">
        <v>99.698599999999999</v>
      </c>
      <c r="O224" s="129">
        <v>99.076599999999999</v>
      </c>
      <c r="P224" s="134">
        <v>98.724400000000003</v>
      </c>
      <c r="Q224" s="129">
        <v>98.113</v>
      </c>
      <c r="R224" s="129">
        <v>98.164199999999994</v>
      </c>
    </row>
    <row r="225" spans="1:18" ht="15">
      <c r="A225" s="141"/>
      <c r="B225" s="141"/>
      <c r="C225" s="141"/>
      <c r="D225" s="141"/>
      <c r="E225" s="301" t="s">
        <v>583</v>
      </c>
      <c r="F225" s="299">
        <v>0.18378578700000001</v>
      </c>
      <c r="G225" s="129">
        <v>99.077299999999994</v>
      </c>
      <c r="H225" s="129">
        <v>99.328199999999995</v>
      </c>
      <c r="I225" s="129">
        <v>99.107100000000003</v>
      </c>
      <c r="J225" s="129">
        <v>99.321899999999999</v>
      </c>
      <c r="K225" s="129">
        <v>99.290800000000004</v>
      </c>
      <c r="L225" s="129">
        <v>99.410499999999999</v>
      </c>
      <c r="M225" s="129">
        <v>99.384200000000007</v>
      </c>
      <c r="N225" s="129">
        <v>98.749099999999999</v>
      </c>
      <c r="O225" s="129">
        <v>98.751300000000001</v>
      </c>
      <c r="P225" s="129">
        <v>98.277299999999997</v>
      </c>
      <c r="Q225" s="129">
        <v>97.444900000000004</v>
      </c>
      <c r="R225" s="129">
        <v>98.100999999999999</v>
      </c>
    </row>
    <row r="226" spans="1:18" ht="15">
      <c r="A226" s="141"/>
      <c r="B226" s="141"/>
      <c r="C226" s="141"/>
      <c r="D226" s="141"/>
      <c r="E226" s="301" t="s">
        <v>584</v>
      </c>
      <c r="F226" s="299">
        <v>6.7376230999999995E-2</v>
      </c>
      <c r="G226" s="129">
        <v>101.3192</v>
      </c>
      <c r="H226" s="129">
        <v>102.47750000000001</v>
      </c>
      <c r="I226" s="129">
        <v>102.03319999999999</v>
      </c>
      <c r="J226" s="129">
        <v>102.5646</v>
      </c>
      <c r="K226" s="129">
        <v>102.437</v>
      </c>
      <c r="L226" s="129">
        <v>101.98260000000001</v>
      </c>
      <c r="M226" s="129">
        <v>102.4729</v>
      </c>
      <c r="N226" s="129">
        <v>102.4406</v>
      </c>
      <c r="O226" s="129">
        <v>102.3571</v>
      </c>
      <c r="P226" s="129">
        <v>102.0669</v>
      </c>
      <c r="Q226" s="129">
        <v>101.8967</v>
      </c>
      <c r="R226" s="129">
        <v>102.2302</v>
      </c>
    </row>
    <row r="227" spans="1:18" ht="15">
      <c r="A227" s="141"/>
      <c r="B227" s="141"/>
      <c r="C227" s="141"/>
      <c r="D227" s="141"/>
      <c r="E227" s="301" t="s">
        <v>585</v>
      </c>
      <c r="F227" s="299">
        <v>6.4267631000000006E-2</v>
      </c>
      <c r="G227" s="129">
        <v>97.366200000000006</v>
      </c>
      <c r="H227" s="129">
        <v>97.078299999999999</v>
      </c>
      <c r="I227" s="129">
        <v>95.940799999999996</v>
      </c>
      <c r="J227" s="129">
        <v>96.204800000000006</v>
      </c>
      <c r="K227" s="129">
        <v>96.187200000000004</v>
      </c>
      <c r="L227" s="129">
        <v>95.491600000000005</v>
      </c>
      <c r="M227" s="129">
        <v>95.828400000000002</v>
      </c>
      <c r="N227" s="129">
        <v>95.725300000000004</v>
      </c>
      <c r="O227" s="129">
        <v>95.209100000000007</v>
      </c>
      <c r="P227" s="129">
        <v>95.072400000000002</v>
      </c>
      <c r="Q227" s="129">
        <v>95.076099999999997</v>
      </c>
      <c r="R227" s="129">
        <v>95.711299999999994</v>
      </c>
    </row>
    <row r="228" spans="1:18" ht="15">
      <c r="A228" s="141"/>
      <c r="B228" s="141"/>
      <c r="C228" s="141"/>
      <c r="D228" s="141"/>
      <c r="E228" s="301" t="s">
        <v>586</v>
      </c>
      <c r="F228" s="299">
        <v>0.20175927399999999</v>
      </c>
      <c r="G228" s="129">
        <v>108.7201</v>
      </c>
      <c r="H228" s="129">
        <v>108.9042</v>
      </c>
      <c r="I228" s="129">
        <v>108.8462</v>
      </c>
      <c r="J228" s="129">
        <v>108.7131</v>
      </c>
      <c r="K228" s="129">
        <v>108.804</v>
      </c>
      <c r="L228" s="129">
        <v>109.051</v>
      </c>
      <c r="M228" s="129">
        <v>109.4725</v>
      </c>
      <c r="N228" s="129">
        <v>110.18129999999999</v>
      </c>
      <c r="O228" s="129">
        <v>109.3279</v>
      </c>
      <c r="P228" s="129">
        <v>109.7274</v>
      </c>
      <c r="Q228" s="129">
        <v>109.5339</v>
      </c>
      <c r="R228" s="129">
        <v>109.4593</v>
      </c>
    </row>
    <row r="229" spans="1:18" ht="15">
      <c r="A229" s="141"/>
      <c r="B229" s="141"/>
      <c r="C229" s="141"/>
      <c r="D229" s="141"/>
      <c r="E229" s="301" t="s">
        <v>587</v>
      </c>
      <c r="F229" s="299">
        <v>7.5255843000000003E-2</v>
      </c>
      <c r="G229" s="129">
        <v>93.5124</v>
      </c>
      <c r="H229" s="129">
        <v>94.272400000000005</v>
      </c>
      <c r="I229" s="129">
        <v>93.978099999999998</v>
      </c>
      <c r="J229" s="129">
        <v>93.773300000000006</v>
      </c>
      <c r="K229" s="129">
        <v>93.935400000000001</v>
      </c>
      <c r="L229" s="129">
        <v>94.280500000000004</v>
      </c>
      <c r="M229" s="129">
        <v>93.870699999999999</v>
      </c>
      <c r="N229" s="129">
        <v>93.728700000000003</v>
      </c>
      <c r="O229" s="129">
        <v>94.139300000000006</v>
      </c>
      <c r="P229" s="129">
        <v>93.271500000000003</v>
      </c>
      <c r="Q229" s="129">
        <v>93.488100000000003</v>
      </c>
      <c r="R229" s="129">
        <v>93.436800000000005</v>
      </c>
    </row>
    <row r="230" spans="1:18" ht="15">
      <c r="A230" s="141"/>
      <c r="B230" s="141"/>
      <c r="C230" s="141" t="s">
        <v>588</v>
      </c>
      <c r="D230" s="141"/>
      <c r="E230" s="301"/>
      <c r="F230" s="299">
        <v>8.1715649000000001E-2</v>
      </c>
      <c r="G230" s="129">
        <v>106.8146</v>
      </c>
      <c r="H230" s="129">
        <v>106.92959999999999</v>
      </c>
      <c r="I230" s="129">
        <v>106.9041</v>
      </c>
      <c r="J230" s="129">
        <v>107.13930000000001</v>
      </c>
      <c r="K230" s="129">
        <v>106.86669999999999</v>
      </c>
      <c r="L230" s="129">
        <v>106.71250000000001</v>
      </c>
      <c r="M230" s="129">
        <v>106.36150000000001</v>
      </c>
      <c r="N230" s="129">
        <v>106.2015</v>
      </c>
      <c r="O230" s="129">
        <v>106.25</v>
      </c>
      <c r="P230" s="129">
        <v>106.7796</v>
      </c>
      <c r="Q230" s="129">
        <v>106.8627</v>
      </c>
      <c r="R230" s="129">
        <v>106.6194</v>
      </c>
    </row>
    <row r="231" spans="1:18" ht="15">
      <c r="A231" s="141"/>
      <c r="B231" s="141"/>
      <c r="C231" s="141"/>
      <c r="D231" s="141" t="s">
        <v>589</v>
      </c>
      <c r="E231" s="301"/>
      <c r="F231" s="299">
        <v>8.1715649000000001E-2</v>
      </c>
      <c r="G231" s="129">
        <v>106.8146</v>
      </c>
      <c r="H231" s="129">
        <v>106.92959999999999</v>
      </c>
      <c r="I231" s="129">
        <v>106.9041</v>
      </c>
      <c r="J231" s="129">
        <v>107.13930000000001</v>
      </c>
      <c r="K231" s="129">
        <v>106.86669999999999</v>
      </c>
      <c r="L231" s="129">
        <v>106.71250000000001</v>
      </c>
      <c r="M231" s="129">
        <v>106.36150000000001</v>
      </c>
      <c r="N231" s="129">
        <v>106.2015</v>
      </c>
      <c r="O231" s="129">
        <v>106.25</v>
      </c>
      <c r="P231" s="129">
        <v>106.7796</v>
      </c>
      <c r="Q231" s="129">
        <v>106.8627</v>
      </c>
      <c r="R231" s="129">
        <v>106.6194</v>
      </c>
    </row>
    <row r="232" spans="1:18" ht="15">
      <c r="A232" s="141"/>
      <c r="B232" s="141"/>
      <c r="C232" s="141"/>
      <c r="D232" s="141"/>
      <c r="E232" s="301" t="s">
        <v>590</v>
      </c>
      <c r="F232" s="299">
        <v>2.2470347000000002E-2</v>
      </c>
      <c r="G232" s="129">
        <v>110.1494</v>
      </c>
      <c r="H232" s="129">
        <v>110.11969999999999</v>
      </c>
      <c r="I232" s="129">
        <v>109.9579</v>
      </c>
      <c r="J232" s="129">
        <v>110.45399999999999</v>
      </c>
      <c r="K232" s="129">
        <v>109.3193</v>
      </c>
      <c r="L232" s="129">
        <v>108.8693</v>
      </c>
      <c r="M232" s="129">
        <v>109.33199999999999</v>
      </c>
      <c r="N232" s="129">
        <v>109.6524</v>
      </c>
      <c r="O232" s="129">
        <v>109.5254</v>
      </c>
      <c r="P232" s="129">
        <v>110.5501</v>
      </c>
      <c r="Q232" s="129">
        <v>110.8929</v>
      </c>
      <c r="R232" s="129">
        <v>110.84180000000001</v>
      </c>
    </row>
    <row r="233" spans="1:18" ht="15">
      <c r="A233" s="141"/>
      <c r="B233" s="141"/>
      <c r="C233" s="141"/>
      <c r="D233" s="141"/>
      <c r="E233" s="301" t="s">
        <v>591</v>
      </c>
      <c r="F233" s="299">
        <v>5.9245301E-2</v>
      </c>
      <c r="G233" s="129">
        <v>105.54989999999999</v>
      </c>
      <c r="H233" s="129">
        <v>105.7197</v>
      </c>
      <c r="I233" s="129">
        <v>105.74590000000001</v>
      </c>
      <c r="J233" s="129">
        <v>105.88209999999999</v>
      </c>
      <c r="K233" s="129">
        <v>105.93640000000001</v>
      </c>
      <c r="L233" s="129">
        <v>105.89449999999999</v>
      </c>
      <c r="M233" s="129">
        <v>105.23480000000001</v>
      </c>
      <c r="N233" s="129">
        <v>104.8926</v>
      </c>
      <c r="O233" s="129">
        <v>105.0077</v>
      </c>
      <c r="P233" s="129">
        <v>105.3496</v>
      </c>
      <c r="Q233" s="129">
        <v>105.3342</v>
      </c>
      <c r="R233" s="129">
        <v>105.0179</v>
      </c>
    </row>
    <row r="234" spans="1:18" ht="15">
      <c r="A234" s="141"/>
      <c r="B234" s="141"/>
      <c r="C234" s="141" t="s">
        <v>592</v>
      </c>
      <c r="D234" s="141"/>
      <c r="E234" s="301"/>
      <c r="F234" s="299">
        <v>0.14262319900000001</v>
      </c>
      <c r="G234" s="129">
        <v>125.8451</v>
      </c>
      <c r="H234" s="129">
        <v>126.5535</v>
      </c>
      <c r="I234" s="129">
        <v>126.7786</v>
      </c>
      <c r="J234" s="129">
        <v>127.2658</v>
      </c>
      <c r="K234" s="129">
        <v>128.25</v>
      </c>
      <c r="L234" s="129">
        <v>128.64250000000001</v>
      </c>
      <c r="M234" s="129">
        <v>128.97470000000001</v>
      </c>
      <c r="N234" s="129">
        <v>129.2088</v>
      </c>
      <c r="O234" s="129">
        <v>129.66</v>
      </c>
      <c r="P234" s="129">
        <v>130.20070000000001</v>
      </c>
      <c r="Q234" s="129">
        <v>130.78229999999999</v>
      </c>
      <c r="R234" s="129">
        <v>130.74010000000001</v>
      </c>
    </row>
    <row r="235" spans="1:18" ht="15" customHeight="1">
      <c r="A235" s="141"/>
      <c r="B235" s="141"/>
      <c r="C235" s="141"/>
      <c r="D235" s="141" t="s">
        <v>593</v>
      </c>
      <c r="E235" s="301"/>
      <c r="F235" s="299">
        <v>0.14262319900000001</v>
      </c>
      <c r="G235" s="129">
        <v>125.8451</v>
      </c>
      <c r="H235" s="129">
        <v>126.5535</v>
      </c>
      <c r="I235" s="129">
        <v>126.7786</v>
      </c>
      <c r="J235" s="129">
        <v>127.2658</v>
      </c>
      <c r="K235" s="129">
        <v>128.25</v>
      </c>
      <c r="L235" s="129">
        <v>128.64250000000001</v>
      </c>
      <c r="M235" s="129">
        <v>128.97470000000001</v>
      </c>
      <c r="N235" s="129">
        <v>129.2088</v>
      </c>
      <c r="O235" s="129">
        <v>129.66</v>
      </c>
      <c r="P235" s="129">
        <v>130.20070000000001</v>
      </c>
      <c r="Q235" s="129">
        <v>130.78229999999999</v>
      </c>
      <c r="R235" s="129">
        <v>130.74010000000001</v>
      </c>
    </row>
    <row r="236" spans="1:18" ht="15">
      <c r="A236" s="141"/>
      <c r="B236" s="141"/>
      <c r="C236" s="141"/>
      <c r="D236" s="141"/>
      <c r="E236" s="301" t="s">
        <v>594</v>
      </c>
      <c r="F236" s="299">
        <v>0.14262319900000001</v>
      </c>
      <c r="G236" s="129">
        <v>125.8451</v>
      </c>
      <c r="H236" s="129">
        <v>126.5535</v>
      </c>
      <c r="I236" s="129">
        <v>126.7786</v>
      </c>
      <c r="J236" s="129">
        <v>127.2658</v>
      </c>
      <c r="K236" s="129">
        <v>128.25</v>
      </c>
      <c r="L236" s="129">
        <v>128.64250000000001</v>
      </c>
      <c r="M236" s="129">
        <v>128.97470000000001</v>
      </c>
      <c r="N236" s="129">
        <v>129.2088</v>
      </c>
      <c r="O236" s="129">
        <v>129.66</v>
      </c>
      <c r="P236" s="129">
        <v>130.20070000000001</v>
      </c>
      <c r="Q236" s="129">
        <v>130.78229999999999</v>
      </c>
      <c r="R236" s="129">
        <v>130.74010000000001</v>
      </c>
    </row>
    <row r="237" spans="1:18" ht="15">
      <c r="A237" s="141"/>
      <c r="B237" s="141" t="s">
        <v>595</v>
      </c>
      <c r="C237" s="141"/>
      <c r="D237" s="141"/>
      <c r="E237" s="301"/>
      <c r="F237" s="299">
        <v>1.27458136</v>
      </c>
      <c r="G237" s="129">
        <v>89.774799999999999</v>
      </c>
      <c r="H237" s="129">
        <v>89.685400000000001</v>
      </c>
      <c r="I237" s="129">
        <v>89.060199999999995</v>
      </c>
      <c r="J237" s="129">
        <v>89.14</v>
      </c>
      <c r="K237" s="129">
        <v>88.650700000000001</v>
      </c>
      <c r="L237" s="129">
        <v>88.366900000000001</v>
      </c>
      <c r="M237" s="129">
        <v>88.036900000000003</v>
      </c>
      <c r="N237" s="129">
        <v>87.545900000000003</v>
      </c>
      <c r="O237" s="129">
        <v>87.647999999999996</v>
      </c>
      <c r="P237" s="129">
        <v>87.034599999999998</v>
      </c>
      <c r="Q237" s="129">
        <v>86.567999999999998</v>
      </c>
      <c r="R237" s="129">
        <v>86.8887</v>
      </c>
    </row>
    <row r="238" spans="1:18" ht="15">
      <c r="A238" s="141"/>
      <c r="B238" s="141"/>
      <c r="C238" s="141" t="s">
        <v>596</v>
      </c>
      <c r="D238" s="141"/>
      <c r="E238" s="301"/>
      <c r="F238" s="299">
        <v>1.27458136</v>
      </c>
      <c r="G238" s="129">
        <v>89.774799999999999</v>
      </c>
      <c r="H238" s="129">
        <v>89.685400000000001</v>
      </c>
      <c r="I238" s="129">
        <v>89.060199999999995</v>
      </c>
      <c r="J238" s="129">
        <v>89.14</v>
      </c>
      <c r="K238" s="129">
        <v>88.650700000000001</v>
      </c>
      <c r="L238" s="129">
        <v>88.366900000000001</v>
      </c>
      <c r="M238" s="129">
        <v>88.036900000000003</v>
      </c>
      <c r="N238" s="129">
        <v>87.545900000000003</v>
      </c>
      <c r="O238" s="129">
        <v>87.647999999999996</v>
      </c>
      <c r="P238" s="129">
        <v>87.034599999999998</v>
      </c>
      <c r="Q238" s="129">
        <v>86.567999999999998</v>
      </c>
      <c r="R238" s="129">
        <v>86.8887</v>
      </c>
    </row>
    <row r="239" spans="1:18" ht="15">
      <c r="A239" s="141"/>
      <c r="B239" s="141"/>
      <c r="C239" s="141"/>
      <c r="D239" s="141" t="s">
        <v>597</v>
      </c>
      <c r="E239" s="301"/>
      <c r="F239" s="299">
        <v>0.57538798300000005</v>
      </c>
      <c r="G239" s="129">
        <v>89.822299999999998</v>
      </c>
      <c r="H239" s="129">
        <v>89.615200000000002</v>
      </c>
      <c r="I239" s="129">
        <v>89.093199999999996</v>
      </c>
      <c r="J239" s="129">
        <v>89.136399999999995</v>
      </c>
      <c r="K239" s="129">
        <v>88.619699999999995</v>
      </c>
      <c r="L239" s="129">
        <v>88.468599999999995</v>
      </c>
      <c r="M239" s="129">
        <v>88.158199999999994</v>
      </c>
      <c r="N239" s="129">
        <v>87.753600000000006</v>
      </c>
      <c r="O239" s="129">
        <v>88.255399999999995</v>
      </c>
      <c r="P239" s="129">
        <v>87.180499999999995</v>
      </c>
      <c r="Q239" s="129">
        <v>86.833500000000001</v>
      </c>
      <c r="R239" s="129">
        <v>87.3446</v>
      </c>
    </row>
    <row r="240" spans="1:18" ht="15">
      <c r="A240" s="141"/>
      <c r="B240" s="141"/>
      <c r="C240" s="141"/>
      <c r="D240" s="141"/>
      <c r="E240" s="301" t="s">
        <v>598</v>
      </c>
      <c r="F240" s="299">
        <v>0.32609624399999998</v>
      </c>
      <c r="G240" s="129">
        <v>88.090900000000005</v>
      </c>
      <c r="H240" s="129">
        <v>87.885499999999993</v>
      </c>
      <c r="I240" s="129">
        <v>87.369</v>
      </c>
      <c r="J240" s="129">
        <v>87.308000000000007</v>
      </c>
      <c r="K240" s="129">
        <v>86.909300000000002</v>
      </c>
      <c r="L240" s="129">
        <v>86.630799999999994</v>
      </c>
      <c r="M240" s="129">
        <v>86.041499999999999</v>
      </c>
      <c r="N240" s="129">
        <v>85.513499999999993</v>
      </c>
      <c r="O240" s="129">
        <v>85.873000000000005</v>
      </c>
      <c r="P240" s="129">
        <v>85.251400000000004</v>
      </c>
      <c r="Q240" s="129">
        <v>84.753</v>
      </c>
      <c r="R240" s="129">
        <v>85.3523</v>
      </c>
    </row>
    <row r="241" spans="1:18" ht="15">
      <c r="A241" s="141"/>
      <c r="B241" s="141"/>
      <c r="C241" s="141"/>
      <c r="D241" s="141"/>
      <c r="E241" s="301" t="s">
        <v>599</v>
      </c>
      <c r="F241" s="299">
        <v>0.21642260299999999</v>
      </c>
      <c r="G241" s="129">
        <v>90.231399999999994</v>
      </c>
      <c r="H241" s="129">
        <v>89.906700000000001</v>
      </c>
      <c r="I241" s="129">
        <v>89.304199999999994</v>
      </c>
      <c r="J241" s="129">
        <v>89.512900000000002</v>
      </c>
      <c r="K241" s="129">
        <v>88.748800000000003</v>
      </c>
      <c r="L241" s="129">
        <v>88.766199999999998</v>
      </c>
      <c r="M241" s="129">
        <v>88.765299999999996</v>
      </c>
      <c r="N241" s="129">
        <v>88.513400000000004</v>
      </c>
      <c r="O241" s="129">
        <v>89.326099999999997</v>
      </c>
      <c r="P241" s="129">
        <v>87.458799999999997</v>
      </c>
      <c r="Q241" s="129">
        <v>87.365300000000005</v>
      </c>
      <c r="R241" s="129">
        <v>87.741900000000001</v>
      </c>
    </row>
    <row r="242" spans="1:18" ht="15">
      <c r="A242" s="141"/>
      <c r="B242" s="141"/>
      <c r="C242" s="141"/>
      <c r="D242" s="141"/>
      <c r="E242" s="301" t="s">
        <v>600</v>
      </c>
      <c r="F242" s="299">
        <v>3.2869137E-2</v>
      </c>
      <c r="G242" s="129">
        <v>104.30540000000001</v>
      </c>
      <c r="H242" s="129">
        <v>104.85599999999999</v>
      </c>
      <c r="I242" s="129">
        <v>104.81019999999999</v>
      </c>
      <c r="J242" s="129">
        <v>104.7971</v>
      </c>
      <c r="K242" s="129">
        <v>104.739</v>
      </c>
      <c r="L242" s="129">
        <v>104.742</v>
      </c>
      <c r="M242" s="129">
        <v>105.1598</v>
      </c>
      <c r="N242" s="129">
        <v>104.97410000000001</v>
      </c>
      <c r="O242" s="129">
        <v>104.8412</v>
      </c>
      <c r="P242" s="129">
        <v>104.48650000000001</v>
      </c>
      <c r="Q242" s="129">
        <v>103.9726</v>
      </c>
      <c r="R242" s="129">
        <v>104.49420000000001</v>
      </c>
    </row>
    <row r="243" spans="1:18" ht="15">
      <c r="A243" s="141"/>
      <c r="B243" s="141"/>
      <c r="C243" s="141"/>
      <c r="D243" s="141" t="s">
        <v>601</v>
      </c>
      <c r="E243" s="301"/>
      <c r="F243" s="299">
        <v>0.41502977899999999</v>
      </c>
      <c r="G243" s="129">
        <v>85.522900000000007</v>
      </c>
      <c r="H243" s="129">
        <v>85.396500000000003</v>
      </c>
      <c r="I243" s="129">
        <v>84.818299999999994</v>
      </c>
      <c r="J243" s="129">
        <v>84.912300000000002</v>
      </c>
      <c r="K243" s="129">
        <v>84.402199999999993</v>
      </c>
      <c r="L243" s="129">
        <v>84.01</v>
      </c>
      <c r="M243" s="129">
        <v>83.263300000000001</v>
      </c>
      <c r="N243" s="129">
        <v>82.775599999999997</v>
      </c>
      <c r="O243" s="129">
        <v>82.264899999999997</v>
      </c>
      <c r="P243" s="129">
        <v>82.344800000000006</v>
      </c>
      <c r="Q243" s="129">
        <v>81.600200000000001</v>
      </c>
      <c r="R243" s="129">
        <v>81.711600000000004</v>
      </c>
    </row>
    <row r="244" spans="1:18" ht="15">
      <c r="A244" s="141"/>
      <c r="B244" s="141"/>
      <c r="C244" s="141"/>
      <c r="D244" s="141"/>
      <c r="E244" s="301" t="s">
        <v>602</v>
      </c>
      <c r="F244" s="299">
        <v>0.201366191</v>
      </c>
      <c r="G244" s="129">
        <v>86.992099999999994</v>
      </c>
      <c r="H244" s="129">
        <v>86.953400000000002</v>
      </c>
      <c r="I244" s="129">
        <v>86.441800000000001</v>
      </c>
      <c r="J244" s="129">
        <v>86.498699999999999</v>
      </c>
      <c r="K244" s="129">
        <v>85.9923</v>
      </c>
      <c r="L244" s="129">
        <v>85.344499999999996</v>
      </c>
      <c r="M244" s="129">
        <v>84.506699999999995</v>
      </c>
      <c r="N244" s="129">
        <v>83.735399999999998</v>
      </c>
      <c r="O244" s="129">
        <v>82.998599999999996</v>
      </c>
      <c r="P244" s="129">
        <v>83.215900000000005</v>
      </c>
      <c r="Q244" s="129">
        <v>82.4739</v>
      </c>
      <c r="R244" s="129">
        <v>82.882099999999994</v>
      </c>
    </row>
    <row r="245" spans="1:18" ht="15">
      <c r="A245" s="141"/>
      <c r="B245" s="141"/>
      <c r="C245" s="141"/>
      <c r="D245" s="141"/>
      <c r="E245" s="301" t="s">
        <v>603</v>
      </c>
      <c r="F245" s="299">
        <v>3.8713958999999999E-2</v>
      </c>
      <c r="G245" s="129">
        <v>82.333299999999994</v>
      </c>
      <c r="H245" s="129">
        <v>82.741299999999995</v>
      </c>
      <c r="I245" s="129">
        <v>82.308700000000002</v>
      </c>
      <c r="J245" s="129">
        <v>81.2851</v>
      </c>
      <c r="K245" s="129">
        <v>81.116500000000002</v>
      </c>
      <c r="L245" s="129">
        <v>81.1066</v>
      </c>
      <c r="M245" s="129">
        <v>80.434299999999993</v>
      </c>
      <c r="N245" s="129">
        <v>79.804599999999994</v>
      </c>
      <c r="O245" s="129">
        <v>79.562100000000001</v>
      </c>
      <c r="P245" s="129">
        <v>79.100999999999999</v>
      </c>
      <c r="Q245" s="129">
        <v>78.110500000000002</v>
      </c>
      <c r="R245" s="129">
        <v>78.088800000000006</v>
      </c>
    </row>
    <row r="246" spans="1:18" ht="15">
      <c r="A246" s="141"/>
      <c r="B246" s="141"/>
      <c r="C246" s="141"/>
      <c r="D246" s="141"/>
      <c r="E246" s="301" t="s">
        <v>604</v>
      </c>
      <c r="F246" s="299">
        <v>0.143856924</v>
      </c>
      <c r="G246" s="129">
        <v>81.907499999999999</v>
      </c>
      <c r="H246" s="129">
        <v>81.608199999999997</v>
      </c>
      <c r="I246" s="129">
        <v>80.751000000000005</v>
      </c>
      <c r="J246" s="129">
        <v>81.203900000000004</v>
      </c>
      <c r="K246" s="129">
        <v>80.468699999999998</v>
      </c>
      <c r="L246" s="129">
        <v>80.299400000000006</v>
      </c>
      <c r="M246" s="129">
        <v>79.559600000000003</v>
      </c>
      <c r="N246" s="129">
        <v>79.3279</v>
      </c>
      <c r="O246" s="129">
        <v>78.961600000000004</v>
      </c>
      <c r="P246" s="129">
        <v>79.066299999999998</v>
      </c>
      <c r="Q246" s="129">
        <v>78.265699999999995</v>
      </c>
      <c r="R246" s="129">
        <v>77.962800000000001</v>
      </c>
    </row>
    <row r="247" spans="1:18" ht="15">
      <c r="A247" s="141"/>
      <c r="B247" s="141"/>
      <c r="C247" s="141"/>
      <c r="D247" s="141"/>
      <c r="E247" s="301" t="s">
        <v>605</v>
      </c>
      <c r="F247" s="299">
        <v>3.1092706000000001E-2</v>
      </c>
      <c r="G247" s="129">
        <v>96.706199999999995</v>
      </c>
      <c r="H247" s="129">
        <v>96.146500000000003</v>
      </c>
      <c r="I247" s="129">
        <v>96.247600000000006</v>
      </c>
      <c r="J247" s="129">
        <v>96.312399999999997</v>
      </c>
      <c r="K247" s="129">
        <v>96.394199999999998</v>
      </c>
      <c r="L247" s="129">
        <v>96.149900000000002</v>
      </c>
      <c r="M247" s="129">
        <v>95.869299999999996</v>
      </c>
      <c r="N247" s="129">
        <v>96.210700000000003</v>
      </c>
      <c r="O247" s="129">
        <v>96.160799999999995</v>
      </c>
      <c r="P247" s="129">
        <v>95.911199999999994</v>
      </c>
      <c r="Q247" s="129">
        <v>95.714399999999998</v>
      </c>
      <c r="R247" s="129">
        <v>95.987099999999998</v>
      </c>
    </row>
    <row r="248" spans="1:18" ht="15">
      <c r="A248" s="141"/>
      <c r="B248" s="141"/>
      <c r="C248" s="141"/>
      <c r="D248" s="141" t="s">
        <v>606</v>
      </c>
      <c r="E248" s="301"/>
      <c r="F248" s="299">
        <v>0.28416359800000002</v>
      </c>
      <c r="G248" s="129">
        <v>95.888800000000003</v>
      </c>
      <c r="H248" s="129">
        <v>96.0916</v>
      </c>
      <c r="I248" s="129">
        <v>95.188800000000001</v>
      </c>
      <c r="J248" s="129">
        <v>95.322199999999995</v>
      </c>
      <c r="K248" s="129">
        <v>94.918499999999995</v>
      </c>
      <c r="L248" s="129">
        <v>94.524600000000007</v>
      </c>
      <c r="M248" s="129">
        <v>94.763499999999993</v>
      </c>
      <c r="N248" s="129">
        <v>94.092600000000004</v>
      </c>
      <c r="O248" s="129">
        <v>94.280199999999994</v>
      </c>
      <c r="P248" s="129">
        <v>93.588999999999999</v>
      </c>
      <c r="Q248" s="129">
        <v>93.286100000000005</v>
      </c>
      <c r="R248" s="129">
        <v>93.526799999999994</v>
      </c>
    </row>
    <row r="249" spans="1:18" ht="15">
      <c r="A249" s="141"/>
      <c r="B249" s="141"/>
      <c r="C249" s="141"/>
      <c r="D249" s="141"/>
      <c r="E249" s="301" t="s">
        <v>607</v>
      </c>
      <c r="F249" s="299">
        <v>0.159983703</v>
      </c>
      <c r="G249" s="129">
        <v>94.074700000000007</v>
      </c>
      <c r="H249" s="129">
        <v>94.070800000000006</v>
      </c>
      <c r="I249" s="129">
        <v>93.377899999999997</v>
      </c>
      <c r="J249" s="129">
        <v>93.471900000000005</v>
      </c>
      <c r="K249" s="129">
        <v>92.953100000000006</v>
      </c>
      <c r="L249" s="129">
        <v>92.395600000000002</v>
      </c>
      <c r="M249" s="129">
        <v>92.9619</v>
      </c>
      <c r="N249" s="129">
        <v>92.429400000000001</v>
      </c>
      <c r="O249" s="129">
        <v>92.708699999999993</v>
      </c>
      <c r="P249" s="129">
        <v>92.064999999999998</v>
      </c>
      <c r="Q249" s="129">
        <v>91.759900000000002</v>
      </c>
      <c r="R249" s="129">
        <v>91.582999999999998</v>
      </c>
    </row>
    <row r="250" spans="1:18" ht="15">
      <c r="A250" s="141"/>
      <c r="B250" s="141"/>
      <c r="C250" s="141"/>
      <c r="D250" s="141"/>
      <c r="E250" s="301" t="s">
        <v>608</v>
      </c>
      <c r="F250" s="299">
        <v>0.124179895</v>
      </c>
      <c r="G250" s="129">
        <v>98.225800000000007</v>
      </c>
      <c r="H250" s="129">
        <v>98.6952</v>
      </c>
      <c r="I250" s="129">
        <v>97.521799999999999</v>
      </c>
      <c r="J250" s="129">
        <v>97.706000000000003</v>
      </c>
      <c r="K250" s="129">
        <v>97.450699999999998</v>
      </c>
      <c r="L250" s="129">
        <v>97.267300000000006</v>
      </c>
      <c r="M250" s="129">
        <v>97.084599999999995</v>
      </c>
      <c r="N250" s="129">
        <v>96.235200000000006</v>
      </c>
      <c r="O250" s="129">
        <v>96.3048</v>
      </c>
      <c r="P250" s="129">
        <v>95.552400000000006</v>
      </c>
      <c r="Q250" s="129">
        <v>95.252399999999994</v>
      </c>
      <c r="R250" s="129">
        <v>96.031099999999995</v>
      </c>
    </row>
    <row r="251" spans="1:18" ht="15">
      <c r="A251" s="141" t="s">
        <v>609</v>
      </c>
      <c r="B251" s="141"/>
      <c r="C251" s="141"/>
      <c r="D251" s="141"/>
      <c r="E251" s="301"/>
      <c r="F251" s="299">
        <v>12.9784343</v>
      </c>
      <c r="G251" s="129">
        <v>123.5979</v>
      </c>
      <c r="H251" s="129">
        <v>123.7403</v>
      </c>
      <c r="I251" s="129">
        <v>124.0239</v>
      </c>
      <c r="J251" s="129">
        <v>124.2636</v>
      </c>
      <c r="K251" s="129">
        <v>124.4509</v>
      </c>
      <c r="L251" s="129">
        <v>124.68</v>
      </c>
      <c r="M251" s="129">
        <v>125.60429999999999</v>
      </c>
      <c r="N251" s="129">
        <v>125.7616</v>
      </c>
      <c r="O251" s="129">
        <v>125.9025</v>
      </c>
      <c r="P251" s="129">
        <v>126.0076</v>
      </c>
      <c r="Q251" s="129">
        <v>126.1123</v>
      </c>
      <c r="R251" s="129">
        <v>126.28579999999999</v>
      </c>
    </row>
    <row r="252" spans="1:18" ht="15">
      <c r="A252" s="141"/>
      <c r="B252" s="141" t="s">
        <v>610</v>
      </c>
      <c r="C252" s="141"/>
      <c r="D252" s="141"/>
      <c r="E252" s="301"/>
      <c r="F252" s="299">
        <v>6.3978329399999998</v>
      </c>
      <c r="G252" s="129">
        <v>115.3145</v>
      </c>
      <c r="H252" s="129">
        <v>115.50279999999999</v>
      </c>
      <c r="I252" s="129">
        <v>115.72150000000001</v>
      </c>
      <c r="J252" s="129">
        <v>116.1874</v>
      </c>
      <c r="K252" s="129">
        <v>116.5052</v>
      </c>
      <c r="L252" s="129">
        <v>116.67100000000001</v>
      </c>
      <c r="M252" s="129">
        <v>117.19070000000001</v>
      </c>
      <c r="N252" s="129">
        <v>117.2846</v>
      </c>
      <c r="O252" s="129">
        <v>117.4126</v>
      </c>
      <c r="P252" s="129">
        <v>117.6454</v>
      </c>
      <c r="Q252" s="129">
        <v>117.90470000000001</v>
      </c>
      <c r="R252" s="129">
        <v>118.0806</v>
      </c>
    </row>
    <row r="253" spans="1:18" ht="15">
      <c r="A253" s="141"/>
      <c r="B253" s="141"/>
      <c r="C253" s="141" t="s">
        <v>611</v>
      </c>
      <c r="D253" s="141"/>
      <c r="E253" s="301"/>
      <c r="F253" s="299">
        <v>6.3978329399999998</v>
      </c>
      <c r="G253" s="129">
        <v>115.3145</v>
      </c>
      <c r="H253" s="129">
        <v>115.50279999999999</v>
      </c>
      <c r="I253" s="129">
        <v>115.72150000000001</v>
      </c>
      <c r="J253" s="129">
        <v>116.1874</v>
      </c>
      <c r="K253" s="129">
        <v>116.5052</v>
      </c>
      <c r="L253" s="129">
        <v>116.67100000000001</v>
      </c>
      <c r="M253" s="129">
        <v>117.19070000000001</v>
      </c>
      <c r="N253" s="129">
        <v>117.2846</v>
      </c>
      <c r="O253" s="129">
        <v>117.4126</v>
      </c>
      <c r="P253" s="129">
        <v>117.6454</v>
      </c>
      <c r="Q253" s="129">
        <v>117.90470000000001</v>
      </c>
      <c r="R253" s="129">
        <v>118.0806</v>
      </c>
    </row>
    <row r="254" spans="1:18" ht="15">
      <c r="A254" s="141"/>
      <c r="B254" s="141"/>
      <c r="C254" s="141"/>
      <c r="D254" s="141" t="s">
        <v>612</v>
      </c>
      <c r="E254" s="301"/>
      <c r="F254" s="299">
        <v>6.3978329399999998</v>
      </c>
      <c r="G254" s="129">
        <v>115.3145</v>
      </c>
      <c r="H254" s="129">
        <v>115.50279999999999</v>
      </c>
      <c r="I254" s="129">
        <v>115.72150000000001</v>
      </c>
      <c r="J254" s="129">
        <v>116.1874</v>
      </c>
      <c r="K254" s="129">
        <v>116.5052</v>
      </c>
      <c r="L254" s="129">
        <v>116.67100000000001</v>
      </c>
      <c r="M254" s="129">
        <v>117.19070000000001</v>
      </c>
      <c r="N254" s="129">
        <v>117.2846</v>
      </c>
      <c r="O254" s="129">
        <v>117.4126</v>
      </c>
      <c r="P254" s="129">
        <v>117.6454</v>
      </c>
      <c r="Q254" s="129">
        <v>117.90470000000001</v>
      </c>
      <c r="R254" s="129">
        <v>118.0806</v>
      </c>
    </row>
    <row r="255" spans="1:18" ht="15">
      <c r="A255" s="141"/>
      <c r="B255" s="141"/>
      <c r="C255" s="141"/>
      <c r="D255" s="141"/>
      <c r="E255" s="301" t="s">
        <v>613</v>
      </c>
      <c r="F255" s="299">
        <v>6.3978329399999998</v>
      </c>
      <c r="G255" s="129">
        <v>115.3145</v>
      </c>
      <c r="H255" s="129">
        <v>115.50279999999999</v>
      </c>
      <c r="I255" s="129">
        <v>115.72150000000001</v>
      </c>
      <c r="J255" s="129">
        <v>116.1874</v>
      </c>
      <c r="K255" s="129">
        <v>116.5052</v>
      </c>
      <c r="L255" s="129">
        <v>116.67100000000001</v>
      </c>
      <c r="M255" s="129">
        <v>117.19070000000001</v>
      </c>
      <c r="N255" s="129">
        <v>117.2846</v>
      </c>
      <c r="O255" s="129">
        <v>117.4126</v>
      </c>
      <c r="P255" s="129">
        <v>117.6454</v>
      </c>
      <c r="Q255" s="129">
        <v>117.90470000000001</v>
      </c>
      <c r="R255" s="129">
        <v>118.0806</v>
      </c>
    </row>
    <row r="256" spans="1:18" ht="15">
      <c r="A256" s="141"/>
      <c r="B256" s="141" t="s">
        <v>614</v>
      </c>
      <c r="C256" s="141"/>
      <c r="D256" s="141"/>
      <c r="E256" s="301"/>
      <c r="F256" s="299">
        <v>0.96549262499999999</v>
      </c>
      <c r="G256" s="129">
        <v>138.18440000000001</v>
      </c>
      <c r="H256" s="129">
        <v>138.72829999999999</v>
      </c>
      <c r="I256" s="129">
        <v>140.0804</v>
      </c>
      <c r="J256" s="129">
        <v>140.47499999999999</v>
      </c>
      <c r="K256" s="129">
        <v>140.23750000000001</v>
      </c>
      <c r="L256" s="129">
        <v>141.0547</v>
      </c>
      <c r="M256" s="129">
        <v>141.05779999999999</v>
      </c>
      <c r="N256" s="129">
        <v>141.66800000000001</v>
      </c>
      <c r="O256" s="129">
        <v>142.60310000000001</v>
      </c>
      <c r="P256" s="129">
        <v>142.51840000000001</v>
      </c>
      <c r="Q256" s="129">
        <v>141.92240000000001</v>
      </c>
      <c r="R256" s="129">
        <v>143.0926</v>
      </c>
    </row>
    <row r="257" spans="1:18" ht="15">
      <c r="A257" s="141"/>
      <c r="B257" s="141"/>
      <c r="C257" s="141" t="s">
        <v>615</v>
      </c>
      <c r="D257" s="141"/>
      <c r="E257" s="301"/>
      <c r="F257" s="299">
        <v>0.33477081199999997</v>
      </c>
      <c r="G257" s="129">
        <v>138.11539999999999</v>
      </c>
      <c r="H257" s="129">
        <v>137.8629</v>
      </c>
      <c r="I257" s="129">
        <v>138.68430000000001</v>
      </c>
      <c r="J257" s="129">
        <v>138.96010000000001</v>
      </c>
      <c r="K257" s="129">
        <v>137.25649999999999</v>
      </c>
      <c r="L257" s="129">
        <v>138.7123</v>
      </c>
      <c r="M257" s="129">
        <v>137.75229999999999</v>
      </c>
      <c r="N257" s="129">
        <v>138.80590000000001</v>
      </c>
      <c r="O257" s="129">
        <v>139.33969999999999</v>
      </c>
      <c r="P257" s="129">
        <v>137.934</v>
      </c>
      <c r="Q257" s="129">
        <v>134.87350000000001</v>
      </c>
      <c r="R257" s="129">
        <v>135.76220000000001</v>
      </c>
    </row>
    <row r="258" spans="1:18" ht="15">
      <c r="A258" s="141"/>
      <c r="B258" s="141"/>
      <c r="C258" s="141"/>
      <c r="D258" s="141" t="s">
        <v>616</v>
      </c>
      <c r="E258" s="301"/>
      <c r="F258" s="299">
        <v>0.33477081199999997</v>
      </c>
      <c r="G258" s="129">
        <v>138.11539999999999</v>
      </c>
      <c r="H258" s="129">
        <v>137.8629</v>
      </c>
      <c r="I258" s="129">
        <v>138.68430000000001</v>
      </c>
      <c r="J258" s="129">
        <v>138.96010000000001</v>
      </c>
      <c r="K258" s="129">
        <v>137.25649999999999</v>
      </c>
      <c r="L258" s="129">
        <v>138.7123</v>
      </c>
      <c r="M258" s="129">
        <v>137.75229999999999</v>
      </c>
      <c r="N258" s="129">
        <v>138.80590000000001</v>
      </c>
      <c r="O258" s="129">
        <v>139.33969999999999</v>
      </c>
      <c r="P258" s="129">
        <v>137.934</v>
      </c>
      <c r="Q258" s="129">
        <v>134.87350000000001</v>
      </c>
      <c r="R258" s="129">
        <v>135.76220000000001</v>
      </c>
    </row>
    <row r="259" spans="1:18" ht="15" customHeight="1">
      <c r="A259" s="141"/>
      <c r="B259" s="141"/>
      <c r="C259" s="141"/>
      <c r="D259" s="141"/>
      <c r="E259" s="301" t="s">
        <v>617</v>
      </c>
      <c r="F259" s="299">
        <v>0.33477081199999997</v>
      </c>
      <c r="G259" s="129">
        <v>138.11539999999999</v>
      </c>
      <c r="H259" s="129">
        <v>137.8629</v>
      </c>
      <c r="I259" s="129">
        <v>138.68430000000001</v>
      </c>
      <c r="J259" s="129">
        <v>138.96010000000001</v>
      </c>
      <c r="K259" s="129">
        <v>137.25649999999999</v>
      </c>
      <c r="L259" s="129">
        <v>138.7123</v>
      </c>
      <c r="M259" s="129">
        <v>137.75229999999999</v>
      </c>
      <c r="N259" s="129">
        <v>138.80590000000001</v>
      </c>
      <c r="O259" s="129">
        <v>139.33969999999999</v>
      </c>
      <c r="P259" s="129">
        <v>137.934</v>
      </c>
      <c r="Q259" s="129">
        <v>134.87350000000001</v>
      </c>
      <c r="R259" s="129">
        <v>135.76220000000001</v>
      </c>
    </row>
    <row r="260" spans="1:18" ht="15">
      <c r="A260" s="141"/>
      <c r="B260" s="141"/>
      <c r="C260" s="141" t="s">
        <v>618</v>
      </c>
      <c r="D260" s="141"/>
      <c r="E260" s="301"/>
      <c r="F260" s="299">
        <v>0.63072181299999996</v>
      </c>
      <c r="G260" s="129">
        <v>138.221</v>
      </c>
      <c r="H260" s="129">
        <v>139.18770000000001</v>
      </c>
      <c r="I260" s="129">
        <v>140.82140000000001</v>
      </c>
      <c r="J260" s="129">
        <v>141.2791</v>
      </c>
      <c r="K260" s="129">
        <v>141.81970000000001</v>
      </c>
      <c r="L260" s="129">
        <v>142.298</v>
      </c>
      <c r="M260" s="129">
        <v>142.81229999999999</v>
      </c>
      <c r="N260" s="129">
        <v>143.18719999999999</v>
      </c>
      <c r="O260" s="129">
        <v>144.33529999999999</v>
      </c>
      <c r="P260" s="129">
        <v>144.95160000000001</v>
      </c>
      <c r="Q260" s="129">
        <v>145.66380000000001</v>
      </c>
      <c r="R260" s="129">
        <v>146.98339999999999</v>
      </c>
    </row>
    <row r="261" spans="1:18" ht="15">
      <c r="A261" s="141"/>
      <c r="B261" s="141"/>
      <c r="C261" s="141"/>
      <c r="D261" s="141" t="s">
        <v>619</v>
      </c>
      <c r="E261" s="301"/>
      <c r="F261" s="300">
        <v>0.63072181299999996</v>
      </c>
      <c r="G261" s="130">
        <v>138.221</v>
      </c>
      <c r="H261" s="130">
        <v>139.18770000000001</v>
      </c>
      <c r="I261" s="130">
        <v>140.82140000000001</v>
      </c>
      <c r="J261" s="130">
        <v>141.2791</v>
      </c>
      <c r="K261" s="130">
        <v>141.81970000000001</v>
      </c>
      <c r="L261" s="130">
        <v>142.298</v>
      </c>
      <c r="M261" s="130">
        <v>142.81229999999999</v>
      </c>
      <c r="N261" s="130">
        <v>143.18719999999999</v>
      </c>
      <c r="O261" s="130">
        <v>144.33529999999999</v>
      </c>
      <c r="P261" s="130">
        <v>144.95160000000001</v>
      </c>
      <c r="Q261" s="130">
        <v>145.66380000000001</v>
      </c>
      <c r="R261" s="130">
        <v>146.98339999999999</v>
      </c>
    </row>
    <row r="262" spans="1:18" ht="15">
      <c r="A262" s="141"/>
      <c r="B262" s="141"/>
      <c r="C262" s="141"/>
      <c r="D262" s="141"/>
      <c r="E262" s="301" t="s">
        <v>620</v>
      </c>
      <c r="F262" s="299">
        <v>5.6343944999999999E-2</v>
      </c>
      <c r="G262" s="129">
        <v>210.9436</v>
      </c>
      <c r="H262" s="129">
        <v>213.46690000000001</v>
      </c>
      <c r="I262" s="129">
        <v>216.2268</v>
      </c>
      <c r="J262" s="129">
        <v>217.79570000000001</v>
      </c>
      <c r="K262" s="129">
        <v>219.2895</v>
      </c>
      <c r="L262" s="129">
        <v>221.1713</v>
      </c>
      <c r="M262" s="129">
        <v>222.15710000000001</v>
      </c>
      <c r="N262" s="129">
        <v>222.86590000000001</v>
      </c>
      <c r="O262" s="129">
        <v>224.66480000000001</v>
      </c>
      <c r="P262" s="129">
        <v>225.54490000000001</v>
      </c>
      <c r="Q262" s="129">
        <v>227.79329999999999</v>
      </c>
      <c r="R262" s="129">
        <v>229.6497</v>
      </c>
    </row>
    <row r="263" spans="1:18" ht="15">
      <c r="A263" s="141"/>
      <c r="B263" s="141"/>
      <c r="C263" s="141"/>
      <c r="D263" s="141"/>
      <c r="E263" s="301" t="s">
        <v>621</v>
      </c>
      <c r="F263" s="281">
        <v>0.57437786700000004</v>
      </c>
      <c r="G263" s="129">
        <v>131.0872</v>
      </c>
      <c r="H263" s="129">
        <v>131.90129999999999</v>
      </c>
      <c r="I263" s="129">
        <v>133.42439999999999</v>
      </c>
      <c r="J263" s="129">
        <v>133.7731</v>
      </c>
      <c r="K263" s="129">
        <v>134.22030000000001</v>
      </c>
      <c r="L263" s="129">
        <v>134.5609</v>
      </c>
      <c r="M263" s="129">
        <v>135.029</v>
      </c>
      <c r="N263" s="129">
        <v>135.37100000000001</v>
      </c>
      <c r="O263" s="129">
        <v>136.45529999999999</v>
      </c>
      <c r="P263" s="129">
        <v>137.04580000000001</v>
      </c>
      <c r="Q263" s="129">
        <v>137.60720000000001</v>
      </c>
      <c r="R263" s="129">
        <v>138.8742</v>
      </c>
    </row>
    <row r="264" spans="1:18" ht="15">
      <c r="A264" s="141"/>
      <c r="B264" s="141" t="s">
        <v>622</v>
      </c>
      <c r="C264" s="141"/>
      <c r="D264" s="141"/>
      <c r="E264" s="301"/>
      <c r="F264" s="281">
        <v>0.82742868800000002</v>
      </c>
      <c r="G264" s="129">
        <v>118.0484</v>
      </c>
      <c r="H264" s="129">
        <v>118.0484</v>
      </c>
      <c r="I264" s="129">
        <v>119.10290000000001</v>
      </c>
      <c r="J264" s="129">
        <v>119.1335</v>
      </c>
      <c r="K264" s="129">
        <v>119.8116</v>
      </c>
      <c r="L264" s="129">
        <v>119.8728</v>
      </c>
      <c r="M264" s="129">
        <v>119.8728</v>
      </c>
      <c r="N264" s="129">
        <v>120.8419</v>
      </c>
      <c r="O264" s="129">
        <v>120.8338</v>
      </c>
      <c r="P264" s="129">
        <v>120.8338</v>
      </c>
      <c r="Q264" s="129">
        <v>120.8338</v>
      </c>
      <c r="R264" s="129">
        <v>120.8338</v>
      </c>
    </row>
    <row r="265" spans="1:18" ht="15">
      <c r="A265" s="141"/>
      <c r="B265" s="141"/>
      <c r="C265" s="141" t="s">
        <v>623</v>
      </c>
      <c r="D265" s="141"/>
      <c r="E265" s="301"/>
      <c r="F265" s="299">
        <v>0.38879435499999998</v>
      </c>
      <c r="G265" s="129">
        <v>118.8349</v>
      </c>
      <c r="H265" s="129">
        <v>118.8349</v>
      </c>
      <c r="I265" s="129">
        <v>118.8349</v>
      </c>
      <c r="J265" s="129">
        <v>118.8999</v>
      </c>
      <c r="K265" s="129">
        <v>118.9427</v>
      </c>
      <c r="L265" s="129">
        <v>119.07299999999999</v>
      </c>
      <c r="M265" s="129">
        <v>119.07299999999999</v>
      </c>
      <c r="N265" s="129">
        <v>119.07299999999999</v>
      </c>
      <c r="O265" s="129">
        <v>119.1887</v>
      </c>
      <c r="P265" s="129">
        <v>119.1887</v>
      </c>
      <c r="Q265" s="129">
        <v>119.1887</v>
      </c>
      <c r="R265" s="129">
        <v>119.1887</v>
      </c>
    </row>
    <row r="266" spans="1:18" ht="15">
      <c r="A266" s="141"/>
      <c r="B266" s="141"/>
      <c r="C266" s="141"/>
      <c r="D266" s="141" t="s">
        <v>624</v>
      </c>
      <c r="E266" s="301"/>
      <c r="F266" s="299">
        <v>0.38879435499999998</v>
      </c>
      <c r="G266" s="129">
        <v>118.8349</v>
      </c>
      <c r="H266" s="129">
        <v>118.8349</v>
      </c>
      <c r="I266" s="129">
        <v>118.8349</v>
      </c>
      <c r="J266" s="129">
        <v>118.8999</v>
      </c>
      <c r="K266" s="129">
        <v>118.9427</v>
      </c>
      <c r="L266" s="129">
        <v>119.07299999999999</v>
      </c>
      <c r="M266" s="129">
        <v>119.07299999999999</v>
      </c>
      <c r="N266" s="129">
        <v>119.07299999999999</v>
      </c>
      <c r="O266" s="129">
        <v>119.1887</v>
      </c>
      <c r="P266" s="129">
        <v>119.1887</v>
      </c>
      <c r="Q266" s="129">
        <v>119.1887</v>
      </c>
      <c r="R266" s="129">
        <v>119.1887</v>
      </c>
    </row>
    <row r="267" spans="1:18" ht="15">
      <c r="A267" s="141"/>
      <c r="B267" s="141"/>
      <c r="C267" s="141"/>
      <c r="D267" s="141"/>
      <c r="E267" s="301" t="s">
        <v>625</v>
      </c>
      <c r="F267" s="299">
        <v>0.341260287</v>
      </c>
      <c r="G267" s="129">
        <v>118.9736</v>
      </c>
      <c r="H267" s="129">
        <v>118.9736</v>
      </c>
      <c r="I267" s="129">
        <v>118.9736</v>
      </c>
      <c r="J267" s="129">
        <v>118.9736</v>
      </c>
      <c r="K267" s="129">
        <v>118.9736</v>
      </c>
      <c r="L267" s="129">
        <v>118.9736</v>
      </c>
      <c r="M267" s="129">
        <v>118.9736</v>
      </c>
      <c r="N267" s="129">
        <v>118.9736</v>
      </c>
      <c r="O267" s="129">
        <v>118.9736</v>
      </c>
      <c r="P267" s="134">
        <v>118.9736</v>
      </c>
      <c r="Q267" s="129">
        <v>118.9736</v>
      </c>
      <c r="R267" s="129">
        <v>118.9736</v>
      </c>
    </row>
    <row r="268" spans="1:18" ht="15">
      <c r="A268" s="141"/>
      <c r="B268" s="141"/>
      <c r="C268" s="141"/>
      <c r="D268" s="141"/>
      <c r="E268" s="301" t="s">
        <v>626</v>
      </c>
      <c r="F268" s="299">
        <v>4.7534067999999999E-2</v>
      </c>
      <c r="G268" s="129">
        <v>117.83880000000001</v>
      </c>
      <c r="H268" s="129">
        <v>117.83880000000001</v>
      </c>
      <c r="I268" s="129">
        <v>117.83880000000001</v>
      </c>
      <c r="J268" s="129">
        <v>118.3703</v>
      </c>
      <c r="K268" s="129">
        <v>118.72020000000001</v>
      </c>
      <c r="L268" s="129">
        <v>119.7861</v>
      </c>
      <c r="M268" s="129">
        <v>119.7861</v>
      </c>
      <c r="N268" s="129">
        <v>119.7861</v>
      </c>
      <c r="O268" s="129">
        <v>120.73260000000001</v>
      </c>
      <c r="P268" s="129">
        <v>120.73260000000001</v>
      </c>
      <c r="Q268" s="129">
        <v>120.73260000000001</v>
      </c>
      <c r="R268" s="129">
        <v>120.73260000000001</v>
      </c>
    </row>
    <row r="269" spans="1:18" ht="15">
      <c r="A269" s="141"/>
      <c r="B269" s="141"/>
      <c r="C269" s="141" t="s">
        <v>627</v>
      </c>
      <c r="D269" s="141"/>
      <c r="E269" s="301"/>
      <c r="F269" s="299">
        <v>0.106279659</v>
      </c>
      <c r="G269" s="129">
        <v>148.92310000000001</v>
      </c>
      <c r="H269" s="129">
        <v>148.92310000000001</v>
      </c>
      <c r="I269" s="129">
        <v>148.92310000000001</v>
      </c>
      <c r="J269" s="129">
        <v>148.92310000000001</v>
      </c>
      <c r="K269" s="129">
        <v>149.41220000000001</v>
      </c>
      <c r="L269" s="129">
        <v>149.41220000000001</v>
      </c>
      <c r="M269" s="129">
        <v>149.41220000000001</v>
      </c>
      <c r="N269" s="129">
        <v>149.41220000000001</v>
      </c>
      <c r="O269" s="129">
        <v>148.9254</v>
      </c>
      <c r="P269" s="129">
        <v>148.9254</v>
      </c>
      <c r="Q269" s="129">
        <v>148.9254</v>
      </c>
      <c r="R269" s="129">
        <v>148.9254</v>
      </c>
    </row>
    <row r="270" spans="1:18" ht="15">
      <c r="A270" s="141"/>
      <c r="B270" s="141"/>
      <c r="C270" s="141"/>
      <c r="D270" s="141" t="s">
        <v>628</v>
      </c>
      <c r="E270" s="301"/>
      <c r="F270" s="299">
        <v>0.106279659</v>
      </c>
      <c r="G270" s="129">
        <v>148.92310000000001</v>
      </c>
      <c r="H270" s="129">
        <v>148.92310000000001</v>
      </c>
      <c r="I270" s="129">
        <v>148.92310000000001</v>
      </c>
      <c r="J270" s="129">
        <v>148.92310000000001</v>
      </c>
      <c r="K270" s="129">
        <v>149.41220000000001</v>
      </c>
      <c r="L270" s="129">
        <v>149.41220000000001</v>
      </c>
      <c r="M270" s="129">
        <v>149.41220000000001</v>
      </c>
      <c r="N270" s="129">
        <v>149.41220000000001</v>
      </c>
      <c r="O270" s="129">
        <v>148.9254</v>
      </c>
      <c r="P270" s="129">
        <v>148.9254</v>
      </c>
      <c r="Q270" s="129">
        <v>148.9254</v>
      </c>
      <c r="R270" s="129">
        <v>148.9254</v>
      </c>
    </row>
    <row r="271" spans="1:18" ht="15">
      <c r="A271" s="141"/>
      <c r="B271" s="141"/>
      <c r="C271" s="141"/>
      <c r="D271" s="141"/>
      <c r="E271" s="301" t="s">
        <v>629</v>
      </c>
      <c r="F271" s="299">
        <v>0.106279659</v>
      </c>
      <c r="G271" s="129">
        <v>148.92310000000001</v>
      </c>
      <c r="H271" s="129">
        <v>148.92310000000001</v>
      </c>
      <c r="I271" s="129">
        <v>148.92310000000001</v>
      </c>
      <c r="J271" s="129">
        <v>148.92310000000001</v>
      </c>
      <c r="K271" s="129">
        <v>149.41220000000001</v>
      </c>
      <c r="L271" s="129">
        <v>149.41220000000001</v>
      </c>
      <c r="M271" s="129">
        <v>149.41220000000001</v>
      </c>
      <c r="N271" s="129">
        <v>149.41220000000001</v>
      </c>
      <c r="O271" s="129">
        <v>148.9254</v>
      </c>
      <c r="P271" s="129">
        <v>148.9254</v>
      </c>
      <c r="Q271" s="129">
        <v>148.9254</v>
      </c>
      <c r="R271" s="129">
        <v>148.9254</v>
      </c>
    </row>
    <row r="272" spans="1:18" ht="15">
      <c r="A272" s="141"/>
      <c r="B272" s="141"/>
      <c r="C272" s="141" t="s">
        <v>630</v>
      </c>
      <c r="D272" s="141"/>
      <c r="E272" s="301"/>
      <c r="F272" s="299">
        <v>0.33235467400000002</v>
      </c>
      <c r="G272" s="129">
        <v>107.25539999999999</v>
      </c>
      <c r="H272" s="129">
        <v>107.25539999999999</v>
      </c>
      <c r="I272" s="129">
        <v>109.8806</v>
      </c>
      <c r="J272" s="129">
        <v>109.8806</v>
      </c>
      <c r="K272" s="129">
        <v>111.3625</v>
      </c>
      <c r="L272" s="129">
        <v>111.3625</v>
      </c>
      <c r="M272" s="129">
        <v>111.3625</v>
      </c>
      <c r="N272" s="129">
        <v>113.7752</v>
      </c>
      <c r="O272" s="129">
        <v>113.7752</v>
      </c>
      <c r="P272" s="129">
        <v>113.7752</v>
      </c>
      <c r="Q272" s="129">
        <v>113.7752</v>
      </c>
      <c r="R272" s="129">
        <v>113.7752</v>
      </c>
    </row>
    <row r="273" spans="1:18" ht="15">
      <c r="A273" s="141"/>
      <c r="B273" s="141"/>
      <c r="C273" s="141"/>
      <c r="D273" s="141" t="s">
        <v>631</v>
      </c>
      <c r="E273" s="301"/>
      <c r="F273" s="299">
        <v>0.33235467400000002</v>
      </c>
      <c r="G273" s="129">
        <v>107.25539999999999</v>
      </c>
      <c r="H273" s="129">
        <v>107.25539999999999</v>
      </c>
      <c r="I273" s="129">
        <v>109.8806</v>
      </c>
      <c r="J273" s="129">
        <v>109.8806</v>
      </c>
      <c r="K273" s="129">
        <v>111.3625</v>
      </c>
      <c r="L273" s="129">
        <v>111.3625</v>
      </c>
      <c r="M273" s="129">
        <v>111.3625</v>
      </c>
      <c r="N273" s="129">
        <v>113.7752</v>
      </c>
      <c r="O273" s="129">
        <v>113.7752</v>
      </c>
      <c r="P273" s="129">
        <v>113.7752</v>
      </c>
      <c r="Q273" s="129">
        <v>113.7752</v>
      </c>
      <c r="R273" s="129">
        <v>113.7752</v>
      </c>
    </row>
    <row r="274" spans="1:18" ht="15">
      <c r="A274" s="141"/>
      <c r="B274" s="141"/>
      <c r="C274" s="141"/>
      <c r="D274" s="141"/>
      <c r="E274" s="301" t="s">
        <v>632</v>
      </c>
      <c r="F274" s="299">
        <v>0.33235467400000002</v>
      </c>
      <c r="G274" s="129">
        <v>107.25539999999999</v>
      </c>
      <c r="H274" s="129">
        <v>107.25539999999999</v>
      </c>
      <c r="I274" s="129">
        <v>109.8806</v>
      </c>
      <c r="J274" s="129">
        <v>109.8806</v>
      </c>
      <c r="K274" s="129">
        <v>111.3625</v>
      </c>
      <c r="L274" s="129">
        <v>111.3625</v>
      </c>
      <c r="M274" s="129">
        <v>111.3625</v>
      </c>
      <c r="N274" s="129">
        <v>113.7752</v>
      </c>
      <c r="O274" s="129">
        <v>113.7752</v>
      </c>
      <c r="P274" s="129">
        <v>113.7752</v>
      </c>
      <c r="Q274" s="129">
        <v>113.7752</v>
      </c>
      <c r="R274" s="129">
        <v>113.7752</v>
      </c>
    </row>
    <row r="275" spans="1:18" ht="15">
      <c r="A275" s="141"/>
      <c r="B275" s="141" t="s">
        <v>633</v>
      </c>
      <c r="C275" s="141"/>
      <c r="D275" s="141"/>
      <c r="E275" s="301"/>
      <c r="F275" s="299">
        <v>4.7876800299999998</v>
      </c>
      <c r="G275" s="129">
        <v>132.68450000000001</v>
      </c>
      <c r="H275" s="129">
        <v>132.70930000000001</v>
      </c>
      <c r="I275" s="129">
        <v>132.7311</v>
      </c>
      <c r="J275" s="129">
        <v>132.67320000000001</v>
      </c>
      <c r="K275" s="129">
        <v>132.68700000000001</v>
      </c>
      <c r="L275" s="129">
        <v>132.9111</v>
      </c>
      <c r="M275" s="129">
        <v>134.7217</v>
      </c>
      <c r="N275" s="129">
        <v>134.732</v>
      </c>
      <c r="O275" s="129">
        <v>134.75569999999999</v>
      </c>
      <c r="P275" s="129">
        <v>134.7465</v>
      </c>
      <c r="Q275" s="129">
        <v>134.80420000000001</v>
      </c>
      <c r="R275" s="129">
        <v>134.80330000000001</v>
      </c>
    </row>
    <row r="276" spans="1:18" ht="15">
      <c r="A276" s="141"/>
      <c r="B276" s="141"/>
      <c r="C276" s="141" t="s">
        <v>634</v>
      </c>
      <c r="D276" s="141"/>
      <c r="E276" s="301"/>
      <c r="F276" s="299">
        <v>2.57638408</v>
      </c>
      <c r="G276" s="129">
        <v>131.59399999999999</v>
      </c>
      <c r="H276" s="129">
        <v>131.59399999999999</v>
      </c>
      <c r="I276" s="129">
        <v>131.59399999999999</v>
      </c>
      <c r="J276" s="129">
        <v>131.59399999999999</v>
      </c>
      <c r="K276" s="129">
        <v>131.59399999999999</v>
      </c>
      <c r="L276" s="129">
        <v>131.59399999999999</v>
      </c>
      <c r="M276" s="129">
        <v>131.59399999999999</v>
      </c>
      <c r="N276" s="129">
        <v>131.59399999999999</v>
      </c>
      <c r="O276" s="129">
        <v>131.59399999999999</v>
      </c>
      <c r="P276" s="129">
        <v>131.59399999999999</v>
      </c>
      <c r="Q276" s="129">
        <v>131.59399999999999</v>
      </c>
      <c r="R276" s="129">
        <v>131.59399999999999</v>
      </c>
    </row>
    <row r="277" spans="1:18" ht="15">
      <c r="A277" s="141"/>
      <c r="B277" s="141"/>
      <c r="C277" s="141"/>
      <c r="D277" s="141" t="s">
        <v>635</v>
      </c>
      <c r="E277" s="301"/>
      <c r="F277" s="299">
        <v>2.57638408</v>
      </c>
      <c r="G277" s="129">
        <v>131.59399999999999</v>
      </c>
      <c r="H277" s="129">
        <v>131.59399999999999</v>
      </c>
      <c r="I277" s="129">
        <v>131.59399999999999</v>
      </c>
      <c r="J277" s="129">
        <v>131.59399999999999</v>
      </c>
      <c r="K277" s="129">
        <v>131.59399999999999</v>
      </c>
      <c r="L277" s="129">
        <v>131.59399999999999</v>
      </c>
      <c r="M277" s="129">
        <v>131.59399999999999</v>
      </c>
      <c r="N277" s="129">
        <v>131.59399999999999</v>
      </c>
      <c r="O277" s="129">
        <v>131.59399999999999</v>
      </c>
      <c r="P277" s="129">
        <v>131.59399999999999</v>
      </c>
      <c r="Q277" s="129">
        <v>131.59399999999999</v>
      </c>
      <c r="R277" s="129">
        <v>131.59399999999999</v>
      </c>
    </row>
    <row r="278" spans="1:18" ht="15">
      <c r="A278" s="141"/>
      <c r="B278" s="141"/>
      <c r="C278" s="141"/>
      <c r="D278" s="141"/>
      <c r="E278" s="301" t="s">
        <v>636</v>
      </c>
      <c r="F278" s="299">
        <v>2.57638408</v>
      </c>
      <c r="G278" s="129">
        <v>131.59399999999999</v>
      </c>
      <c r="H278" s="129">
        <v>131.59399999999999</v>
      </c>
      <c r="I278" s="129">
        <v>131.59399999999999</v>
      </c>
      <c r="J278" s="129">
        <v>131.59399999999999</v>
      </c>
      <c r="K278" s="129">
        <v>131.59399999999999</v>
      </c>
      <c r="L278" s="129">
        <v>131.59399999999999</v>
      </c>
      <c r="M278" s="129">
        <v>131.59399999999999</v>
      </c>
      <c r="N278" s="129">
        <v>131.59399999999999</v>
      </c>
      <c r="O278" s="129">
        <v>131.59399999999999</v>
      </c>
      <c r="P278" s="129">
        <v>131.59399999999999</v>
      </c>
      <c r="Q278" s="129">
        <v>131.59399999999999</v>
      </c>
      <c r="R278" s="129">
        <v>131.59399999999999</v>
      </c>
    </row>
    <row r="279" spans="1:18" ht="15">
      <c r="A279" s="141"/>
      <c r="B279" s="141"/>
      <c r="C279" s="141" t="s">
        <v>637</v>
      </c>
      <c r="D279" s="141"/>
      <c r="E279" s="301"/>
      <c r="F279" s="299">
        <v>2.0601282599999999</v>
      </c>
      <c r="G279" s="129">
        <v>133.4727</v>
      </c>
      <c r="H279" s="129">
        <v>133.4727</v>
      </c>
      <c r="I279" s="129">
        <v>133.4727</v>
      </c>
      <c r="J279" s="129">
        <v>133.4727</v>
      </c>
      <c r="K279" s="129">
        <v>133.4727</v>
      </c>
      <c r="L279" s="129">
        <v>133.9358</v>
      </c>
      <c r="M279" s="129">
        <v>138.10300000000001</v>
      </c>
      <c r="N279" s="129">
        <v>138.10300000000001</v>
      </c>
      <c r="O279" s="129">
        <v>138.10300000000001</v>
      </c>
      <c r="P279" s="129">
        <v>138.10300000000001</v>
      </c>
      <c r="Q279" s="129">
        <v>138.10300000000001</v>
      </c>
      <c r="R279" s="129">
        <v>138.10300000000001</v>
      </c>
    </row>
    <row r="280" spans="1:18" ht="15">
      <c r="A280" s="141"/>
      <c r="B280" s="141"/>
      <c r="C280" s="141"/>
      <c r="D280" s="141" t="s">
        <v>638</v>
      </c>
      <c r="E280" s="301"/>
      <c r="F280" s="299">
        <v>2.0601282599999999</v>
      </c>
      <c r="G280" s="129">
        <v>133.4727</v>
      </c>
      <c r="H280" s="129">
        <v>133.4727</v>
      </c>
      <c r="I280" s="129">
        <v>133.4727</v>
      </c>
      <c r="J280" s="129">
        <v>133.4727</v>
      </c>
      <c r="K280" s="129">
        <v>133.4727</v>
      </c>
      <c r="L280" s="129">
        <v>133.9358</v>
      </c>
      <c r="M280" s="129">
        <v>138.10300000000001</v>
      </c>
      <c r="N280" s="129">
        <v>138.10300000000001</v>
      </c>
      <c r="O280" s="129">
        <v>138.10300000000001</v>
      </c>
      <c r="P280" s="129">
        <v>138.10300000000001</v>
      </c>
      <c r="Q280" s="129">
        <v>138.10300000000001</v>
      </c>
      <c r="R280" s="129">
        <v>138.10300000000001</v>
      </c>
    </row>
    <row r="281" spans="1:18" ht="15">
      <c r="A281" s="141"/>
      <c r="B281" s="141"/>
      <c r="C281" s="141"/>
      <c r="D281" s="141"/>
      <c r="E281" s="301" t="s">
        <v>639</v>
      </c>
      <c r="F281" s="299">
        <v>2.0601282599999999</v>
      </c>
      <c r="G281" s="129">
        <v>133.4727</v>
      </c>
      <c r="H281" s="129">
        <v>133.4727</v>
      </c>
      <c r="I281" s="129">
        <v>133.4727</v>
      </c>
      <c r="J281" s="129">
        <v>133.4727</v>
      </c>
      <c r="K281" s="129">
        <v>133.4727</v>
      </c>
      <c r="L281" s="129">
        <v>133.9358</v>
      </c>
      <c r="M281" s="129">
        <v>138.10300000000001</v>
      </c>
      <c r="N281" s="129">
        <v>138.10300000000001</v>
      </c>
      <c r="O281" s="129">
        <v>138.10300000000001</v>
      </c>
      <c r="P281" s="129">
        <v>138.10300000000001</v>
      </c>
      <c r="Q281" s="129">
        <v>138.10300000000001</v>
      </c>
      <c r="R281" s="129">
        <v>138.10300000000001</v>
      </c>
    </row>
    <row r="282" spans="1:18" ht="15">
      <c r="A282" s="141"/>
      <c r="B282" s="141"/>
      <c r="C282" s="141" t="s">
        <v>640</v>
      </c>
      <c r="D282" s="141"/>
      <c r="E282" s="301"/>
      <c r="F282" s="299">
        <v>2.5658726999999999E-2</v>
      </c>
      <c r="G282" s="129">
        <v>148.44040000000001</v>
      </c>
      <c r="H282" s="129">
        <v>148.62360000000001</v>
      </c>
      <c r="I282" s="129">
        <v>146.3288</v>
      </c>
      <c r="J282" s="129">
        <v>145.40260000000001</v>
      </c>
      <c r="K282" s="129">
        <v>141.69159999999999</v>
      </c>
      <c r="L282" s="129">
        <v>143.04820000000001</v>
      </c>
      <c r="M282" s="129">
        <v>146.61089999999999</v>
      </c>
      <c r="N282" s="129">
        <v>146.1755</v>
      </c>
      <c r="O282" s="129">
        <v>148.51169999999999</v>
      </c>
      <c r="P282" s="129">
        <v>149.62430000000001</v>
      </c>
      <c r="Q282" s="129">
        <v>152.96549999999999</v>
      </c>
      <c r="R282" s="129">
        <v>148.65219999999999</v>
      </c>
    </row>
    <row r="283" spans="1:18" ht="15">
      <c r="A283" s="141"/>
      <c r="B283" s="141"/>
      <c r="C283" s="141"/>
      <c r="D283" s="141" t="s">
        <v>641</v>
      </c>
      <c r="E283" s="301"/>
      <c r="F283" s="299">
        <v>2.5658726999999999E-2</v>
      </c>
      <c r="G283" s="129">
        <v>148.44040000000001</v>
      </c>
      <c r="H283" s="129">
        <v>148.62360000000001</v>
      </c>
      <c r="I283" s="129">
        <v>146.3288</v>
      </c>
      <c r="J283" s="129">
        <v>145.40260000000001</v>
      </c>
      <c r="K283" s="129">
        <v>141.69159999999999</v>
      </c>
      <c r="L283" s="129">
        <v>143.04820000000001</v>
      </c>
      <c r="M283" s="129">
        <v>146.61089999999999</v>
      </c>
      <c r="N283" s="129">
        <v>146.1755</v>
      </c>
      <c r="O283" s="129">
        <v>148.51169999999999</v>
      </c>
      <c r="P283" s="129">
        <v>149.62430000000001</v>
      </c>
      <c r="Q283" s="129">
        <v>152.96549999999999</v>
      </c>
      <c r="R283" s="129">
        <v>148.65219999999999</v>
      </c>
    </row>
    <row r="284" spans="1:18" ht="15">
      <c r="A284" s="141"/>
      <c r="B284" s="141"/>
      <c r="C284" s="141"/>
      <c r="D284" s="141"/>
      <c r="E284" s="301" t="s">
        <v>642</v>
      </c>
      <c r="F284" s="299">
        <v>8.9302449999999998E-3</v>
      </c>
      <c r="G284" s="129">
        <v>164.26050000000001</v>
      </c>
      <c r="H284" s="129">
        <v>164.30590000000001</v>
      </c>
      <c r="I284" s="129">
        <v>156.18289999999999</v>
      </c>
      <c r="J284" s="129">
        <v>152.42189999999999</v>
      </c>
      <c r="K284" s="129">
        <v>141.70490000000001</v>
      </c>
      <c r="L284" s="129">
        <v>145.08850000000001</v>
      </c>
      <c r="M284" s="129">
        <v>154.68690000000001</v>
      </c>
      <c r="N284" s="129">
        <v>152.7713</v>
      </c>
      <c r="O284" s="129">
        <v>158.2706</v>
      </c>
      <c r="P284" s="129">
        <v>160.15790000000001</v>
      </c>
      <c r="Q284" s="129">
        <v>169.7765</v>
      </c>
      <c r="R284" s="129">
        <v>156.48589999999999</v>
      </c>
    </row>
    <row r="285" spans="1:18" ht="15">
      <c r="A285" s="141"/>
      <c r="B285" s="141"/>
      <c r="C285" s="141"/>
      <c r="D285" s="141"/>
      <c r="E285" s="301" t="s">
        <v>643</v>
      </c>
      <c r="F285" s="299">
        <v>1.6728481999999999E-2</v>
      </c>
      <c r="G285" s="129">
        <v>139.99510000000001</v>
      </c>
      <c r="H285" s="129">
        <v>140.2518</v>
      </c>
      <c r="I285" s="129">
        <v>141.06829999999999</v>
      </c>
      <c r="J285" s="129">
        <v>141.65549999999999</v>
      </c>
      <c r="K285" s="129">
        <v>141.68459999999999</v>
      </c>
      <c r="L285" s="129">
        <v>141.959</v>
      </c>
      <c r="M285" s="129">
        <v>142.2996</v>
      </c>
      <c r="N285" s="129">
        <v>142.65440000000001</v>
      </c>
      <c r="O285" s="129">
        <v>143.30199999999999</v>
      </c>
      <c r="P285" s="129">
        <v>144.00110000000001</v>
      </c>
      <c r="Q285" s="129">
        <v>143.99119999999999</v>
      </c>
      <c r="R285" s="129">
        <v>144.47040000000001</v>
      </c>
    </row>
    <row r="286" spans="1:18" ht="15">
      <c r="A286" s="141"/>
      <c r="B286" s="141"/>
      <c r="C286" s="141" t="s">
        <v>644</v>
      </c>
      <c r="D286" s="141"/>
      <c r="E286" s="301"/>
      <c r="F286" s="299">
        <v>0.125508962</v>
      </c>
      <c r="G286" s="129">
        <v>138.9118</v>
      </c>
      <c r="H286" s="129">
        <v>139.8169</v>
      </c>
      <c r="I286" s="129">
        <v>141.12100000000001</v>
      </c>
      <c r="J286" s="129">
        <v>139.0985</v>
      </c>
      <c r="K286" s="129">
        <v>140.38560000000001</v>
      </c>
      <c r="L286" s="129">
        <v>141.05789999999999</v>
      </c>
      <c r="M286" s="129">
        <v>140.99209999999999</v>
      </c>
      <c r="N286" s="129">
        <v>141.47319999999999</v>
      </c>
      <c r="O286" s="129">
        <v>141.90289999999999</v>
      </c>
      <c r="P286" s="129">
        <v>141.3244</v>
      </c>
      <c r="Q286" s="129">
        <v>142.83949999999999</v>
      </c>
      <c r="R286" s="129">
        <v>143.68969999999999</v>
      </c>
    </row>
    <row r="287" spans="1:18" ht="15">
      <c r="A287" s="141"/>
      <c r="B287" s="141"/>
      <c r="C287" s="141"/>
      <c r="D287" s="141" t="s">
        <v>645</v>
      </c>
      <c r="E287" s="301"/>
      <c r="F287" s="299">
        <v>0.125508962</v>
      </c>
      <c r="G287" s="129">
        <v>138.9118</v>
      </c>
      <c r="H287" s="129">
        <v>139.8169</v>
      </c>
      <c r="I287" s="129">
        <v>141.12100000000001</v>
      </c>
      <c r="J287" s="129">
        <v>139.0985</v>
      </c>
      <c r="K287" s="129">
        <v>140.38560000000001</v>
      </c>
      <c r="L287" s="129">
        <v>141.05789999999999</v>
      </c>
      <c r="M287" s="129">
        <v>140.99209999999999</v>
      </c>
      <c r="N287" s="129">
        <v>141.47319999999999</v>
      </c>
      <c r="O287" s="129">
        <v>141.90289999999999</v>
      </c>
      <c r="P287" s="129">
        <v>141.3244</v>
      </c>
      <c r="Q287" s="129">
        <v>142.83949999999999</v>
      </c>
      <c r="R287" s="129">
        <v>143.68969999999999</v>
      </c>
    </row>
    <row r="288" spans="1:18" ht="15">
      <c r="A288" s="141"/>
      <c r="B288" s="141"/>
      <c r="C288" s="141"/>
      <c r="D288" s="141"/>
      <c r="E288" s="301" t="s">
        <v>646</v>
      </c>
      <c r="F288" s="299">
        <v>0.125508962</v>
      </c>
      <c r="G288" s="129">
        <v>138.9118</v>
      </c>
      <c r="H288" s="129">
        <v>139.8169</v>
      </c>
      <c r="I288" s="129">
        <v>141.12100000000001</v>
      </c>
      <c r="J288" s="129">
        <v>139.0985</v>
      </c>
      <c r="K288" s="129">
        <v>140.38560000000001</v>
      </c>
      <c r="L288" s="129">
        <v>141.05789999999999</v>
      </c>
      <c r="M288" s="129">
        <v>140.99209999999999</v>
      </c>
      <c r="N288" s="129">
        <v>141.47319999999999</v>
      </c>
      <c r="O288" s="129">
        <v>141.90289999999999</v>
      </c>
      <c r="P288" s="129">
        <v>141.3244</v>
      </c>
      <c r="Q288" s="129">
        <v>142.83949999999999</v>
      </c>
      <c r="R288" s="129">
        <v>143.68969999999999</v>
      </c>
    </row>
    <row r="289" spans="1:18" ht="15">
      <c r="A289" s="141" t="s">
        <v>647</v>
      </c>
      <c r="B289" s="141"/>
      <c r="C289" s="141"/>
      <c r="D289" s="141"/>
      <c r="E289" s="301"/>
      <c r="F289" s="299">
        <v>5.1732337099999999</v>
      </c>
      <c r="G289" s="129">
        <v>122.8096</v>
      </c>
      <c r="H289" s="129">
        <v>123.3385</v>
      </c>
      <c r="I289" s="129">
        <v>123.4777</v>
      </c>
      <c r="J289" s="129">
        <v>123.7826</v>
      </c>
      <c r="K289" s="129">
        <v>123.6461</v>
      </c>
      <c r="L289" s="129">
        <v>124.0005</v>
      </c>
      <c r="M289" s="129">
        <v>124.1801</v>
      </c>
      <c r="N289" s="129">
        <v>124.30110000000001</v>
      </c>
      <c r="O289" s="129">
        <v>124.23309999999999</v>
      </c>
      <c r="P289" s="129">
        <v>124.32680000000001</v>
      </c>
      <c r="Q289" s="129">
        <v>124.1491</v>
      </c>
      <c r="R289" s="129">
        <v>124.848</v>
      </c>
    </row>
    <row r="290" spans="1:18" ht="15">
      <c r="A290" s="141"/>
      <c r="B290" s="141" t="s">
        <v>648</v>
      </c>
      <c r="C290" s="141"/>
      <c r="D290" s="141"/>
      <c r="E290" s="301"/>
      <c r="F290" s="299">
        <v>0.49294528100000001</v>
      </c>
      <c r="G290" s="129">
        <v>139.70670000000001</v>
      </c>
      <c r="H290" s="129">
        <v>139.90950000000001</v>
      </c>
      <c r="I290" s="129">
        <v>140.2294</v>
      </c>
      <c r="J290" s="129">
        <v>140.4374</v>
      </c>
      <c r="K290" s="129">
        <v>140.2225</v>
      </c>
      <c r="L290" s="129">
        <v>140.71270000000001</v>
      </c>
      <c r="M290" s="129">
        <v>140.81049999999999</v>
      </c>
      <c r="N290" s="129">
        <v>140.77119999999999</v>
      </c>
      <c r="O290" s="129">
        <v>141.09039999999999</v>
      </c>
      <c r="P290" s="129">
        <v>141.49770000000001</v>
      </c>
      <c r="Q290" s="129">
        <v>141.06899999999999</v>
      </c>
      <c r="R290" s="129">
        <v>142.429</v>
      </c>
    </row>
    <row r="291" spans="1:18" ht="15">
      <c r="A291" s="141"/>
      <c r="B291" s="141"/>
      <c r="C291" s="141" t="s">
        <v>649</v>
      </c>
      <c r="D291" s="141"/>
      <c r="E291" s="301"/>
      <c r="F291" s="299">
        <v>0.43024714200000003</v>
      </c>
      <c r="G291" s="129">
        <v>126.5609</v>
      </c>
      <c r="H291" s="129">
        <v>126.3489</v>
      </c>
      <c r="I291" s="129">
        <v>126.4123</v>
      </c>
      <c r="J291" s="129">
        <v>126.4174</v>
      </c>
      <c r="K291" s="129">
        <v>125.9178</v>
      </c>
      <c r="L291" s="129">
        <v>126.2954</v>
      </c>
      <c r="M291" s="129">
        <v>126.3796</v>
      </c>
      <c r="N291" s="129">
        <v>126.33459999999999</v>
      </c>
      <c r="O291" s="129">
        <v>126.27030000000001</v>
      </c>
      <c r="P291" s="129">
        <v>126.3935</v>
      </c>
      <c r="Q291" s="129">
        <v>125.7093</v>
      </c>
      <c r="R291" s="129">
        <v>126.1075</v>
      </c>
    </row>
    <row r="292" spans="1:18" ht="15">
      <c r="A292" s="141"/>
      <c r="B292" s="141"/>
      <c r="C292" s="141"/>
      <c r="D292" s="141" t="s">
        <v>650</v>
      </c>
      <c r="E292" s="301"/>
      <c r="F292" s="299">
        <v>0.43024714200000003</v>
      </c>
      <c r="G292" s="129">
        <v>126.5609</v>
      </c>
      <c r="H292" s="129">
        <v>126.3489</v>
      </c>
      <c r="I292" s="129">
        <v>126.4123</v>
      </c>
      <c r="J292" s="129">
        <v>126.4174</v>
      </c>
      <c r="K292" s="129">
        <v>125.9178</v>
      </c>
      <c r="L292" s="129">
        <v>126.2954</v>
      </c>
      <c r="M292" s="129">
        <v>126.3796</v>
      </c>
      <c r="N292" s="129">
        <v>126.33459999999999</v>
      </c>
      <c r="O292" s="129">
        <v>126.27030000000001</v>
      </c>
      <c r="P292" s="129">
        <v>126.3935</v>
      </c>
      <c r="Q292" s="129">
        <v>125.7093</v>
      </c>
      <c r="R292" s="129">
        <v>126.1075</v>
      </c>
    </row>
    <row r="293" spans="1:18" ht="15">
      <c r="A293" s="141"/>
      <c r="B293" s="141"/>
      <c r="C293" s="141"/>
      <c r="D293" s="141"/>
      <c r="E293" s="301" t="s">
        <v>651</v>
      </c>
      <c r="F293" s="299">
        <v>0.10533186999999999</v>
      </c>
      <c r="G293" s="129">
        <v>123.48699999999999</v>
      </c>
      <c r="H293" s="129">
        <v>123.54130000000001</v>
      </c>
      <c r="I293" s="129">
        <v>123.4962</v>
      </c>
      <c r="J293" s="129">
        <v>123.49769999999999</v>
      </c>
      <c r="K293" s="129">
        <v>122.786</v>
      </c>
      <c r="L293" s="129">
        <v>123.35809999999999</v>
      </c>
      <c r="M293" s="129">
        <v>123.3754</v>
      </c>
      <c r="N293" s="129">
        <v>123.3857</v>
      </c>
      <c r="O293" s="129">
        <v>123.2961</v>
      </c>
      <c r="P293" s="129">
        <v>123.3617</v>
      </c>
      <c r="Q293" s="129">
        <v>122.5175</v>
      </c>
      <c r="R293" s="129">
        <v>122.82559999999999</v>
      </c>
    </row>
    <row r="294" spans="1:18" ht="15">
      <c r="A294" s="141"/>
      <c r="B294" s="141"/>
      <c r="C294" s="141"/>
      <c r="D294" s="141"/>
      <c r="E294" s="301" t="s">
        <v>652</v>
      </c>
      <c r="F294" s="299">
        <v>0.18368394199999999</v>
      </c>
      <c r="G294" s="129">
        <v>131.62430000000001</v>
      </c>
      <c r="H294" s="129">
        <v>131.30549999999999</v>
      </c>
      <c r="I294" s="129">
        <v>131.23580000000001</v>
      </c>
      <c r="J294" s="129">
        <v>131.18879999999999</v>
      </c>
      <c r="K294" s="129">
        <v>130.96109999999999</v>
      </c>
      <c r="L294" s="129">
        <v>131.12100000000001</v>
      </c>
      <c r="M294" s="129">
        <v>131.33330000000001</v>
      </c>
      <c r="N294" s="129">
        <v>131.2243</v>
      </c>
      <c r="O294" s="129">
        <v>131.29570000000001</v>
      </c>
      <c r="P294" s="129">
        <v>131.26759999999999</v>
      </c>
      <c r="Q294" s="129">
        <v>130.8837</v>
      </c>
      <c r="R294" s="129">
        <v>131.10820000000001</v>
      </c>
    </row>
    <row r="295" spans="1:18" ht="15">
      <c r="A295" s="141"/>
      <c r="B295" s="141"/>
      <c r="C295" s="141"/>
      <c r="D295" s="141"/>
      <c r="E295" s="301" t="s">
        <v>653</v>
      </c>
      <c r="F295" s="299">
        <v>7.2638524999999995E-2</v>
      </c>
      <c r="G295" s="129">
        <v>127.4238</v>
      </c>
      <c r="H295" s="129">
        <v>127.196</v>
      </c>
      <c r="I295" s="129">
        <v>127.4646</v>
      </c>
      <c r="J295" s="129">
        <v>127.66849999999999</v>
      </c>
      <c r="K295" s="129">
        <v>127.33920000000001</v>
      </c>
      <c r="L295" s="129">
        <v>127.43980000000001</v>
      </c>
      <c r="M295" s="129">
        <v>127.7792</v>
      </c>
      <c r="N295" s="129">
        <v>127.7479</v>
      </c>
      <c r="O295" s="129">
        <v>127.8087</v>
      </c>
      <c r="P295" s="129">
        <v>128.02760000000001</v>
      </c>
      <c r="Q295" s="129">
        <v>127.1504</v>
      </c>
      <c r="R295" s="129">
        <v>127.5825</v>
      </c>
    </row>
    <row r="296" spans="1:18" ht="15">
      <c r="A296" s="141"/>
      <c r="B296" s="141"/>
      <c r="C296" s="141"/>
      <c r="D296" s="141"/>
      <c r="E296" s="301" t="s">
        <v>654</v>
      </c>
      <c r="F296" s="299">
        <v>4.4024974000000001E-2</v>
      </c>
      <c r="G296" s="129">
        <v>125.9509</v>
      </c>
      <c r="H296" s="129">
        <v>125.354</v>
      </c>
      <c r="I296" s="129">
        <v>125.8981</v>
      </c>
      <c r="J296" s="129">
        <v>125.7308</v>
      </c>
      <c r="K296" s="129">
        <v>124.0844</v>
      </c>
      <c r="L296" s="129">
        <v>125.5865</v>
      </c>
      <c r="M296" s="129">
        <v>124.91500000000001</v>
      </c>
      <c r="N296" s="129">
        <v>125.01649999999999</v>
      </c>
      <c r="O296" s="129">
        <v>124.40689999999999</v>
      </c>
      <c r="P296" s="129">
        <v>125.2367</v>
      </c>
      <c r="Q296" s="129">
        <v>123.5881</v>
      </c>
      <c r="R296" s="129">
        <v>124.96469999999999</v>
      </c>
    </row>
    <row r="297" spans="1:18" ht="15">
      <c r="A297" s="141"/>
      <c r="B297" s="141"/>
      <c r="C297" s="141"/>
      <c r="D297" s="141"/>
      <c r="E297" s="301" t="s">
        <v>655</v>
      </c>
      <c r="F297" s="299">
        <v>2.4567829999999999E-2</v>
      </c>
      <c r="G297" s="129">
        <v>100.4246</v>
      </c>
      <c r="H297" s="129">
        <v>100.6066</v>
      </c>
      <c r="I297" s="129">
        <v>100.6628</v>
      </c>
      <c r="J297" s="129">
        <v>100.7932</v>
      </c>
      <c r="K297" s="129">
        <v>100.7212</v>
      </c>
      <c r="L297" s="129">
        <v>100.6965</v>
      </c>
      <c r="M297" s="129">
        <v>100.7099</v>
      </c>
      <c r="N297" s="129">
        <v>100.6026</v>
      </c>
      <c r="O297" s="129">
        <v>100.2397</v>
      </c>
      <c r="P297" s="129">
        <v>100.1917</v>
      </c>
      <c r="Q297" s="129">
        <v>100.2474</v>
      </c>
      <c r="R297" s="129">
        <v>100.4774</v>
      </c>
    </row>
    <row r="298" spans="1:18" ht="15">
      <c r="A298" s="141"/>
      <c r="B298" s="141"/>
      <c r="C298" s="141" t="s">
        <v>656</v>
      </c>
      <c r="D298" s="141"/>
      <c r="E298" s="301"/>
      <c r="F298" s="299">
        <v>6.2698139E-2</v>
      </c>
      <c r="G298" s="129">
        <v>229.91550000000001</v>
      </c>
      <c r="H298" s="129">
        <v>232.96469999999999</v>
      </c>
      <c r="I298" s="129">
        <v>235.04480000000001</v>
      </c>
      <c r="J298" s="129">
        <v>236.6454</v>
      </c>
      <c r="K298" s="129">
        <v>238.3845</v>
      </c>
      <c r="L298" s="129">
        <v>239.64709999999999</v>
      </c>
      <c r="M298" s="129">
        <v>239.83779999999999</v>
      </c>
      <c r="N298" s="129">
        <v>239.83779999999999</v>
      </c>
      <c r="O298" s="129">
        <v>242.78870000000001</v>
      </c>
      <c r="P298" s="129">
        <v>245.1456</v>
      </c>
      <c r="Q298" s="129">
        <v>246.4701</v>
      </c>
      <c r="R298" s="129">
        <v>254.43039999999999</v>
      </c>
    </row>
    <row r="299" spans="1:18" ht="15">
      <c r="A299" s="141"/>
      <c r="B299" s="141"/>
      <c r="C299" s="141"/>
      <c r="D299" s="141" t="s">
        <v>657</v>
      </c>
      <c r="E299" s="301"/>
      <c r="F299" s="299">
        <v>6.2698139E-2</v>
      </c>
      <c r="G299" s="129">
        <v>229.91550000000001</v>
      </c>
      <c r="H299" s="129">
        <v>232.96469999999999</v>
      </c>
      <c r="I299" s="129">
        <v>235.04480000000001</v>
      </c>
      <c r="J299" s="129">
        <v>236.6454</v>
      </c>
      <c r="K299" s="129">
        <v>238.3845</v>
      </c>
      <c r="L299" s="129">
        <v>239.64709999999999</v>
      </c>
      <c r="M299" s="129">
        <v>239.83779999999999</v>
      </c>
      <c r="N299" s="129">
        <v>239.83779999999999</v>
      </c>
      <c r="O299" s="129">
        <v>242.78870000000001</v>
      </c>
      <c r="P299" s="129">
        <v>245.1456</v>
      </c>
      <c r="Q299" s="129">
        <v>246.4701</v>
      </c>
      <c r="R299" s="129">
        <v>254.43039999999999</v>
      </c>
    </row>
    <row r="300" spans="1:18" ht="15">
      <c r="A300" s="141"/>
      <c r="B300" s="141"/>
      <c r="C300" s="141"/>
      <c r="D300" s="141"/>
      <c r="E300" s="301" t="s">
        <v>658</v>
      </c>
      <c r="F300" s="299">
        <v>6.2698139E-2</v>
      </c>
      <c r="G300" s="129">
        <v>229.91550000000001</v>
      </c>
      <c r="H300" s="129">
        <v>232.96469999999999</v>
      </c>
      <c r="I300" s="129">
        <v>235.04480000000001</v>
      </c>
      <c r="J300" s="129">
        <v>236.6454</v>
      </c>
      <c r="K300" s="129">
        <v>238.3845</v>
      </c>
      <c r="L300" s="129">
        <v>239.64709999999999</v>
      </c>
      <c r="M300" s="129">
        <v>239.83779999999999</v>
      </c>
      <c r="N300" s="129">
        <v>239.83779999999999</v>
      </c>
      <c r="O300" s="129">
        <v>242.78870000000001</v>
      </c>
      <c r="P300" s="129">
        <v>245.1456</v>
      </c>
      <c r="Q300" s="129">
        <v>246.4701</v>
      </c>
      <c r="R300" s="129">
        <v>254.43039999999999</v>
      </c>
    </row>
    <row r="301" spans="1:18" ht="15">
      <c r="A301" s="141"/>
      <c r="B301" s="141" t="s">
        <v>659</v>
      </c>
      <c r="C301" s="141"/>
      <c r="D301" s="141"/>
      <c r="E301" s="301"/>
      <c r="F301" s="299">
        <v>0.276162403</v>
      </c>
      <c r="G301" s="129">
        <v>106.79</v>
      </c>
      <c r="H301" s="129">
        <v>106.87779999999999</v>
      </c>
      <c r="I301" s="129">
        <v>106.6194</v>
      </c>
      <c r="J301" s="129">
        <v>106.8706</v>
      </c>
      <c r="K301" s="129">
        <v>105.98650000000001</v>
      </c>
      <c r="L301" s="129">
        <v>105.9191</v>
      </c>
      <c r="M301" s="129">
        <v>106.50190000000001</v>
      </c>
      <c r="N301" s="129">
        <v>106.5211</v>
      </c>
      <c r="O301" s="129">
        <v>106.0034</v>
      </c>
      <c r="P301" s="129">
        <v>106.557</v>
      </c>
      <c r="Q301" s="129">
        <v>105.9731</v>
      </c>
      <c r="R301" s="129">
        <v>106.4113</v>
      </c>
    </row>
    <row r="302" spans="1:18" ht="15">
      <c r="A302" s="141"/>
      <c r="B302" s="141"/>
      <c r="C302" s="141" t="s">
        <v>660</v>
      </c>
      <c r="D302" s="141"/>
      <c r="E302" s="301"/>
      <c r="F302" s="299">
        <v>0.276162403</v>
      </c>
      <c r="G302" s="129">
        <v>106.79</v>
      </c>
      <c r="H302" s="129">
        <v>106.87779999999999</v>
      </c>
      <c r="I302" s="129">
        <v>106.6194</v>
      </c>
      <c r="J302" s="129">
        <v>106.8706</v>
      </c>
      <c r="K302" s="129">
        <v>105.98650000000001</v>
      </c>
      <c r="L302" s="129">
        <v>105.9191</v>
      </c>
      <c r="M302" s="129">
        <v>106.50190000000001</v>
      </c>
      <c r="N302" s="129">
        <v>106.5211</v>
      </c>
      <c r="O302" s="129">
        <v>106.0034</v>
      </c>
      <c r="P302" s="129">
        <v>106.557</v>
      </c>
      <c r="Q302" s="129">
        <v>105.9731</v>
      </c>
      <c r="R302" s="129">
        <v>106.4113</v>
      </c>
    </row>
    <row r="303" spans="1:18" ht="15">
      <c r="A303" s="141"/>
      <c r="B303" s="141"/>
      <c r="C303" s="141"/>
      <c r="D303" s="141" t="s">
        <v>661</v>
      </c>
      <c r="E303" s="301"/>
      <c r="F303" s="299">
        <v>0.276162403</v>
      </c>
      <c r="G303" s="129">
        <v>106.79</v>
      </c>
      <c r="H303" s="129">
        <v>106.87779999999999</v>
      </c>
      <c r="I303" s="129">
        <v>106.6194</v>
      </c>
      <c r="J303" s="129">
        <v>106.8706</v>
      </c>
      <c r="K303" s="129">
        <v>105.98650000000001</v>
      </c>
      <c r="L303" s="129">
        <v>105.9191</v>
      </c>
      <c r="M303" s="129">
        <v>106.50190000000001</v>
      </c>
      <c r="N303" s="129">
        <v>106.5211</v>
      </c>
      <c r="O303" s="129">
        <v>106.0034</v>
      </c>
      <c r="P303" s="129">
        <v>106.557</v>
      </c>
      <c r="Q303" s="129">
        <v>105.9731</v>
      </c>
      <c r="R303" s="129">
        <v>106.4113</v>
      </c>
    </row>
    <row r="304" spans="1:18" ht="15">
      <c r="A304" s="141"/>
      <c r="B304" s="141"/>
      <c r="C304" s="141"/>
      <c r="D304" s="141"/>
      <c r="E304" s="301" t="s">
        <v>662</v>
      </c>
      <c r="F304" s="299">
        <v>7.9709527000000002E-2</v>
      </c>
      <c r="G304" s="129">
        <v>98.371300000000005</v>
      </c>
      <c r="H304" s="129">
        <v>98.304100000000005</v>
      </c>
      <c r="I304" s="129">
        <v>98.557400000000001</v>
      </c>
      <c r="J304" s="129">
        <v>99.0167</v>
      </c>
      <c r="K304" s="129">
        <v>97.040300000000002</v>
      </c>
      <c r="L304" s="129">
        <v>96.456500000000005</v>
      </c>
      <c r="M304" s="129">
        <v>97.551199999999994</v>
      </c>
      <c r="N304" s="129">
        <v>97.614000000000004</v>
      </c>
      <c r="O304" s="129">
        <v>97.092600000000004</v>
      </c>
      <c r="P304" s="129">
        <v>97.306600000000003</v>
      </c>
      <c r="Q304" s="129">
        <v>96.824299999999994</v>
      </c>
      <c r="R304" s="129">
        <v>96.871099999999998</v>
      </c>
    </row>
    <row r="305" spans="1:18" ht="15">
      <c r="A305" s="141"/>
      <c r="B305" s="141"/>
      <c r="C305" s="141"/>
      <c r="D305" s="141"/>
      <c r="E305" s="301" t="s">
        <v>663</v>
      </c>
      <c r="F305" s="299">
        <v>2.2073827000000001E-2</v>
      </c>
      <c r="G305" s="129">
        <v>130.7714</v>
      </c>
      <c r="H305" s="129">
        <v>131.6601</v>
      </c>
      <c r="I305" s="129">
        <v>130.27350000000001</v>
      </c>
      <c r="J305" s="129">
        <v>131.52889999999999</v>
      </c>
      <c r="K305" s="129">
        <v>133.2013</v>
      </c>
      <c r="L305" s="129">
        <v>133.9271</v>
      </c>
      <c r="M305" s="129">
        <v>134.40039999999999</v>
      </c>
      <c r="N305" s="129">
        <v>134.96539999999999</v>
      </c>
      <c r="O305" s="129">
        <v>134.7988</v>
      </c>
      <c r="P305" s="129">
        <v>135.44640000000001</v>
      </c>
      <c r="Q305" s="129">
        <v>135.3776</v>
      </c>
      <c r="R305" s="129">
        <v>135.67660000000001</v>
      </c>
    </row>
    <row r="306" spans="1:18" ht="15">
      <c r="A306" s="141"/>
      <c r="B306" s="141"/>
      <c r="C306" s="141"/>
      <c r="D306" s="141"/>
      <c r="E306" s="301" t="s">
        <v>664</v>
      </c>
      <c r="F306" s="281">
        <v>2.5112233000000001E-2</v>
      </c>
      <c r="G306" s="129">
        <v>108.7161</v>
      </c>
      <c r="H306" s="129">
        <v>108.1568</v>
      </c>
      <c r="I306" s="129">
        <v>107.2512</v>
      </c>
      <c r="J306" s="129">
        <v>108.2991</v>
      </c>
      <c r="K306" s="129">
        <v>108.2478</v>
      </c>
      <c r="L306" s="129">
        <v>107.6122</v>
      </c>
      <c r="M306" s="129">
        <v>108.1268</v>
      </c>
      <c r="N306" s="129">
        <v>108.7191</v>
      </c>
      <c r="O306" s="129">
        <v>108.2726</v>
      </c>
      <c r="P306" s="129">
        <v>108.35290000000001</v>
      </c>
      <c r="Q306" s="129">
        <v>106.5758</v>
      </c>
      <c r="R306" s="129">
        <v>108.20659999999999</v>
      </c>
    </row>
    <row r="307" spans="1:18" ht="15">
      <c r="A307" s="141"/>
      <c r="B307" s="141"/>
      <c r="C307" s="141"/>
      <c r="D307" s="141"/>
      <c r="E307" s="301" t="s">
        <v>665</v>
      </c>
      <c r="F307" s="299">
        <v>6.4971567999999993E-2</v>
      </c>
      <c r="G307" s="129">
        <v>106.53400000000001</v>
      </c>
      <c r="H307" s="129">
        <v>106.9699</v>
      </c>
      <c r="I307" s="129">
        <v>106.77970000000001</v>
      </c>
      <c r="J307" s="129">
        <v>106.738</v>
      </c>
      <c r="K307" s="129">
        <v>105.58329999999999</v>
      </c>
      <c r="L307" s="129">
        <v>105.3627</v>
      </c>
      <c r="M307" s="129">
        <v>105.79040000000001</v>
      </c>
      <c r="N307" s="129">
        <v>104.9076</v>
      </c>
      <c r="O307" s="129">
        <v>105.0127</v>
      </c>
      <c r="P307" s="129">
        <v>105.5706</v>
      </c>
      <c r="Q307" s="129">
        <v>104.8978</v>
      </c>
      <c r="R307" s="129">
        <v>105.5442</v>
      </c>
    </row>
    <row r="308" spans="1:18" ht="15">
      <c r="A308" s="141"/>
      <c r="B308" s="141"/>
      <c r="C308" s="141"/>
      <c r="D308" s="141"/>
      <c r="E308" s="301" t="s">
        <v>666</v>
      </c>
      <c r="F308" s="299">
        <v>5.9987744000000003E-2</v>
      </c>
      <c r="G308" s="129">
        <v>103.7187</v>
      </c>
      <c r="H308" s="129">
        <v>103.4085</v>
      </c>
      <c r="I308" s="129">
        <v>103.2466</v>
      </c>
      <c r="J308" s="129">
        <v>102.8514</v>
      </c>
      <c r="K308" s="129">
        <v>102.2371</v>
      </c>
      <c r="L308" s="129">
        <v>102.63209999999999</v>
      </c>
      <c r="M308" s="129">
        <v>102.9008</v>
      </c>
      <c r="N308" s="129">
        <v>103.1118</v>
      </c>
      <c r="O308" s="129">
        <v>101.6259</v>
      </c>
      <c r="P308" s="129">
        <v>102.72490000000001</v>
      </c>
      <c r="Q308" s="129">
        <v>102.04219999999999</v>
      </c>
      <c r="R308" s="129">
        <v>102.6451</v>
      </c>
    </row>
    <row r="309" spans="1:18" ht="15">
      <c r="A309" s="141"/>
      <c r="B309" s="141"/>
      <c r="C309" s="141"/>
      <c r="D309" s="141"/>
      <c r="E309" s="301" t="s">
        <v>667</v>
      </c>
      <c r="F309" s="299">
        <v>2.4307504000000001E-2</v>
      </c>
      <c r="G309" s="129">
        <v>118.8931</v>
      </c>
      <c r="H309" s="129">
        <v>119.48260000000001</v>
      </c>
      <c r="I309" s="129">
        <v>118.818</v>
      </c>
      <c r="J309" s="129">
        <v>119.02979999999999</v>
      </c>
      <c r="K309" s="129">
        <v>118.6039</v>
      </c>
      <c r="L309" s="129">
        <v>119.3648</v>
      </c>
      <c r="M309" s="129">
        <v>119.628</v>
      </c>
      <c r="N309" s="129">
        <v>120.35509999999999</v>
      </c>
      <c r="O309" s="129">
        <v>120.181</v>
      </c>
      <c r="P309" s="129">
        <v>120.8951</v>
      </c>
      <c r="Q309" s="129">
        <v>121.224</v>
      </c>
      <c r="R309" s="129">
        <v>120.87730000000001</v>
      </c>
    </row>
    <row r="310" spans="1:18" ht="15">
      <c r="A310" s="141"/>
      <c r="B310" s="141" t="s">
        <v>668</v>
      </c>
      <c r="C310" s="141"/>
      <c r="D310" s="141"/>
      <c r="E310" s="301"/>
      <c r="F310" s="299">
        <v>0.71722896300000005</v>
      </c>
      <c r="G310" s="129">
        <v>114.6566</v>
      </c>
      <c r="H310" s="129">
        <v>114.2705</v>
      </c>
      <c r="I310" s="129">
        <v>113.9761</v>
      </c>
      <c r="J310" s="129">
        <v>113.8719</v>
      </c>
      <c r="K310" s="129">
        <v>112.12739999999999</v>
      </c>
      <c r="L310" s="129">
        <v>112.7402</v>
      </c>
      <c r="M310" s="129">
        <v>112.3265</v>
      </c>
      <c r="N310" s="129">
        <v>112.5647</v>
      </c>
      <c r="O310" s="129">
        <v>111.809</v>
      </c>
      <c r="P310" s="129">
        <v>111.30540000000001</v>
      </c>
      <c r="Q310" s="129">
        <v>108.81480000000001</v>
      </c>
      <c r="R310" s="129">
        <v>110.11790000000001</v>
      </c>
    </row>
    <row r="311" spans="1:18" ht="15">
      <c r="A311" s="141"/>
      <c r="B311" s="141"/>
      <c r="C311" s="141" t="s">
        <v>669</v>
      </c>
      <c r="D311" s="141"/>
      <c r="E311" s="301"/>
      <c r="F311" s="299">
        <v>0.63290397799999998</v>
      </c>
      <c r="G311" s="129">
        <v>114.04130000000001</v>
      </c>
      <c r="H311" s="129">
        <v>113.6443</v>
      </c>
      <c r="I311" s="129">
        <v>113.2607</v>
      </c>
      <c r="J311" s="129">
        <v>113.14830000000001</v>
      </c>
      <c r="K311" s="129">
        <v>111.3651</v>
      </c>
      <c r="L311" s="129">
        <v>111.9348</v>
      </c>
      <c r="M311" s="129">
        <v>111.5333</v>
      </c>
      <c r="N311" s="129">
        <v>111.767</v>
      </c>
      <c r="O311" s="129">
        <v>111.0377</v>
      </c>
      <c r="P311" s="129">
        <v>110.4408</v>
      </c>
      <c r="Q311" s="129">
        <v>107.86239999999999</v>
      </c>
      <c r="R311" s="129">
        <v>109.2043</v>
      </c>
    </row>
    <row r="312" spans="1:18" ht="15" customHeight="1">
      <c r="A312" s="141"/>
      <c r="B312" s="141"/>
      <c r="C312" s="141"/>
      <c r="D312" s="141" t="s">
        <v>670</v>
      </c>
      <c r="E312" s="301"/>
      <c r="F312" s="300">
        <v>0.63290397799999998</v>
      </c>
      <c r="G312" s="130">
        <v>114.04130000000001</v>
      </c>
      <c r="H312" s="130">
        <v>113.6443</v>
      </c>
      <c r="I312" s="130">
        <v>113.2607</v>
      </c>
      <c r="J312" s="130">
        <v>113.14830000000001</v>
      </c>
      <c r="K312" s="130">
        <v>111.3651</v>
      </c>
      <c r="L312" s="130">
        <v>111.9348</v>
      </c>
      <c r="M312" s="130">
        <v>111.5333</v>
      </c>
      <c r="N312" s="130">
        <v>111.767</v>
      </c>
      <c r="O312" s="130">
        <v>111.0377</v>
      </c>
      <c r="P312" s="130">
        <v>110.4408</v>
      </c>
      <c r="Q312" s="130">
        <v>107.86239999999999</v>
      </c>
      <c r="R312" s="130">
        <v>109.2043</v>
      </c>
    </row>
    <row r="313" spans="1:18" ht="15">
      <c r="A313" s="141"/>
      <c r="B313" s="141"/>
      <c r="C313" s="141"/>
      <c r="D313" s="141"/>
      <c r="E313" s="301" t="s">
        <v>671</v>
      </c>
      <c r="F313" s="299">
        <v>0.26160602100000002</v>
      </c>
      <c r="G313" s="129">
        <v>113.03149999999999</v>
      </c>
      <c r="H313" s="129">
        <v>112.5491</v>
      </c>
      <c r="I313" s="129">
        <v>112.33329999999999</v>
      </c>
      <c r="J313" s="129">
        <v>112.1071</v>
      </c>
      <c r="K313" s="129">
        <v>110.4324</v>
      </c>
      <c r="L313" s="129">
        <v>110.8092</v>
      </c>
      <c r="M313" s="129">
        <v>110.48269999999999</v>
      </c>
      <c r="N313" s="129">
        <v>110.6116</v>
      </c>
      <c r="O313" s="129">
        <v>109.72029999999999</v>
      </c>
      <c r="P313" s="129">
        <v>109.3331</v>
      </c>
      <c r="Q313" s="129">
        <v>106.54819999999999</v>
      </c>
      <c r="R313" s="129">
        <v>107.8648</v>
      </c>
    </row>
    <row r="314" spans="1:18" ht="15">
      <c r="A314" s="141"/>
      <c r="B314" s="141"/>
      <c r="C314" s="141"/>
      <c r="D314" s="141"/>
      <c r="E314" s="301" t="s">
        <v>672</v>
      </c>
      <c r="F314" s="281">
        <v>0.170002873</v>
      </c>
      <c r="G314" s="129">
        <v>114.8776</v>
      </c>
      <c r="H314" s="129">
        <v>114.7081</v>
      </c>
      <c r="I314" s="129">
        <v>113.92529999999999</v>
      </c>
      <c r="J314" s="129">
        <v>113.7851</v>
      </c>
      <c r="K314" s="129">
        <v>111.7824</v>
      </c>
      <c r="L314" s="129">
        <v>112.4645</v>
      </c>
      <c r="M314" s="129">
        <v>112.1521</v>
      </c>
      <c r="N314" s="129">
        <v>112.16160000000001</v>
      </c>
      <c r="O314" s="129">
        <v>111.464</v>
      </c>
      <c r="P314" s="134">
        <v>110.61839999999999</v>
      </c>
      <c r="Q314" s="129">
        <v>107.78579999999999</v>
      </c>
      <c r="R314" s="129">
        <v>109.2778</v>
      </c>
    </row>
    <row r="315" spans="1:18" ht="15">
      <c r="A315" s="141"/>
      <c r="B315" s="141"/>
      <c r="C315" s="141"/>
      <c r="D315" s="141"/>
      <c r="E315" s="301" t="s">
        <v>673</v>
      </c>
      <c r="F315" s="299">
        <v>0.13323270700000001</v>
      </c>
      <c r="G315" s="129">
        <v>114.4402</v>
      </c>
      <c r="H315" s="129">
        <v>113.7649</v>
      </c>
      <c r="I315" s="129">
        <v>113.6587</v>
      </c>
      <c r="J315" s="129">
        <v>113.863</v>
      </c>
      <c r="K315" s="129">
        <v>112.13800000000001</v>
      </c>
      <c r="L315" s="129">
        <v>112.89060000000001</v>
      </c>
      <c r="M315" s="129">
        <v>112.62869999999999</v>
      </c>
      <c r="N315" s="129">
        <v>113.17449999999999</v>
      </c>
      <c r="O315" s="129">
        <v>112.6641</v>
      </c>
      <c r="P315" s="129">
        <v>111.50709999999999</v>
      </c>
      <c r="Q315" s="129">
        <v>109.346</v>
      </c>
      <c r="R315" s="129">
        <v>110.87820000000001</v>
      </c>
    </row>
    <row r="316" spans="1:18" ht="15">
      <c r="A316" s="141"/>
      <c r="B316" s="141"/>
      <c r="C316" s="141"/>
      <c r="D316" s="141"/>
      <c r="E316" s="301" t="s">
        <v>674</v>
      </c>
      <c r="F316" s="299">
        <v>6.8062378000000007E-2</v>
      </c>
      <c r="G316" s="129">
        <v>115.0523</v>
      </c>
      <c r="H316" s="129">
        <v>114.9606</v>
      </c>
      <c r="I316" s="129">
        <v>114.38630000000001</v>
      </c>
      <c r="J316" s="129">
        <v>114.1613</v>
      </c>
      <c r="K316" s="129">
        <v>112.3944</v>
      </c>
      <c r="L316" s="129">
        <v>113.0668</v>
      </c>
      <c r="M316" s="129">
        <v>111.88160000000001</v>
      </c>
      <c r="N316" s="129">
        <v>112.4671</v>
      </c>
      <c r="O316" s="129">
        <v>111.8526</v>
      </c>
      <c r="P316" s="129">
        <v>112.16719999999999</v>
      </c>
      <c r="Q316" s="129">
        <v>110.20059999999999</v>
      </c>
      <c r="R316" s="129">
        <v>110.8925</v>
      </c>
    </row>
    <row r="317" spans="1:18" ht="15">
      <c r="A317" s="141"/>
      <c r="B317" s="141"/>
      <c r="C317" s="141" t="s">
        <v>675</v>
      </c>
      <c r="D317" s="141"/>
      <c r="E317" s="301"/>
      <c r="F317" s="299">
        <v>8.4324985000000005E-2</v>
      </c>
      <c r="G317" s="129">
        <v>119.2748</v>
      </c>
      <c r="H317" s="129">
        <v>118.97</v>
      </c>
      <c r="I317" s="129">
        <v>119.34610000000001</v>
      </c>
      <c r="J317" s="129">
        <v>119.3022</v>
      </c>
      <c r="K317" s="129">
        <v>117.8489</v>
      </c>
      <c r="L317" s="129">
        <v>118.7856</v>
      </c>
      <c r="M317" s="129">
        <v>118.27970000000001</v>
      </c>
      <c r="N317" s="129">
        <v>118.55200000000001</v>
      </c>
      <c r="O317" s="129">
        <v>117.5984</v>
      </c>
      <c r="P317" s="129">
        <v>117.7945</v>
      </c>
      <c r="Q317" s="129">
        <v>115.9628</v>
      </c>
      <c r="R317" s="129">
        <v>116.9752</v>
      </c>
    </row>
    <row r="318" spans="1:18" ht="15">
      <c r="A318" s="141"/>
      <c r="B318" s="141"/>
      <c r="C318" s="141"/>
      <c r="D318" s="141" t="s">
        <v>676</v>
      </c>
      <c r="E318" s="301"/>
      <c r="F318" s="299">
        <v>8.4324985000000005E-2</v>
      </c>
      <c r="G318" s="129">
        <v>119.2748</v>
      </c>
      <c r="H318" s="129">
        <v>118.97</v>
      </c>
      <c r="I318" s="129">
        <v>119.34610000000001</v>
      </c>
      <c r="J318" s="129">
        <v>119.3022</v>
      </c>
      <c r="K318" s="129">
        <v>117.8489</v>
      </c>
      <c r="L318" s="129">
        <v>118.7856</v>
      </c>
      <c r="M318" s="129">
        <v>118.27970000000001</v>
      </c>
      <c r="N318" s="129">
        <v>118.55200000000001</v>
      </c>
      <c r="O318" s="129">
        <v>117.5984</v>
      </c>
      <c r="P318" s="129">
        <v>117.7945</v>
      </c>
      <c r="Q318" s="129">
        <v>115.9628</v>
      </c>
      <c r="R318" s="129">
        <v>116.9752</v>
      </c>
    </row>
    <row r="319" spans="1:18" ht="15">
      <c r="A319" s="141"/>
      <c r="B319" s="141"/>
      <c r="C319" s="141"/>
      <c r="D319" s="141"/>
      <c r="E319" s="301" t="s">
        <v>677</v>
      </c>
      <c r="F319" s="299">
        <v>2.7939591E-2</v>
      </c>
      <c r="G319" s="129">
        <v>129.83170000000001</v>
      </c>
      <c r="H319" s="129">
        <v>129.85759999999999</v>
      </c>
      <c r="I319" s="129">
        <v>129.42250000000001</v>
      </c>
      <c r="J319" s="129">
        <v>129.37909999999999</v>
      </c>
      <c r="K319" s="129">
        <v>127.99290000000001</v>
      </c>
      <c r="L319" s="129">
        <v>128.37379999999999</v>
      </c>
      <c r="M319" s="129">
        <v>127.5981</v>
      </c>
      <c r="N319" s="129">
        <v>127.8578</v>
      </c>
      <c r="O319" s="129">
        <v>127.2748</v>
      </c>
      <c r="P319" s="129">
        <v>127.5334</v>
      </c>
      <c r="Q319" s="129">
        <v>125.7139</v>
      </c>
      <c r="R319" s="129">
        <v>127.0522</v>
      </c>
    </row>
    <row r="320" spans="1:18" ht="15">
      <c r="A320" s="141"/>
      <c r="B320" s="141"/>
      <c r="C320" s="141"/>
      <c r="D320" s="141"/>
      <c r="E320" s="301" t="s">
        <v>678</v>
      </c>
      <c r="F320" s="299">
        <v>5.6385392999999999E-2</v>
      </c>
      <c r="G320" s="129">
        <v>114.0438</v>
      </c>
      <c r="H320" s="129">
        <v>113.5752</v>
      </c>
      <c r="I320" s="129">
        <v>114.3532</v>
      </c>
      <c r="J320" s="129">
        <v>114.30889999999999</v>
      </c>
      <c r="K320" s="129">
        <v>112.82250000000001</v>
      </c>
      <c r="L320" s="129">
        <v>114.03449999999999</v>
      </c>
      <c r="M320" s="129">
        <v>113.66240000000001</v>
      </c>
      <c r="N320" s="129">
        <v>113.9408</v>
      </c>
      <c r="O320" s="129">
        <v>112.80370000000001</v>
      </c>
      <c r="P320" s="129">
        <v>112.9687</v>
      </c>
      <c r="Q320" s="129">
        <v>111.1311</v>
      </c>
      <c r="R320" s="129">
        <v>111.9819</v>
      </c>
    </row>
    <row r="321" spans="1:18" ht="15">
      <c r="A321" s="141"/>
      <c r="B321" s="141" t="s">
        <v>679</v>
      </c>
      <c r="C321" s="141"/>
      <c r="D321" s="141"/>
      <c r="E321" s="301"/>
      <c r="F321" s="299">
        <v>7.8511948999999998E-2</v>
      </c>
      <c r="G321" s="129">
        <v>115.9158</v>
      </c>
      <c r="H321" s="129">
        <v>115.6082</v>
      </c>
      <c r="I321" s="129">
        <v>115.3921</v>
      </c>
      <c r="J321" s="129">
        <v>115.6825</v>
      </c>
      <c r="K321" s="129">
        <v>114.7385</v>
      </c>
      <c r="L321" s="129">
        <v>115.59229999999999</v>
      </c>
      <c r="M321" s="129">
        <v>115.70740000000001</v>
      </c>
      <c r="N321" s="129">
        <v>115.7392</v>
      </c>
      <c r="O321" s="129">
        <v>115.5129</v>
      </c>
      <c r="P321" s="129">
        <v>115.77670000000001</v>
      </c>
      <c r="Q321" s="129">
        <v>115.5299</v>
      </c>
      <c r="R321" s="129">
        <v>115.94710000000001</v>
      </c>
    </row>
    <row r="322" spans="1:18" ht="15" customHeight="1">
      <c r="A322" s="141"/>
      <c r="B322" s="141"/>
      <c r="C322" s="141" t="s">
        <v>680</v>
      </c>
      <c r="D322" s="141"/>
      <c r="E322" s="301"/>
      <c r="F322" s="299">
        <v>7.8511948999999998E-2</v>
      </c>
      <c r="G322" s="129">
        <v>115.9158</v>
      </c>
      <c r="H322" s="129">
        <v>115.6082</v>
      </c>
      <c r="I322" s="129">
        <v>115.3921</v>
      </c>
      <c r="J322" s="129">
        <v>115.6825</v>
      </c>
      <c r="K322" s="129">
        <v>114.7385</v>
      </c>
      <c r="L322" s="129">
        <v>115.59229999999999</v>
      </c>
      <c r="M322" s="129">
        <v>115.70740000000001</v>
      </c>
      <c r="N322" s="129">
        <v>115.7392</v>
      </c>
      <c r="O322" s="129">
        <v>115.5129</v>
      </c>
      <c r="P322" s="129">
        <v>115.77670000000001</v>
      </c>
      <c r="Q322" s="129">
        <v>115.5299</v>
      </c>
      <c r="R322" s="129">
        <v>115.94710000000001</v>
      </c>
    </row>
    <row r="323" spans="1:18" ht="15">
      <c r="A323" s="141"/>
      <c r="B323" s="141"/>
      <c r="C323" s="141"/>
      <c r="D323" s="141" t="s">
        <v>681</v>
      </c>
      <c r="E323" s="301"/>
      <c r="F323" s="299">
        <v>7.8511948999999998E-2</v>
      </c>
      <c r="G323" s="129">
        <v>115.9158</v>
      </c>
      <c r="H323" s="129">
        <v>115.6082</v>
      </c>
      <c r="I323" s="129">
        <v>115.3921</v>
      </c>
      <c r="J323" s="129">
        <v>115.6825</v>
      </c>
      <c r="K323" s="129">
        <v>114.7385</v>
      </c>
      <c r="L323" s="129">
        <v>115.59229999999999</v>
      </c>
      <c r="M323" s="129">
        <v>115.70740000000001</v>
      </c>
      <c r="N323" s="129">
        <v>115.7392</v>
      </c>
      <c r="O323" s="129">
        <v>115.5129</v>
      </c>
      <c r="P323" s="129">
        <v>115.77670000000001</v>
      </c>
      <c r="Q323" s="129">
        <v>115.5299</v>
      </c>
      <c r="R323" s="129">
        <v>115.94710000000001</v>
      </c>
    </row>
    <row r="324" spans="1:18" ht="15">
      <c r="A324" s="141"/>
      <c r="B324" s="141"/>
      <c r="C324" s="141"/>
      <c r="D324" s="141"/>
      <c r="E324" s="301" t="s">
        <v>682</v>
      </c>
      <c r="F324" s="299">
        <v>3.5607899999999999E-3</v>
      </c>
      <c r="G324" s="129">
        <v>114.4884</v>
      </c>
      <c r="H324" s="129">
        <v>114.4104</v>
      </c>
      <c r="I324" s="129">
        <v>114.60550000000001</v>
      </c>
      <c r="J324" s="129">
        <v>114.9914</v>
      </c>
      <c r="K324" s="129">
        <v>114.9936</v>
      </c>
      <c r="L324" s="129">
        <v>115.38549999999999</v>
      </c>
      <c r="M324" s="129">
        <v>115.5363</v>
      </c>
      <c r="N324" s="129">
        <v>115.5919</v>
      </c>
      <c r="O324" s="129">
        <v>115.4404</v>
      </c>
      <c r="P324" s="129">
        <v>115.4025</v>
      </c>
      <c r="Q324" s="129">
        <v>115.6241</v>
      </c>
      <c r="R324" s="129">
        <v>116.1028</v>
      </c>
    </row>
    <row r="325" spans="1:18" ht="15">
      <c r="A325" s="141"/>
      <c r="B325" s="141"/>
      <c r="C325" s="141"/>
      <c r="D325" s="141"/>
      <c r="E325" s="301" t="s">
        <v>683</v>
      </c>
      <c r="F325" s="299">
        <v>4.1124666999999997E-2</v>
      </c>
      <c r="G325" s="129">
        <v>117.0642</v>
      </c>
      <c r="H325" s="129">
        <v>116.6263</v>
      </c>
      <c r="I325" s="129">
        <v>116.452</v>
      </c>
      <c r="J325" s="129">
        <v>117.3141</v>
      </c>
      <c r="K325" s="129">
        <v>115.35420000000001</v>
      </c>
      <c r="L325" s="129">
        <v>116.6232</v>
      </c>
      <c r="M325" s="129">
        <v>116.6893</v>
      </c>
      <c r="N325" s="129">
        <v>116.80929999999999</v>
      </c>
      <c r="O325" s="129">
        <v>116.3133</v>
      </c>
      <c r="P325" s="129">
        <v>116.4803</v>
      </c>
      <c r="Q325" s="129">
        <v>116.2824</v>
      </c>
      <c r="R325" s="129">
        <v>116.9585</v>
      </c>
    </row>
    <row r="326" spans="1:18" ht="15">
      <c r="A326" s="141"/>
      <c r="B326" s="141"/>
      <c r="C326" s="141"/>
      <c r="D326" s="141"/>
      <c r="E326" s="301" t="s">
        <v>684</v>
      </c>
      <c r="F326" s="299">
        <v>3.3826491E-2</v>
      </c>
      <c r="G326" s="129">
        <v>114.6698</v>
      </c>
      <c r="H326" s="129">
        <v>114.4965</v>
      </c>
      <c r="I326" s="129">
        <v>114.1863</v>
      </c>
      <c r="J326" s="129">
        <v>113.7717</v>
      </c>
      <c r="K326" s="129">
        <v>113.96299999999999</v>
      </c>
      <c r="L326" s="129">
        <v>114.3609</v>
      </c>
      <c r="M326" s="129">
        <v>114.5317</v>
      </c>
      <c r="N326" s="129">
        <v>114.45359999999999</v>
      </c>
      <c r="O326" s="129">
        <v>114.54730000000001</v>
      </c>
      <c r="P326" s="129">
        <v>114.96080000000001</v>
      </c>
      <c r="Q326" s="129">
        <v>114.605</v>
      </c>
      <c r="R326" s="129">
        <v>114.70099999999999</v>
      </c>
    </row>
    <row r="327" spans="1:18" ht="15">
      <c r="A327" s="141"/>
      <c r="B327" s="141" t="s">
        <v>685</v>
      </c>
      <c r="C327" s="141"/>
      <c r="D327" s="141"/>
      <c r="E327" s="301"/>
      <c r="F327" s="299">
        <v>6.0344713000000001E-2</v>
      </c>
      <c r="G327" s="129">
        <v>118.083</v>
      </c>
      <c r="H327" s="129">
        <v>118.01179999999999</v>
      </c>
      <c r="I327" s="129">
        <v>117.9496</v>
      </c>
      <c r="J327" s="129">
        <v>117.9414</v>
      </c>
      <c r="K327" s="129">
        <v>117.8907</v>
      </c>
      <c r="L327" s="129">
        <v>117.886</v>
      </c>
      <c r="M327" s="129">
        <v>117.7218</v>
      </c>
      <c r="N327" s="129">
        <v>117.9693</v>
      </c>
      <c r="O327" s="129">
        <v>117.3687</v>
      </c>
      <c r="P327" s="129">
        <v>117.8002</v>
      </c>
      <c r="Q327" s="129">
        <v>117.646</v>
      </c>
      <c r="R327" s="129">
        <v>118.3502</v>
      </c>
    </row>
    <row r="328" spans="1:18" ht="15">
      <c r="A328" s="141"/>
      <c r="B328" s="141"/>
      <c r="C328" s="141" t="s">
        <v>686</v>
      </c>
      <c r="D328" s="141"/>
      <c r="E328" s="301"/>
      <c r="F328" s="299">
        <v>6.0344713000000001E-2</v>
      </c>
      <c r="G328" s="129">
        <v>118.083</v>
      </c>
      <c r="H328" s="129">
        <v>118.01179999999999</v>
      </c>
      <c r="I328" s="129">
        <v>117.9496</v>
      </c>
      <c r="J328" s="129">
        <v>117.9414</v>
      </c>
      <c r="K328" s="129">
        <v>117.8907</v>
      </c>
      <c r="L328" s="129">
        <v>117.886</v>
      </c>
      <c r="M328" s="129">
        <v>117.7218</v>
      </c>
      <c r="N328" s="129">
        <v>117.9693</v>
      </c>
      <c r="O328" s="129">
        <v>117.3687</v>
      </c>
      <c r="P328" s="129">
        <v>117.8002</v>
      </c>
      <c r="Q328" s="129">
        <v>117.646</v>
      </c>
      <c r="R328" s="129">
        <v>118.3502</v>
      </c>
    </row>
    <row r="329" spans="1:18" ht="15">
      <c r="A329" s="141"/>
      <c r="B329" s="141"/>
      <c r="C329" s="141"/>
      <c r="D329" s="141" t="s">
        <v>687</v>
      </c>
      <c r="E329" s="301"/>
      <c r="F329" s="299">
        <v>6.0344713000000001E-2</v>
      </c>
      <c r="G329" s="129">
        <v>118.083</v>
      </c>
      <c r="H329" s="129">
        <v>118.01179999999999</v>
      </c>
      <c r="I329" s="129">
        <v>117.9496</v>
      </c>
      <c r="J329" s="129">
        <v>117.9414</v>
      </c>
      <c r="K329" s="129">
        <v>117.8907</v>
      </c>
      <c r="L329" s="129">
        <v>117.886</v>
      </c>
      <c r="M329" s="129">
        <v>117.7218</v>
      </c>
      <c r="N329" s="129">
        <v>117.9693</v>
      </c>
      <c r="O329" s="129">
        <v>117.3687</v>
      </c>
      <c r="P329" s="129">
        <v>117.8002</v>
      </c>
      <c r="Q329" s="129">
        <v>117.646</v>
      </c>
      <c r="R329" s="129">
        <v>118.3502</v>
      </c>
    </row>
    <row r="330" spans="1:18" ht="15" customHeight="1">
      <c r="A330" s="141"/>
      <c r="B330" s="141"/>
      <c r="C330" s="141"/>
      <c r="D330" s="141"/>
      <c r="E330" s="301" t="s">
        <v>688</v>
      </c>
      <c r="F330" s="299">
        <v>6.81731E-3</v>
      </c>
      <c r="G330" s="129">
        <v>117.7338</v>
      </c>
      <c r="H330" s="129">
        <v>117.78789999999999</v>
      </c>
      <c r="I330" s="129">
        <v>117.658</v>
      </c>
      <c r="J330" s="129">
        <v>117.76049999999999</v>
      </c>
      <c r="K330" s="129">
        <v>117.6314</v>
      </c>
      <c r="L330" s="129">
        <v>117.7159</v>
      </c>
      <c r="M330" s="129">
        <v>117.4525</v>
      </c>
      <c r="N330" s="129">
        <v>117.44889999999999</v>
      </c>
      <c r="O330" s="129">
        <v>117.4027</v>
      </c>
      <c r="P330" s="129">
        <v>117.1306</v>
      </c>
      <c r="Q330" s="129">
        <v>117.3219</v>
      </c>
      <c r="R330" s="129">
        <v>117.2855</v>
      </c>
    </row>
    <row r="331" spans="1:18" ht="15">
      <c r="A331" s="141"/>
      <c r="B331" s="141"/>
      <c r="C331" s="141"/>
      <c r="D331" s="141"/>
      <c r="E331" s="301" t="s">
        <v>689</v>
      </c>
      <c r="F331" s="299">
        <v>5.3527403000000001E-2</v>
      </c>
      <c r="G331" s="129">
        <v>118.1275</v>
      </c>
      <c r="H331" s="129">
        <v>118.0403</v>
      </c>
      <c r="I331" s="129">
        <v>117.9868</v>
      </c>
      <c r="J331" s="129">
        <v>117.9644</v>
      </c>
      <c r="K331" s="129">
        <v>117.9237</v>
      </c>
      <c r="L331" s="129">
        <v>117.9076</v>
      </c>
      <c r="M331" s="129">
        <v>117.7561</v>
      </c>
      <c r="N331" s="129">
        <v>118.0356</v>
      </c>
      <c r="O331" s="129">
        <v>117.3644</v>
      </c>
      <c r="P331" s="129">
        <v>117.88549999999999</v>
      </c>
      <c r="Q331" s="129">
        <v>117.68729999999999</v>
      </c>
      <c r="R331" s="129">
        <v>118.4858</v>
      </c>
    </row>
    <row r="332" spans="1:18" ht="15">
      <c r="A332" s="141"/>
      <c r="B332" s="141" t="s">
        <v>690</v>
      </c>
      <c r="C332" s="141"/>
      <c r="D332" s="141"/>
      <c r="E332" s="301"/>
      <c r="F332" s="299">
        <v>3.5480404000000001</v>
      </c>
      <c r="G332" s="129">
        <v>123.59</v>
      </c>
      <c r="H332" s="129">
        <v>124.4122</v>
      </c>
      <c r="I332" s="129">
        <v>124.6561</v>
      </c>
      <c r="J332" s="129">
        <v>125.0671</v>
      </c>
      <c r="K332" s="129">
        <v>125.3411</v>
      </c>
      <c r="L332" s="129">
        <v>125.65219999999999</v>
      </c>
      <c r="M332" s="129">
        <v>125.9391</v>
      </c>
      <c r="N332" s="129">
        <v>126.0664</v>
      </c>
      <c r="O332" s="129">
        <v>126.13120000000001</v>
      </c>
      <c r="P332" s="129">
        <v>126.2568</v>
      </c>
      <c r="Q332" s="129">
        <v>126.6142</v>
      </c>
      <c r="R332" s="129">
        <v>127.1255</v>
      </c>
    </row>
    <row r="333" spans="1:18" ht="15" customHeight="1">
      <c r="A333" s="141"/>
      <c r="B333" s="141"/>
      <c r="C333" s="141" t="s">
        <v>691</v>
      </c>
      <c r="D333" s="141"/>
      <c r="E333" s="301"/>
      <c r="F333" s="299">
        <v>1.81724252</v>
      </c>
      <c r="G333" s="129">
        <v>133.68870000000001</v>
      </c>
      <c r="H333" s="129">
        <v>135.0112</v>
      </c>
      <c r="I333" s="129">
        <v>135.45840000000001</v>
      </c>
      <c r="J333" s="129">
        <v>135.9821</v>
      </c>
      <c r="K333" s="129">
        <v>136.32849999999999</v>
      </c>
      <c r="L333" s="129">
        <v>136.65989999999999</v>
      </c>
      <c r="M333" s="129">
        <v>137.1711</v>
      </c>
      <c r="N333" s="129">
        <v>137.2713</v>
      </c>
      <c r="O333" s="129">
        <v>137.19390000000001</v>
      </c>
      <c r="P333" s="129">
        <v>137.30009999999999</v>
      </c>
      <c r="Q333" s="129">
        <v>137.8879</v>
      </c>
      <c r="R333" s="129">
        <v>138.37950000000001</v>
      </c>
    </row>
    <row r="334" spans="1:18" ht="15">
      <c r="A334" s="141"/>
      <c r="B334" s="141"/>
      <c r="C334" s="141"/>
      <c r="D334" s="141" t="s">
        <v>692</v>
      </c>
      <c r="E334" s="301"/>
      <c r="F334" s="299">
        <v>1.81724252</v>
      </c>
      <c r="G334" s="129">
        <v>133.68870000000001</v>
      </c>
      <c r="H334" s="129">
        <v>135.0112</v>
      </c>
      <c r="I334" s="129">
        <v>135.45840000000001</v>
      </c>
      <c r="J334" s="129">
        <v>135.9821</v>
      </c>
      <c r="K334" s="129">
        <v>136.32849999999999</v>
      </c>
      <c r="L334" s="129">
        <v>136.65989999999999</v>
      </c>
      <c r="M334" s="129">
        <v>137.1711</v>
      </c>
      <c r="N334" s="129">
        <v>137.2713</v>
      </c>
      <c r="O334" s="129">
        <v>137.19390000000001</v>
      </c>
      <c r="P334" s="129">
        <v>137.30009999999999</v>
      </c>
      <c r="Q334" s="129">
        <v>137.8879</v>
      </c>
      <c r="R334" s="129">
        <v>138.37950000000001</v>
      </c>
    </row>
    <row r="335" spans="1:18" ht="15" customHeight="1">
      <c r="A335" s="141"/>
      <c r="B335" s="141"/>
      <c r="C335" s="141"/>
      <c r="D335" s="141"/>
      <c r="E335" s="301" t="s">
        <v>693</v>
      </c>
      <c r="F335" s="299">
        <v>0.76959976900000004</v>
      </c>
      <c r="G335" s="129">
        <v>127.8613</v>
      </c>
      <c r="H335" s="129">
        <v>128.071</v>
      </c>
      <c r="I335" s="129">
        <v>128.09620000000001</v>
      </c>
      <c r="J335" s="129">
        <v>128.4051</v>
      </c>
      <c r="K335" s="129">
        <v>128.48079999999999</v>
      </c>
      <c r="L335" s="129">
        <v>128.5128</v>
      </c>
      <c r="M335" s="129">
        <v>128.94309999999999</v>
      </c>
      <c r="N335" s="129">
        <v>128.9315</v>
      </c>
      <c r="O335" s="129">
        <v>128.89330000000001</v>
      </c>
      <c r="P335" s="129">
        <v>128.97749999999999</v>
      </c>
      <c r="Q335" s="129">
        <v>129.7098</v>
      </c>
      <c r="R335" s="129">
        <v>130.10679999999999</v>
      </c>
    </row>
    <row r="336" spans="1:18" ht="15">
      <c r="A336" s="141"/>
      <c r="B336" s="141"/>
      <c r="C336" s="141"/>
      <c r="D336" s="141"/>
      <c r="E336" s="301" t="s">
        <v>694</v>
      </c>
      <c r="F336" s="299">
        <v>0.24067771199999999</v>
      </c>
      <c r="G336" s="129">
        <v>134.1986</v>
      </c>
      <c r="H336" s="129">
        <v>141.11170000000001</v>
      </c>
      <c r="I336" s="129">
        <v>143.32820000000001</v>
      </c>
      <c r="J336" s="129">
        <v>144.6754</v>
      </c>
      <c r="K336" s="129">
        <v>145.63239999999999</v>
      </c>
      <c r="L336" s="129">
        <v>146.33369999999999</v>
      </c>
      <c r="M336" s="129">
        <v>146.92439999999999</v>
      </c>
      <c r="N336" s="129">
        <v>146.67949999999999</v>
      </c>
      <c r="O336" s="129">
        <v>146.91159999999999</v>
      </c>
      <c r="P336" s="129">
        <v>147.63419999999999</v>
      </c>
      <c r="Q336" s="129">
        <v>148.20699999999999</v>
      </c>
      <c r="R336" s="129">
        <v>148.36949999999999</v>
      </c>
    </row>
    <row r="337" spans="1:18" ht="15">
      <c r="A337" s="141"/>
      <c r="B337" s="141"/>
      <c r="C337" s="141"/>
      <c r="D337" s="141"/>
      <c r="E337" s="301" t="s">
        <v>695</v>
      </c>
      <c r="F337" s="299">
        <v>0.14334866900000001</v>
      </c>
      <c r="G337" s="129">
        <v>141.97569999999999</v>
      </c>
      <c r="H337" s="129">
        <v>142.35560000000001</v>
      </c>
      <c r="I337" s="129">
        <v>141.6369</v>
      </c>
      <c r="J337" s="129">
        <v>142.04390000000001</v>
      </c>
      <c r="K337" s="129">
        <v>142.82220000000001</v>
      </c>
      <c r="L337" s="129">
        <v>142.82810000000001</v>
      </c>
      <c r="M337" s="129">
        <v>143.02350000000001</v>
      </c>
      <c r="N337" s="129">
        <v>142.74180000000001</v>
      </c>
      <c r="O337" s="129">
        <v>143.17830000000001</v>
      </c>
      <c r="P337" s="129">
        <v>143.5498</v>
      </c>
      <c r="Q337" s="129">
        <v>143.20089999999999</v>
      </c>
      <c r="R337" s="129">
        <v>143.29689999999999</v>
      </c>
    </row>
    <row r="338" spans="1:18" ht="15">
      <c r="A338" s="141"/>
      <c r="B338" s="141"/>
      <c r="C338" s="141"/>
      <c r="D338" s="141"/>
      <c r="E338" s="301" t="s">
        <v>696</v>
      </c>
      <c r="F338" s="299">
        <v>5.0188581000000003E-2</v>
      </c>
      <c r="G338" s="129">
        <v>128.35050000000001</v>
      </c>
      <c r="H338" s="129">
        <v>128.72900000000001</v>
      </c>
      <c r="I338" s="129">
        <v>128.5266</v>
      </c>
      <c r="J338" s="129">
        <v>128.54089999999999</v>
      </c>
      <c r="K338" s="129">
        <v>128.4795</v>
      </c>
      <c r="L338" s="129">
        <v>128.49590000000001</v>
      </c>
      <c r="M338" s="129">
        <v>128.7073</v>
      </c>
      <c r="N338" s="129">
        <v>128.80959999999999</v>
      </c>
      <c r="O338" s="129">
        <v>128.83000000000001</v>
      </c>
      <c r="P338" s="129">
        <v>128.96379999999999</v>
      </c>
      <c r="Q338" s="129">
        <v>129.02379999999999</v>
      </c>
      <c r="R338" s="129">
        <v>129.14660000000001</v>
      </c>
    </row>
    <row r="339" spans="1:18" ht="15">
      <c r="A339" s="141"/>
      <c r="B339" s="141"/>
      <c r="C339" s="141"/>
      <c r="D339" s="141"/>
      <c r="E339" s="301" t="s">
        <v>697</v>
      </c>
      <c r="F339" s="299">
        <v>9.2684336000000006E-2</v>
      </c>
      <c r="G339" s="129">
        <v>141.43369999999999</v>
      </c>
      <c r="H339" s="129">
        <v>141.75880000000001</v>
      </c>
      <c r="I339" s="129">
        <v>142.023</v>
      </c>
      <c r="J339" s="129">
        <v>141.47149999999999</v>
      </c>
      <c r="K339" s="129">
        <v>141.92259999999999</v>
      </c>
      <c r="L339" s="129">
        <v>142.7081</v>
      </c>
      <c r="M339" s="129">
        <v>142.8665</v>
      </c>
      <c r="N339" s="129">
        <v>142.2157</v>
      </c>
      <c r="O339" s="129">
        <v>143.3698</v>
      </c>
      <c r="P339" s="129">
        <v>143.98140000000001</v>
      </c>
      <c r="Q339" s="129">
        <v>142.89680000000001</v>
      </c>
      <c r="R339" s="129">
        <v>143.59299999999999</v>
      </c>
    </row>
    <row r="340" spans="1:18" ht="15">
      <c r="A340" s="141"/>
      <c r="B340" s="141"/>
      <c r="C340" s="141"/>
      <c r="D340" s="141"/>
      <c r="E340" s="301" t="s">
        <v>698</v>
      </c>
      <c r="F340" s="299">
        <v>0.26511683000000003</v>
      </c>
      <c r="G340" s="129">
        <v>140.54679999999999</v>
      </c>
      <c r="H340" s="129">
        <v>141.24809999999999</v>
      </c>
      <c r="I340" s="129">
        <v>141.97290000000001</v>
      </c>
      <c r="J340" s="129">
        <v>142.94839999999999</v>
      </c>
      <c r="K340" s="129">
        <v>143.00309999999999</v>
      </c>
      <c r="L340" s="129">
        <v>143.31389999999999</v>
      </c>
      <c r="M340" s="129">
        <v>144.11269999999999</v>
      </c>
      <c r="N340" s="129">
        <v>145.06720000000001</v>
      </c>
      <c r="O340" s="129">
        <v>144.51840000000001</v>
      </c>
      <c r="P340" s="129">
        <v>144.0137</v>
      </c>
      <c r="Q340" s="129">
        <v>145.58590000000001</v>
      </c>
      <c r="R340" s="129">
        <v>146.7071</v>
      </c>
    </row>
    <row r="341" spans="1:18" ht="15">
      <c r="A341" s="141"/>
      <c r="B341" s="141"/>
      <c r="C341" s="141"/>
      <c r="D341" s="141"/>
      <c r="E341" s="301" t="s">
        <v>699</v>
      </c>
      <c r="F341" s="299">
        <v>2.0048216000000001E-2</v>
      </c>
      <c r="G341" s="129">
        <v>142.78720000000001</v>
      </c>
      <c r="H341" s="129">
        <v>143.50200000000001</v>
      </c>
      <c r="I341" s="129">
        <v>143.9999</v>
      </c>
      <c r="J341" s="129">
        <v>144.2422</v>
      </c>
      <c r="K341" s="129">
        <v>145.34700000000001</v>
      </c>
      <c r="L341" s="129">
        <v>145.9708</v>
      </c>
      <c r="M341" s="129">
        <v>146.63589999999999</v>
      </c>
      <c r="N341" s="129">
        <v>146.74809999999999</v>
      </c>
      <c r="O341" s="129">
        <v>147.39580000000001</v>
      </c>
      <c r="P341" s="129">
        <v>147.91990000000001</v>
      </c>
      <c r="Q341" s="129">
        <v>148.58500000000001</v>
      </c>
      <c r="R341" s="129">
        <v>149.6026</v>
      </c>
    </row>
    <row r="342" spans="1:18" ht="15">
      <c r="A342" s="141"/>
      <c r="B342" s="141"/>
      <c r="C342" s="141"/>
      <c r="D342" s="141"/>
      <c r="E342" s="301" t="s">
        <v>700</v>
      </c>
      <c r="F342" s="299">
        <v>3.5389440000000001E-2</v>
      </c>
      <c r="G342" s="129">
        <v>129.1884</v>
      </c>
      <c r="H342" s="129">
        <v>129.78909999999999</v>
      </c>
      <c r="I342" s="129">
        <v>129.78559999999999</v>
      </c>
      <c r="J342" s="129">
        <v>130.00970000000001</v>
      </c>
      <c r="K342" s="129">
        <v>130.1225</v>
      </c>
      <c r="L342" s="129">
        <v>130.71520000000001</v>
      </c>
      <c r="M342" s="129">
        <v>130.95920000000001</v>
      </c>
      <c r="N342" s="129">
        <v>131.24520000000001</v>
      </c>
      <c r="O342" s="129">
        <v>131.3587</v>
      </c>
      <c r="P342" s="129">
        <v>131.32040000000001</v>
      </c>
      <c r="Q342" s="129">
        <v>132.2098</v>
      </c>
      <c r="R342" s="129">
        <v>132.62559999999999</v>
      </c>
    </row>
    <row r="343" spans="1:18" ht="15">
      <c r="A343" s="141"/>
      <c r="B343" s="141"/>
      <c r="C343" s="141"/>
      <c r="D343" s="141"/>
      <c r="E343" s="301" t="s">
        <v>701</v>
      </c>
      <c r="F343" s="299">
        <v>6.6243333000000001E-2</v>
      </c>
      <c r="G343" s="129">
        <v>154.79320000000001</v>
      </c>
      <c r="H343" s="129">
        <v>158.16730000000001</v>
      </c>
      <c r="I343" s="129">
        <v>160.292</v>
      </c>
      <c r="J343" s="129">
        <v>161.87469999999999</v>
      </c>
      <c r="K343" s="129">
        <v>163.26070000000001</v>
      </c>
      <c r="L343" s="129">
        <v>165.49799999999999</v>
      </c>
      <c r="M343" s="129">
        <v>167.28989999999999</v>
      </c>
      <c r="N343" s="129">
        <v>167.4683</v>
      </c>
      <c r="O343" s="129">
        <v>164.08189999999999</v>
      </c>
      <c r="P343" s="129">
        <v>163.1705</v>
      </c>
      <c r="Q343" s="129">
        <v>162.72819999999999</v>
      </c>
      <c r="R343" s="129">
        <v>163.18440000000001</v>
      </c>
    </row>
    <row r="344" spans="1:18" ht="15">
      <c r="A344" s="141"/>
      <c r="B344" s="141"/>
      <c r="C344" s="141"/>
      <c r="D344" s="141"/>
      <c r="E344" s="301" t="s">
        <v>702</v>
      </c>
      <c r="F344" s="299">
        <v>0.13394563000000001</v>
      </c>
      <c r="G344" s="129">
        <v>129.84280000000001</v>
      </c>
      <c r="H344" s="129">
        <v>130.06190000000001</v>
      </c>
      <c r="I344" s="129">
        <v>130.1061</v>
      </c>
      <c r="J344" s="129">
        <v>130.14660000000001</v>
      </c>
      <c r="K344" s="129">
        <v>130.58009999999999</v>
      </c>
      <c r="L344" s="129">
        <v>131.10550000000001</v>
      </c>
      <c r="M344" s="129">
        <v>131.47800000000001</v>
      </c>
      <c r="N344" s="129">
        <v>131.98779999999999</v>
      </c>
      <c r="O344" s="129">
        <v>132.101</v>
      </c>
      <c r="P344" s="129">
        <v>132.26920000000001</v>
      </c>
      <c r="Q344" s="129">
        <v>132.8819</v>
      </c>
      <c r="R344" s="129">
        <v>133.64080000000001</v>
      </c>
    </row>
    <row r="345" spans="1:18" ht="15">
      <c r="A345" s="141"/>
      <c r="B345" s="141"/>
      <c r="C345" s="141" t="s">
        <v>703</v>
      </c>
      <c r="D345" s="141"/>
      <c r="E345" s="301"/>
      <c r="F345" s="299">
        <v>1.7307978799999999</v>
      </c>
      <c r="G345" s="129">
        <v>112.98699999999999</v>
      </c>
      <c r="H345" s="129">
        <v>113.2839</v>
      </c>
      <c r="I345" s="129">
        <v>113.3142</v>
      </c>
      <c r="J345" s="129">
        <v>113.6069</v>
      </c>
      <c r="K345" s="129">
        <v>113.80500000000001</v>
      </c>
      <c r="L345" s="129">
        <v>114.09480000000001</v>
      </c>
      <c r="M345" s="129">
        <v>114.1461</v>
      </c>
      <c r="N345" s="129">
        <v>114.3019</v>
      </c>
      <c r="O345" s="129">
        <v>114.51600000000001</v>
      </c>
      <c r="P345" s="129">
        <v>114.6619</v>
      </c>
      <c r="Q345" s="129">
        <v>114.7774</v>
      </c>
      <c r="R345" s="129">
        <v>115.3094</v>
      </c>
    </row>
    <row r="346" spans="1:18" ht="15">
      <c r="A346" s="141"/>
      <c r="B346" s="141"/>
      <c r="C346" s="141"/>
      <c r="D346" s="141" t="s">
        <v>704</v>
      </c>
      <c r="E346" s="301"/>
      <c r="F346" s="299">
        <v>1.7307978799999999</v>
      </c>
      <c r="G346" s="129">
        <v>112.98699999999999</v>
      </c>
      <c r="H346" s="129">
        <v>113.2839</v>
      </c>
      <c r="I346" s="129">
        <v>113.3142</v>
      </c>
      <c r="J346" s="129">
        <v>113.6069</v>
      </c>
      <c r="K346" s="129">
        <v>113.80500000000001</v>
      </c>
      <c r="L346" s="129">
        <v>114.09480000000001</v>
      </c>
      <c r="M346" s="129">
        <v>114.1461</v>
      </c>
      <c r="N346" s="129">
        <v>114.3019</v>
      </c>
      <c r="O346" s="129">
        <v>114.51600000000001</v>
      </c>
      <c r="P346" s="129">
        <v>114.6619</v>
      </c>
      <c r="Q346" s="129">
        <v>114.7774</v>
      </c>
      <c r="R346" s="129">
        <v>115.3094</v>
      </c>
    </row>
    <row r="347" spans="1:18" ht="15">
      <c r="A347" s="141"/>
      <c r="B347" s="141"/>
      <c r="C347" s="141"/>
      <c r="D347" s="141"/>
      <c r="E347" s="301" t="s">
        <v>705</v>
      </c>
      <c r="F347" s="299">
        <v>1.7307978799999999</v>
      </c>
      <c r="G347" s="129">
        <v>112.98699999999999</v>
      </c>
      <c r="H347" s="129">
        <v>113.2839</v>
      </c>
      <c r="I347" s="129">
        <v>113.3142</v>
      </c>
      <c r="J347" s="129">
        <v>113.6069</v>
      </c>
      <c r="K347" s="129">
        <v>113.80500000000001</v>
      </c>
      <c r="L347" s="129">
        <v>114.09480000000001</v>
      </c>
      <c r="M347" s="129">
        <v>114.1461</v>
      </c>
      <c r="N347" s="129">
        <v>114.3019</v>
      </c>
      <c r="O347" s="129">
        <v>114.51600000000001</v>
      </c>
      <c r="P347" s="129">
        <v>114.6619</v>
      </c>
      <c r="Q347" s="129">
        <v>114.7774</v>
      </c>
      <c r="R347" s="129">
        <v>115.3094</v>
      </c>
    </row>
    <row r="348" spans="1:18" ht="15">
      <c r="A348" s="141" t="s">
        <v>706</v>
      </c>
      <c r="B348" s="141"/>
      <c r="C348" s="141"/>
      <c r="D348" s="141"/>
      <c r="E348" s="301"/>
      <c r="F348" s="299">
        <v>4.7407437400000001</v>
      </c>
      <c r="G348" s="129">
        <v>128.19659999999999</v>
      </c>
      <c r="H348" s="129">
        <v>128.91730000000001</v>
      </c>
      <c r="I348" s="129">
        <v>129.39240000000001</v>
      </c>
      <c r="J348" s="129">
        <v>130.29689999999999</v>
      </c>
      <c r="K348" s="129">
        <v>131.00550000000001</v>
      </c>
      <c r="L348" s="129">
        <v>131.43969999999999</v>
      </c>
      <c r="M348" s="129">
        <v>131.928</v>
      </c>
      <c r="N348" s="129">
        <v>132.3509</v>
      </c>
      <c r="O348" s="129">
        <v>132.66999999999999</v>
      </c>
      <c r="P348" s="129">
        <v>133.11269999999999</v>
      </c>
      <c r="Q348" s="129">
        <v>133.64500000000001</v>
      </c>
      <c r="R348" s="129">
        <v>134.06270000000001</v>
      </c>
    </row>
    <row r="349" spans="1:18" ht="15">
      <c r="A349" s="141"/>
      <c r="B349" s="141" t="s">
        <v>707</v>
      </c>
      <c r="C349" s="141"/>
      <c r="D349" s="141"/>
      <c r="E349" s="301"/>
      <c r="F349" s="299">
        <v>3.3125024700000001</v>
      </c>
      <c r="G349" s="129">
        <v>127.3753</v>
      </c>
      <c r="H349" s="129">
        <v>128.24870000000001</v>
      </c>
      <c r="I349" s="129">
        <v>128.64760000000001</v>
      </c>
      <c r="J349" s="129">
        <v>129.65799999999999</v>
      </c>
      <c r="K349" s="129">
        <v>130.36590000000001</v>
      </c>
      <c r="L349" s="129">
        <v>130.89930000000001</v>
      </c>
      <c r="M349" s="129">
        <v>131.27119999999999</v>
      </c>
      <c r="N349" s="129">
        <v>131.5532</v>
      </c>
      <c r="O349" s="129">
        <v>131.78290000000001</v>
      </c>
      <c r="P349" s="129">
        <v>132.24870000000001</v>
      </c>
      <c r="Q349" s="129">
        <v>132.77879999999999</v>
      </c>
      <c r="R349" s="129">
        <v>133.14859999999999</v>
      </c>
    </row>
    <row r="350" spans="1:18" ht="15">
      <c r="A350" s="141"/>
      <c r="B350" s="141"/>
      <c r="C350" s="141" t="s">
        <v>708</v>
      </c>
      <c r="D350" s="141"/>
      <c r="E350" s="301"/>
      <c r="F350" s="299">
        <v>3.2116952200000002</v>
      </c>
      <c r="G350" s="129">
        <v>127.90049999999999</v>
      </c>
      <c r="H350" s="129">
        <v>128.8075</v>
      </c>
      <c r="I350" s="129">
        <v>129.19560000000001</v>
      </c>
      <c r="J350" s="129">
        <v>130.22730000000001</v>
      </c>
      <c r="K350" s="129">
        <v>130.9649</v>
      </c>
      <c r="L350" s="129">
        <v>131.5187</v>
      </c>
      <c r="M350" s="129">
        <v>131.89340000000001</v>
      </c>
      <c r="N350" s="129">
        <v>132.18109999999999</v>
      </c>
      <c r="O350" s="129">
        <v>132.4136</v>
      </c>
      <c r="P350" s="129">
        <v>132.8948</v>
      </c>
      <c r="Q350" s="129">
        <v>133.4556</v>
      </c>
      <c r="R350" s="129">
        <v>133.82320000000001</v>
      </c>
    </row>
    <row r="351" spans="1:18" ht="15">
      <c r="A351" s="141"/>
      <c r="B351" s="141"/>
      <c r="C351" s="141"/>
      <c r="D351" s="141" t="s">
        <v>709</v>
      </c>
      <c r="E351" s="301"/>
      <c r="F351" s="299">
        <v>3.2116952200000002</v>
      </c>
      <c r="G351" s="129">
        <v>127.90049999999999</v>
      </c>
      <c r="H351" s="129">
        <v>128.8075</v>
      </c>
      <c r="I351" s="129">
        <v>129.19560000000001</v>
      </c>
      <c r="J351" s="129">
        <v>130.22730000000001</v>
      </c>
      <c r="K351" s="129">
        <v>130.9649</v>
      </c>
      <c r="L351" s="129">
        <v>131.5187</v>
      </c>
      <c r="M351" s="129">
        <v>131.89340000000001</v>
      </c>
      <c r="N351" s="129">
        <v>132.18109999999999</v>
      </c>
      <c r="O351" s="129">
        <v>132.4136</v>
      </c>
      <c r="P351" s="129">
        <v>132.8948</v>
      </c>
      <c r="Q351" s="129">
        <v>133.4556</v>
      </c>
      <c r="R351" s="129">
        <v>133.82320000000001</v>
      </c>
    </row>
    <row r="352" spans="1:18" ht="15">
      <c r="A352" s="141"/>
      <c r="B352" s="141"/>
      <c r="C352" s="141"/>
      <c r="D352" s="141"/>
      <c r="E352" s="301" t="s">
        <v>710</v>
      </c>
      <c r="F352" s="299">
        <v>1.3652231699999999</v>
      </c>
      <c r="G352" s="129">
        <v>125.6294</v>
      </c>
      <c r="H352" s="129">
        <v>126.04559999999999</v>
      </c>
      <c r="I352" s="129">
        <v>125.7492</v>
      </c>
      <c r="J352" s="129">
        <v>126.7051</v>
      </c>
      <c r="K352" s="129">
        <v>127.1071</v>
      </c>
      <c r="L352" s="129">
        <v>127.66589999999999</v>
      </c>
      <c r="M352" s="129">
        <v>128.017</v>
      </c>
      <c r="N352" s="129">
        <v>128.36410000000001</v>
      </c>
      <c r="O352" s="129">
        <v>128.43539999999999</v>
      </c>
      <c r="P352" s="129">
        <v>128.79470000000001</v>
      </c>
      <c r="Q352" s="129">
        <v>129.41079999999999</v>
      </c>
      <c r="R352" s="129">
        <v>129.66630000000001</v>
      </c>
    </row>
    <row r="353" spans="1:18" ht="15">
      <c r="A353" s="141"/>
      <c r="B353" s="141"/>
      <c r="C353" s="141"/>
      <c r="D353" s="141"/>
      <c r="E353" s="301" t="s">
        <v>711</v>
      </c>
      <c r="F353" s="299">
        <v>0.171704628</v>
      </c>
      <c r="G353" s="129">
        <v>120.5284</v>
      </c>
      <c r="H353" s="129">
        <v>120.78019999999999</v>
      </c>
      <c r="I353" s="129">
        <v>120.9892</v>
      </c>
      <c r="J353" s="129">
        <v>121.4096</v>
      </c>
      <c r="K353" s="129">
        <v>121.8749</v>
      </c>
      <c r="L353" s="129">
        <v>122.3633</v>
      </c>
      <c r="M353" s="129">
        <v>123.1139</v>
      </c>
      <c r="N353" s="129">
        <v>123.2666</v>
      </c>
      <c r="O353" s="129">
        <v>123.441</v>
      </c>
      <c r="P353" s="129">
        <v>123.69110000000001</v>
      </c>
      <c r="Q353" s="129">
        <v>123.88679999999999</v>
      </c>
      <c r="R353" s="129">
        <v>124.0333</v>
      </c>
    </row>
    <row r="354" spans="1:18" ht="15">
      <c r="A354" s="141"/>
      <c r="B354" s="141"/>
      <c r="C354" s="141"/>
      <c r="D354" s="141"/>
      <c r="E354" s="301" t="s">
        <v>712</v>
      </c>
      <c r="F354" s="299">
        <v>0.11365969099999999</v>
      </c>
      <c r="G354" s="129">
        <v>137.01089999999999</v>
      </c>
      <c r="H354" s="129">
        <v>137.93440000000001</v>
      </c>
      <c r="I354" s="129">
        <v>138.26740000000001</v>
      </c>
      <c r="J354" s="129">
        <v>140.50530000000001</v>
      </c>
      <c r="K354" s="129">
        <v>141.4427</v>
      </c>
      <c r="L354" s="129">
        <v>141.8235</v>
      </c>
      <c r="M354" s="129">
        <v>141.8306</v>
      </c>
      <c r="N354" s="129">
        <v>142.08349999999999</v>
      </c>
      <c r="O354" s="129">
        <v>142.34829999999999</v>
      </c>
      <c r="P354" s="129">
        <v>143.11680000000001</v>
      </c>
      <c r="Q354" s="129">
        <v>143.78630000000001</v>
      </c>
      <c r="R354" s="129">
        <v>144.72399999999999</v>
      </c>
    </row>
    <row r="355" spans="1:18" ht="15">
      <c r="A355" s="141"/>
      <c r="B355" s="141"/>
      <c r="C355" s="141"/>
      <c r="D355" s="141"/>
      <c r="E355" s="301" t="s">
        <v>713</v>
      </c>
      <c r="F355" s="299">
        <v>0.23274597799999999</v>
      </c>
      <c r="G355" s="129">
        <v>140.995</v>
      </c>
      <c r="H355" s="129">
        <v>142.6739</v>
      </c>
      <c r="I355" s="129">
        <v>143.6634</v>
      </c>
      <c r="J355" s="129">
        <v>145.1994</v>
      </c>
      <c r="K355" s="129">
        <v>146.51310000000001</v>
      </c>
      <c r="L355" s="129">
        <v>147.3794</v>
      </c>
      <c r="M355" s="129">
        <v>147.57980000000001</v>
      </c>
      <c r="N355" s="129">
        <v>147.66300000000001</v>
      </c>
      <c r="O355" s="129">
        <v>147.96459999999999</v>
      </c>
      <c r="P355" s="129">
        <v>148.7876</v>
      </c>
      <c r="Q355" s="129">
        <v>149.68870000000001</v>
      </c>
      <c r="R355" s="129">
        <v>150.29650000000001</v>
      </c>
    </row>
    <row r="356" spans="1:18" ht="15">
      <c r="A356" s="141"/>
      <c r="B356" s="141"/>
      <c r="C356" s="141"/>
      <c r="D356" s="141"/>
      <c r="E356" s="301" t="s">
        <v>714</v>
      </c>
      <c r="F356" s="299">
        <v>0.14917529900000001</v>
      </c>
      <c r="G356" s="129">
        <v>141.24760000000001</v>
      </c>
      <c r="H356" s="129">
        <v>141.93700000000001</v>
      </c>
      <c r="I356" s="129">
        <v>142.32689999999999</v>
      </c>
      <c r="J356" s="129">
        <v>144.01480000000001</v>
      </c>
      <c r="K356" s="129">
        <v>145.32</v>
      </c>
      <c r="L356" s="129">
        <v>145.80770000000001</v>
      </c>
      <c r="M356" s="129">
        <v>146.43600000000001</v>
      </c>
      <c r="N356" s="129">
        <v>146.46600000000001</v>
      </c>
      <c r="O356" s="129">
        <v>147.3715</v>
      </c>
      <c r="P356" s="129">
        <v>147.9734</v>
      </c>
      <c r="Q356" s="129">
        <v>148.6294</v>
      </c>
      <c r="R356" s="129">
        <v>148.8741</v>
      </c>
    </row>
    <row r="357" spans="1:18" ht="15">
      <c r="A357" s="141"/>
      <c r="B357" s="141"/>
      <c r="C357" s="141"/>
      <c r="D357" s="141"/>
      <c r="E357" s="301" t="s">
        <v>715</v>
      </c>
      <c r="F357" s="299">
        <v>0.18315052000000001</v>
      </c>
      <c r="G357" s="129">
        <v>122.45399999999999</v>
      </c>
      <c r="H357" s="129">
        <v>123.702</v>
      </c>
      <c r="I357" s="129">
        <v>125.8673</v>
      </c>
      <c r="J357" s="129">
        <v>126.9662</v>
      </c>
      <c r="K357" s="129">
        <v>128.04499999999999</v>
      </c>
      <c r="L357" s="129">
        <v>128.16550000000001</v>
      </c>
      <c r="M357" s="129">
        <v>128.51439999999999</v>
      </c>
      <c r="N357" s="129">
        <v>128.84719999999999</v>
      </c>
      <c r="O357" s="129">
        <v>128.88409999999999</v>
      </c>
      <c r="P357" s="129">
        <v>129.3989</v>
      </c>
      <c r="Q357" s="129">
        <v>129.8792</v>
      </c>
      <c r="R357" s="129">
        <v>130.0292</v>
      </c>
    </row>
    <row r="358" spans="1:18" ht="15">
      <c r="A358" s="141"/>
      <c r="B358" s="141"/>
      <c r="C358" s="141"/>
      <c r="D358" s="141"/>
      <c r="E358" s="301" t="s">
        <v>716</v>
      </c>
      <c r="F358" s="281">
        <v>0.17685537200000001</v>
      </c>
      <c r="G358" s="129">
        <v>120.26139999999999</v>
      </c>
      <c r="H358" s="129">
        <v>122.60250000000001</v>
      </c>
      <c r="I358" s="129">
        <v>123.1176</v>
      </c>
      <c r="J358" s="129">
        <v>123.7993</v>
      </c>
      <c r="K358" s="129">
        <v>124.5849</v>
      </c>
      <c r="L358" s="129">
        <v>124.9068</v>
      </c>
      <c r="M358" s="129">
        <v>125.11060000000001</v>
      </c>
      <c r="N358" s="129">
        <v>125.0103</v>
      </c>
      <c r="O358" s="129">
        <v>125.4152</v>
      </c>
      <c r="P358" s="129">
        <v>125.84439999999999</v>
      </c>
      <c r="Q358" s="129">
        <v>126.2192</v>
      </c>
      <c r="R358" s="129">
        <v>126.5341</v>
      </c>
    </row>
    <row r="359" spans="1:18" ht="15">
      <c r="A359" s="141"/>
      <c r="B359" s="141"/>
      <c r="C359" s="141"/>
      <c r="D359" s="141"/>
      <c r="E359" s="301" t="s">
        <v>717</v>
      </c>
      <c r="F359" s="299">
        <v>1.2362575000000001E-2</v>
      </c>
      <c r="G359" s="129">
        <v>127.1082</v>
      </c>
      <c r="H359" s="129">
        <v>127.81270000000001</v>
      </c>
      <c r="I359" s="129">
        <v>128.5086</v>
      </c>
      <c r="J359" s="129">
        <v>128.75389999999999</v>
      </c>
      <c r="K359" s="129">
        <v>129.84889999999999</v>
      </c>
      <c r="L359" s="129">
        <v>130.55240000000001</v>
      </c>
      <c r="M359" s="129">
        <v>130.57640000000001</v>
      </c>
      <c r="N359" s="129">
        <v>131.82480000000001</v>
      </c>
      <c r="O359" s="129">
        <v>132.15710000000001</v>
      </c>
      <c r="P359" s="129">
        <v>132.06649999999999</v>
      </c>
      <c r="Q359" s="129">
        <v>132.19980000000001</v>
      </c>
      <c r="R359" s="129">
        <v>137.47460000000001</v>
      </c>
    </row>
    <row r="360" spans="1:18" ht="15">
      <c r="A360" s="141"/>
      <c r="B360" s="141"/>
      <c r="C360" s="141"/>
      <c r="D360" s="141"/>
      <c r="E360" s="301" t="s">
        <v>718</v>
      </c>
      <c r="F360" s="299">
        <v>4.5006292000000003E-2</v>
      </c>
      <c r="G360" s="129">
        <v>138.47710000000001</v>
      </c>
      <c r="H360" s="129">
        <v>138.4896</v>
      </c>
      <c r="I360" s="129">
        <v>138.4896</v>
      </c>
      <c r="J360" s="129">
        <v>138.47130000000001</v>
      </c>
      <c r="K360" s="129">
        <v>138.5146</v>
      </c>
      <c r="L360" s="129">
        <v>138.59110000000001</v>
      </c>
      <c r="M360" s="129">
        <v>138.70060000000001</v>
      </c>
      <c r="N360" s="129">
        <v>138.69839999999999</v>
      </c>
      <c r="O360" s="129">
        <v>138.70189999999999</v>
      </c>
      <c r="P360" s="129">
        <v>138.78100000000001</v>
      </c>
      <c r="Q360" s="129">
        <v>138.8073</v>
      </c>
      <c r="R360" s="129">
        <v>138.899</v>
      </c>
    </row>
    <row r="361" spans="1:18" ht="15">
      <c r="A361" s="141"/>
      <c r="B361" s="141"/>
      <c r="C361" s="141"/>
      <c r="D361" s="141"/>
      <c r="E361" s="301" t="s">
        <v>719</v>
      </c>
      <c r="F361" s="299">
        <v>2.0673629999999998E-2</v>
      </c>
      <c r="G361" s="129">
        <v>115.4504</v>
      </c>
      <c r="H361" s="129">
        <v>116.2324</v>
      </c>
      <c r="I361" s="129">
        <v>116.39319999999999</v>
      </c>
      <c r="J361" s="129">
        <v>116.60599999999999</v>
      </c>
      <c r="K361" s="129">
        <v>116.62520000000001</v>
      </c>
      <c r="L361" s="129">
        <v>117.0363</v>
      </c>
      <c r="M361" s="129">
        <v>117.09480000000001</v>
      </c>
      <c r="N361" s="129">
        <v>117.2088</v>
      </c>
      <c r="O361" s="129">
        <v>117.92440000000001</v>
      </c>
      <c r="P361" s="129">
        <v>118.5159</v>
      </c>
      <c r="Q361" s="129">
        <v>118.8292</v>
      </c>
      <c r="R361" s="129">
        <v>118.9765</v>
      </c>
    </row>
    <row r="362" spans="1:18" ht="15">
      <c r="A362" s="141"/>
      <c r="B362" s="141"/>
      <c r="C362" s="141"/>
      <c r="D362" s="141"/>
      <c r="E362" s="301" t="s">
        <v>720</v>
      </c>
      <c r="F362" s="299">
        <v>5.0406937999999998E-2</v>
      </c>
      <c r="G362" s="129">
        <v>138.16929999999999</v>
      </c>
      <c r="H362" s="129">
        <v>137.83459999999999</v>
      </c>
      <c r="I362" s="129">
        <v>139.41900000000001</v>
      </c>
      <c r="J362" s="129">
        <v>140.72890000000001</v>
      </c>
      <c r="K362" s="129">
        <v>140.87110000000001</v>
      </c>
      <c r="L362" s="129">
        <v>141.93809999999999</v>
      </c>
      <c r="M362" s="129">
        <v>141.7833</v>
      </c>
      <c r="N362" s="129">
        <v>142.12090000000001</v>
      </c>
      <c r="O362" s="129">
        <v>142.71969999999999</v>
      </c>
      <c r="P362" s="129">
        <v>143.90799999999999</v>
      </c>
      <c r="Q362" s="129">
        <v>144.97329999999999</v>
      </c>
      <c r="R362" s="129">
        <v>146.4477</v>
      </c>
    </row>
    <row r="363" spans="1:18" ht="15">
      <c r="A363" s="141"/>
      <c r="B363" s="141"/>
      <c r="C363" s="141"/>
      <c r="D363" s="141"/>
      <c r="E363" s="301" t="s">
        <v>721</v>
      </c>
      <c r="F363" s="300">
        <v>9.4154469000000005E-2</v>
      </c>
      <c r="G363" s="130">
        <v>122.53619999999999</v>
      </c>
      <c r="H363" s="130">
        <v>122.9256</v>
      </c>
      <c r="I363" s="130">
        <v>123.53270000000001</v>
      </c>
      <c r="J363" s="130">
        <v>124.396</v>
      </c>
      <c r="K363" s="130">
        <v>124.9495</v>
      </c>
      <c r="L363" s="130">
        <v>125.2122</v>
      </c>
      <c r="M363" s="130">
        <v>125.4372</v>
      </c>
      <c r="N363" s="130">
        <v>125.8098</v>
      </c>
      <c r="O363" s="130">
        <v>125.8921</v>
      </c>
      <c r="P363" s="130">
        <v>125.96559999999999</v>
      </c>
      <c r="Q363" s="130">
        <v>126.7513</v>
      </c>
      <c r="R363" s="130">
        <v>127.02979999999999</v>
      </c>
    </row>
    <row r="364" spans="1:18" ht="15">
      <c r="A364" s="141"/>
      <c r="B364" s="141"/>
      <c r="C364" s="141"/>
      <c r="D364" s="141"/>
      <c r="E364" s="301" t="s">
        <v>722</v>
      </c>
      <c r="F364" s="299">
        <v>5.3020828999999998E-2</v>
      </c>
      <c r="G364" s="129">
        <v>129.34809999999999</v>
      </c>
      <c r="H364" s="129">
        <v>129.36519999999999</v>
      </c>
      <c r="I364" s="129">
        <v>129.19280000000001</v>
      </c>
      <c r="J364" s="129">
        <v>131.04509999999999</v>
      </c>
      <c r="K364" s="129">
        <v>132.73230000000001</v>
      </c>
      <c r="L364" s="129">
        <v>134.11000000000001</v>
      </c>
      <c r="M364" s="129">
        <v>134.69309999999999</v>
      </c>
      <c r="N364" s="129">
        <v>135.80080000000001</v>
      </c>
      <c r="O364" s="129">
        <v>136.53299999999999</v>
      </c>
      <c r="P364" s="129">
        <v>137.58179999999999</v>
      </c>
      <c r="Q364" s="129">
        <v>138.24529999999999</v>
      </c>
      <c r="R364" s="129">
        <v>138.69810000000001</v>
      </c>
    </row>
    <row r="365" spans="1:18" ht="15">
      <c r="A365" s="141"/>
      <c r="B365" s="141"/>
      <c r="C365" s="141"/>
      <c r="D365" s="141"/>
      <c r="E365" s="301" t="s">
        <v>723</v>
      </c>
      <c r="F365" s="299">
        <v>7.3990656000000002E-2</v>
      </c>
      <c r="G365" s="129">
        <v>133.24770000000001</v>
      </c>
      <c r="H365" s="129">
        <v>136.5668</v>
      </c>
      <c r="I365" s="129">
        <v>138.4049</v>
      </c>
      <c r="J365" s="129">
        <v>139.36949999999999</v>
      </c>
      <c r="K365" s="129">
        <v>140.63050000000001</v>
      </c>
      <c r="L365" s="129">
        <v>141.32429999999999</v>
      </c>
      <c r="M365" s="129">
        <v>141.54329999999999</v>
      </c>
      <c r="N365" s="129">
        <v>141.56610000000001</v>
      </c>
      <c r="O365" s="129">
        <v>141.9965</v>
      </c>
      <c r="P365" s="129">
        <v>142.13220000000001</v>
      </c>
      <c r="Q365" s="129">
        <v>142.25640000000001</v>
      </c>
      <c r="R365" s="129">
        <v>142.49209999999999</v>
      </c>
    </row>
    <row r="366" spans="1:18" ht="15">
      <c r="A366" s="141"/>
      <c r="B366" s="141"/>
      <c r="C366" s="141"/>
      <c r="D366" s="141"/>
      <c r="E366" s="301" t="s">
        <v>724</v>
      </c>
      <c r="F366" s="299">
        <v>9.9836029000000007E-2</v>
      </c>
      <c r="G366" s="129">
        <v>129.59569999999999</v>
      </c>
      <c r="H366" s="129">
        <v>131.4299</v>
      </c>
      <c r="I366" s="129">
        <v>131.7568</v>
      </c>
      <c r="J366" s="129">
        <v>132.50720000000001</v>
      </c>
      <c r="K366" s="129">
        <v>134.78460000000001</v>
      </c>
      <c r="L366" s="129">
        <v>135.8417</v>
      </c>
      <c r="M366" s="129">
        <v>136.5462</v>
      </c>
      <c r="N366" s="129">
        <v>137.5806</v>
      </c>
      <c r="O366" s="129">
        <v>137.41550000000001</v>
      </c>
      <c r="P366" s="129">
        <v>138.3954</v>
      </c>
      <c r="Q366" s="129">
        <v>138.70590000000001</v>
      </c>
      <c r="R366" s="129">
        <v>139.2396</v>
      </c>
    </row>
    <row r="367" spans="1:18" ht="15">
      <c r="A367" s="141"/>
      <c r="B367" s="141"/>
      <c r="C367" s="141"/>
      <c r="D367" s="141"/>
      <c r="E367" s="301" t="s">
        <v>725</v>
      </c>
      <c r="F367" s="299">
        <v>1.8089918E-2</v>
      </c>
      <c r="G367" s="129">
        <v>117.3443</v>
      </c>
      <c r="H367" s="129">
        <v>118.46259999999999</v>
      </c>
      <c r="I367" s="129">
        <v>119.58759999999999</v>
      </c>
      <c r="J367" s="129">
        <v>120.22920000000001</v>
      </c>
      <c r="K367" s="129">
        <v>121.8263</v>
      </c>
      <c r="L367" s="129">
        <v>122.21599999999999</v>
      </c>
      <c r="M367" s="129">
        <v>122.65860000000001</v>
      </c>
      <c r="N367" s="129">
        <v>122.8095</v>
      </c>
      <c r="O367" s="129">
        <v>123.3552</v>
      </c>
      <c r="P367" s="129">
        <v>123.9796</v>
      </c>
      <c r="Q367" s="129">
        <v>124.7153</v>
      </c>
      <c r="R367" s="129">
        <v>125.4363</v>
      </c>
    </row>
    <row r="368" spans="1:18" ht="15">
      <c r="A368" s="141"/>
      <c r="B368" s="141"/>
      <c r="C368" s="141"/>
      <c r="D368" s="141"/>
      <c r="E368" s="301" t="s">
        <v>726</v>
      </c>
      <c r="F368" s="299">
        <v>0.165051059</v>
      </c>
      <c r="G368" s="129">
        <v>127.49420000000001</v>
      </c>
      <c r="H368" s="129">
        <v>129.25040000000001</v>
      </c>
      <c r="I368" s="129">
        <v>130.5086</v>
      </c>
      <c r="J368" s="129">
        <v>131.64330000000001</v>
      </c>
      <c r="K368" s="129">
        <v>132.89349999999999</v>
      </c>
      <c r="L368" s="129">
        <v>133.471</v>
      </c>
      <c r="M368" s="129">
        <v>133.8663</v>
      </c>
      <c r="N368" s="129">
        <v>134.22649999999999</v>
      </c>
      <c r="O368" s="129">
        <v>135.0924</v>
      </c>
      <c r="P368" s="134">
        <v>136.05449999999999</v>
      </c>
      <c r="Q368" s="129">
        <v>136.9135</v>
      </c>
      <c r="R368" s="129">
        <v>137.43549999999999</v>
      </c>
    </row>
    <row r="369" spans="1:18" ht="15">
      <c r="A369" s="141"/>
      <c r="B369" s="141"/>
      <c r="C369" s="141"/>
      <c r="D369" s="141"/>
      <c r="E369" s="301" t="s">
        <v>727</v>
      </c>
      <c r="F369" s="299">
        <v>6.6327220000000006E-2</v>
      </c>
      <c r="G369" s="129">
        <v>125.13</v>
      </c>
      <c r="H369" s="129">
        <v>126.6482</v>
      </c>
      <c r="I369" s="129">
        <v>129.11709999999999</v>
      </c>
      <c r="J369" s="129">
        <v>129.74510000000001</v>
      </c>
      <c r="K369" s="129">
        <v>129.78290000000001</v>
      </c>
      <c r="L369" s="129">
        <v>130.196</v>
      </c>
      <c r="M369" s="129">
        <v>130.58090000000001</v>
      </c>
      <c r="N369" s="129">
        <v>130.65770000000001</v>
      </c>
      <c r="O369" s="129">
        <v>130.8476</v>
      </c>
      <c r="P369" s="129">
        <v>131.3597</v>
      </c>
      <c r="Q369" s="129">
        <v>131.1662</v>
      </c>
      <c r="R369" s="129">
        <v>131.3323</v>
      </c>
    </row>
    <row r="370" spans="1:18" ht="15">
      <c r="A370" s="141"/>
      <c r="B370" s="141"/>
      <c r="C370" s="141"/>
      <c r="D370" s="141"/>
      <c r="E370" s="301" t="s">
        <v>728</v>
      </c>
      <c r="F370" s="299">
        <v>9.4314927000000007E-2</v>
      </c>
      <c r="G370" s="129">
        <v>127.1434</v>
      </c>
      <c r="H370" s="129">
        <v>128.16050000000001</v>
      </c>
      <c r="I370" s="129">
        <v>128.37430000000001</v>
      </c>
      <c r="J370" s="129">
        <v>129.2885</v>
      </c>
      <c r="K370" s="129">
        <v>129.75640000000001</v>
      </c>
      <c r="L370" s="129">
        <v>130.2483</v>
      </c>
      <c r="M370" s="129">
        <v>131.21629999999999</v>
      </c>
      <c r="N370" s="129">
        <v>131.3306</v>
      </c>
      <c r="O370" s="129">
        <v>131.37790000000001</v>
      </c>
      <c r="P370" s="129">
        <v>131.52109999999999</v>
      </c>
      <c r="Q370" s="129">
        <v>131.8057</v>
      </c>
      <c r="R370" s="129">
        <v>132.054</v>
      </c>
    </row>
    <row r="371" spans="1:18" ht="15">
      <c r="A371" s="141"/>
      <c r="B371" s="141"/>
      <c r="C371" s="141"/>
      <c r="D371" s="141"/>
      <c r="E371" s="301" t="s">
        <v>729</v>
      </c>
      <c r="F371" s="299">
        <v>2.5946028999999999E-2</v>
      </c>
      <c r="G371" s="129">
        <v>139.10990000000001</v>
      </c>
      <c r="H371" s="129">
        <v>142.15110000000001</v>
      </c>
      <c r="I371" s="129">
        <v>145.25829999999999</v>
      </c>
      <c r="J371" s="129">
        <v>146.25790000000001</v>
      </c>
      <c r="K371" s="129">
        <v>147.39179999999999</v>
      </c>
      <c r="L371" s="129">
        <v>148.54140000000001</v>
      </c>
      <c r="M371" s="129">
        <v>149.57830000000001</v>
      </c>
      <c r="N371" s="129">
        <v>150.2208</v>
      </c>
      <c r="O371" s="129">
        <v>151.16749999999999</v>
      </c>
      <c r="P371" s="129">
        <v>151.57130000000001</v>
      </c>
      <c r="Q371" s="129">
        <v>151.84569999999999</v>
      </c>
      <c r="R371" s="129">
        <v>153.29660000000001</v>
      </c>
    </row>
    <row r="372" spans="1:18" ht="15">
      <c r="A372" s="141"/>
      <c r="B372" s="141"/>
      <c r="C372" s="141" t="s">
        <v>730</v>
      </c>
      <c r="D372" s="141"/>
      <c r="E372" s="301"/>
      <c r="F372" s="299">
        <v>0.10080725</v>
      </c>
      <c r="G372" s="129">
        <v>110.6435</v>
      </c>
      <c r="H372" s="129">
        <v>110.44580000000001</v>
      </c>
      <c r="I372" s="129">
        <v>111.191</v>
      </c>
      <c r="J372" s="129">
        <v>111.5198</v>
      </c>
      <c r="K372" s="129">
        <v>111.2824</v>
      </c>
      <c r="L372" s="129">
        <v>111.16759999999999</v>
      </c>
      <c r="M372" s="129">
        <v>111.4479</v>
      </c>
      <c r="N372" s="129">
        <v>111.5457</v>
      </c>
      <c r="O372" s="129">
        <v>111.688</v>
      </c>
      <c r="P372" s="129">
        <v>111.66419999999999</v>
      </c>
      <c r="Q372" s="129">
        <v>111.2167</v>
      </c>
      <c r="R372" s="129">
        <v>111.6585</v>
      </c>
    </row>
    <row r="373" spans="1:18" ht="15">
      <c r="A373" s="141"/>
      <c r="B373" s="141"/>
      <c r="C373" s="141"/>
      <c r="D373" s="141" t="s">
        <v>731</v>
      </c>
      <c r="E373" s="301"/>
      <c r="F373" s="299">
        <v>0.10080725</v>
      </c>
      <c r="G373" s="129">
        <v>110.6435</v>
      </c>
      <c r="H373" s="129">
        <v>110.44580000000001</v>
      </c>
      <c r="I373" s="129">
        <v>111.191</v>
      </c>
      <c r="J373" s="129">
        <v>111.5198</v>
      </c>
      <c r="K373" s="129">
        <v>111.2824</v>
      </c>
      <c r="L373" s="129">
        <v>111.16759999999999</v>
      </c>
      <c r="M373" s="129">
        <v>111.4479</v>
      </c>
      <c r="N373" s="129">
        <v>111.5457</v>
      </c>
      <c r="O373" s="129">
        <v>111.688</v>
      </c>
      <c r="P373" s="129">
        <v>111.66419999999999</v>
      </c>
      <c r="Q373" s="129">
        <v>111.2167</v>
      </c>
      <c r="R373" s="129">
        <v>111.6585</v>
      </c>
    </row>
    <row r="374" spans="1:18" ht="15">
      <c r="A374" s="141"/>
      <c r="B374" s="141"/>
      <c r="C374" s="141"/>
      <c r="D374" s="141"/>
      <c r="E374" s="301" t="s">
        <v>732</v>
      </c>
      <c r="F374" s="299">
        <v>0.10080725</v>
      </c>
      <c r="G374" s="129">
        <v>110.6435</v>
      </c>
      <c r="H374" s="129">
        <v>110.44580000000001</v>
      </c>
      <c r="I374" s="129">
        <v>111.191</v>
      </c>
      <c r="J374" s="129">
        <v>111.5198</v>
      </c>
      <c r="K374" s="129">
        <v>111.2824</v>
      </c>
      <c r="L374" s="129">
        <v>111.16759999999999</v>
      </c>
      <c r="M374" s="129">
        <v>111.4479</v>
      </c>
      <c r="N374" s="129">
        <v>111.5457</v>
      </c>
      <c r="O374" s="129">
        <v>111.688</v>
      </c>
      <c r="P374" s="129">
        <v>111.66419999999999</v>
      </c>
      <c r="Q374" s="129">
        <v>111.2167</v>
      </c>
      <c r="R374" s="129">
        <v>111.6585</v>
      </c>
    </row>
    <row r="375" spans="1:18" ht="15">
      <c r="A375" s="141"/>
      <c r="B375" s="141" t="s">
        <v>733</v>
      </c>
      <c r="C375" s="141"/>
      <c r="D375" s="141"/>
      <c r="E375" s="301"/>
      <c r="F375" s="299">
        <v>0.91730788100000005</v>
      </c>
      <c r="G375" s="129">
        <v>135.98660000000001</v>
      </c>
      <c r="H375" s="129">
        <v>136.3167</v>
      </c>
      <c r="I375" s="129">
        <v>137.07409999999999</v>
      </c>
      <c r="J375" s="129">
        <v>137.91720000000001</v>
      </c>
      <c r="K375" s="129">
        <v>138.9667</v>
      </c>
      <c r="L375" s="129">
        <v>139.18799999999999</v>
      </c>
      <c r="M375" s="129">
        <v>139.9571</v>
      </c>
      <c r="N375" s="129">
        <v>140.82470000000001</v>
      </c>
      <c r="O375" s="129">
        <v>141.39449999999999</v>
      </c>
      <c r="P375" s="129">
        <v>141.69220000000001</v>
      </c>
      <c r="Q375" s="129">
        <v>142.29910000000001</v>
      </c>
      <c r="R375" s="129">
        <v>142.92920000000001</v>
      </c>
    </row>
    <row r="376" spans="1:18" ht="15">
      <c r="A376" s="141"/>
      <c r="B376" s="141"/>
      <c r="C376" s="141" t="s">
        <v>734</v>
      </c>
      <c r="D376" s="141"/>
      <c r="E376" s="301"/>
      <c r="F376" s="299">
        <v>0.37477136700000002</v>
      </c>
      <c r="G376" s="129">
        <v>145.01439999999999</v>
      </c>
      <c r="H376" s="129">
        <v>145.4076</v>
      </c>
      <c r="I376" s="129">
        <v>146.45179999999999</v>
      </c>
      <c r="J376" s="129">
        <v>147.60310000000001</v>
      </c>
      <c r="K376" s="129">
        <v>148.9881</v>
      </c>
      <c r="L376" s="129">
        <v>149.30609999999999</v>
      </c>
      <c r="M376" s="129">
        <v>150.34460000000001</v>
      </c>
      <c r="N376" s="129">
        <v>151.27459999999999</v>
      </c>
      <c r="O376" s="129">
        <v>152.11439999999999</v>
      </c>
      <c r="P376" s="129">
        <v>152.79300000000001</v>
      </c>
      <c r="Q376" s="129">
        <v>153.43809999999999</v>
      </c>
      <c r="R376" s="129">
        <v>154.47300000000001</v>
      </c>
    </row>
    <row r="377" spans="1:18" ht="15">
      <c r="A377" s="141"/>
      <c r="B377" s="141"/>
      <c r="C377" s="141"/>
      <c r="D377" s="141" t="s">
        <v>735</v>
      </c>
      <c r="E377" s="301"/>
      <c r="F377" s="299">
        <v>0.37477136700000002</v>
      </c>
      <c r="G377" s="129">
        <v>145.01439999999999</v>
      </c>
      <c r="H377" s="129">
        <v>145.4076</v>
      </c>
      <c r="I377" s="129">
        <v>146.45179999999999</v>
      </c>
      <c r="J377" s="129">
        <v>147.60310000000001</v>
      </c>
      <c r="K377" s="129">
        <v>148.9881</v>
      </c>
      <c r="L377" s="129">
        <v>149.30609999999999</v>
      </c>
      <c r="M377" s="129">
        <v>150.34460000000001</v>
      </c>
      <c r="N377" s="129">
        <v>151.27459999999999</v>
      </c>
      <c r="O377" s="129">
        <v>152.11439999999999</v>
      </c>
      <c r="P377" s="129">
        <v>152.79300000000001</v>
      </c>
      <c r="Q377" s="129">
        <v>153.43809999999999</v>
      </c>
      <c r="R377" s="129">
        <v>154.47300000000001</v>
      </c>
    </row>
    <row r="378" spans="1:18" ht="15">
      <c r="A378" s="141"/>
      <c r="B378" s="141"/>
      <c r="C378" s="141"/>
      <c r="D378" s="141"/>
      <c r="E378" s="301" t="s">
        <v>736</v>
      </c>
      <c r="F378" s="299">
        <v>9.7437434000000003E-2</v>
      </c>
      <c r="G378" s="129">
        <v>149.10329999999999</v>
      </c>
      <c r="H378" s="129">
        <v>149.6189</v>
      </c>
      <c r="I378" s="129">
        <v>150.51830000000001</v>
      </c>
      <c r="J378" s="129">
        <v>151.61009999999999</v>
      </c>
      <c r="K378" s="129">
        <v>152.79</v>
      </c>
      <c r="L378" s="129">
        <v>153.42070000000001</v>
      </c>
      <c r="M378" s="129">
        <v>154.99279999999999</v>
      </c>
      <c r="N378" s="129">
        <v>156.97470000000001</v>
      </c>
      <c r="O378" s="129">
        <v>157.73230000000001</v>
      </c>
      <c r="P378" s="129">
        <v>158.88669999999999</v>
      </c>
      <c r="Q378" s="129">
        <v>159.8211</v>
      </c>
      <c r="R378" s="129">
        <v>161.2244</v>
      </c>
    </row>
    <row r="379" spans="1:18" ht="15">
      <c r="A379" s="141"/>
      <c r="B379" s="141"/>
      <c r="C379" s="141"/>
      <c r="D379" s="141"/>
      <c r="E379" s="301" t="s">
        <v>737</v>
      </c>
      <c r="F379" s="299">
        <v>7.6476796999999999E-2</v>
      </c>
      <c r="G379" s="129">
        <v>147.35499999999999</v>
      </c>
      <c r="H379" s="129">
        <v>147.886</v>
      </c>
      <c r="I379" s="129">
        <v>149.17580000000001</v>
      </c>
      <c r="J379" s="129">
        <v>150.76679999999999</v>
      </c>
      <c r="K379" s="129">
        <v>152.08109999999999</v>
      </c>
      <c r="L379" s="129">
        <v>152.48750000000001</v>
      </c>
      <c r="M379" s="129">
        <v>153.25899999999999</v>
      </c>
      <c r="N379" s="129">
        <v>154.0324</v>
      </c>
      <c r="O379" s="129">
        <v>154.86199999999999</v>
      </c>
      <c r="P379" s="129">
        <v>155.19309999999999</v>
      </c>
      <c r="Q379" s="129">
        <v>155.84460000000001</v>
      </c>
      <c r="R379" s="129">
        <v>157.036</v>
      </c>
    </row>
    <row r="380" spans="1:18" ht="15">
      <c r="A380" s="141"/>
      <c r="B380" s="141"/>
      <c r="C380" s="141"/>
      <c r="D380" s="141"/>
      <c r="E380" s="301" t="s">
        <v>738</v>
      </c>
      <c r="F380" s="299">
        <v>0.112601136</v>
      </c>
      <c r="G380" s="129">
        <v>137.33410000000001</v>
      </c>
      <c r="H380" s="129">
        <v>137.47200000000001</v>
      </c>
      <c r="I380" s="129">
        <v>138.0018</v>
      </c>
      <c r="J380" s="129">
        <v>138.74789999999999</v>
      </c>
      <c r="K380" s="129">
        <v>139.89879999999999</v>
      </c>
      <c r="L380" s="129">
        <v>140.02510000000001</v>
      </c>
      <c r="M380" s="129">
        <v>141.01060000000001</v>
      </c>
      <c r="N380" s="129">
        <v>141.25110000000001</v>
      </c>
      <c r="O380" s="129">
        <v>142.64439999999999</v>
      </c>
      <c r="P380" s="129">
        <v>143.32830000000001</v>
      </c>
      <c r="Q380" s="129">
        <v>143.85499999999999</v>
      </c>
      <c r="R380" s="129">
        <v>144.3888</v>
      </c>
    </row>
    <row r="381" spans="1:18" ht="15">
      <c r="A381" s="141"/>
      <c r="B381" s="141"/>
      <c r="C381" s="141"/>
      <c r="D381" s="141"/>
      <c r="E381" s="301" t="s">
        <v>739</v>
      </c>
      <c r="F381" s="299">
        <v>8.8255999000000002E-2</v>
      </c>
      <c r="G381" s="129">
        <v>148.27099999999999</v>
      </c>
      <c r="H381" s="129">
        <v>148.73509999999999</v>
      </c>
      <c r="I381" s="129">
        <v>150.3827</v>
      </c>
      <c r="J381" s="129">
        <v>151.7354</v>
      </c>
      <c r="K381" s="129">
        <v>153.7071</v>
      </c>
      <c r="L381" s="129">
        <v>153.84790000000001</v>
      </c>
      <c r="M381" s="129">
        <v>154.59630000000001</v>
      </c>
      <c r="N381" s="129">
        <v>155.38030000000001</v>
      </c>
      <c r="O381" s="129">
        <v>155.61340000000001</v>
      </c>
      <c r="P381" s="129">
        <v>156.06129999999999</v>
      </c>
      <c r="Q381" s="129">
        <v>156.53219999999999</v>
      </c>
      <c r="R381" s="129">
        <v>157.66409999999999</v>
      </c>
    </row>
    <row r="382" spans="1:18" ht="15">
      <c r="A382" s="141"/>
      <c r="B382" s="141"/>
      <c r="C382" s="141" t="s">
        <v>740</v>
      </c>
      <c r="D382" s="141"/>
      <c r="E382" s="301"/>
      <c r="F382" s="299">
        <v>9.1662175999999998E-2</v>
      </c>
      <c r="G382" s="129">
        <v>136.3741</v>
      </c>
      <c r="H382" s="129">
        <v>136.84110000000001</v>
      </c>
      <c r="I382" s="129">
        <v>137.3853</v>
      </c>
      <c r="J382" s="129">
        <v>138.0778</v>
      </c>
      <c r="K382" s="129">
        <v>138.72370000000001</v>
      </c>
      <c r="L382" s="129">
        <v>139.04589999999999</v>
      </c>
      <c r="M382" s="129">
        <v>139.57470000000001</v>
      </c>
      <c r="N382" s="129">
        <v>140.11779999999999</v>
      </c>
      <c r="O382" s="129">
        <v>140.7698</v>
      </c>
      <c r="P382" s="129">
        <v>141.1696</v>
      </c>
      <c r="Q382" s="129">
        <v>141.8049</v>
      </c>
      <c r="R382" s="129">
        <v>142.29499999999999</v>
      </c>
    </row>
    <row r="383" spans="1:18" ht="15">
      <c r="A383" s="141"/>
      <c r="B383" s="141"/>
      <c r="C383" s="141"/>
      <c r="D383" s="141" t="s">
        <v>741</v>
      </c>
      <c r="E383" s="301"/>
      <c r="F383" s="299">
        <v>9.1662175999999998E-2</v>
      </c>
      <c r="G383" s="129">
        <v>136.3741</v>
      </c>
      <c r="H383" s="129">
        <v>136.84110000000001</v>
      </c>
      <c r="I383" s="129">
        <v>137.3853</v>
      </c>
      <c r="J383" s="129">
        <v>138.0778</v>
      </c>
      <c r="K383" s="129">
        <v>138.72370000000001</v>
      </c>
      <c r="L383" s="129">
        <v>139.04589999999999</v>
      </c>
      <c r="M383" s="129">
        <v>139.57470000000001</v>
      </c>
      <c r="N383" s="129">
        <v>140.11779999999999</v>
      </c>
      <c r="O383" s="129">
        <v>140.7698</v>
      </c>
      <c r="P383" s="129">
        <v>141.1696</v>
      </c>
      <c r="Q383" s="129">
        <v>141.8049</v>
      </c>
      <c r="R383" s="129">
        <v>142.29499999999999</v>
      </c>
    </row>
    <row r="384" spans="1:18" ht="15">
      <c r="A384" s="141"/>
      <c r="B384" s="141"/>
      <c r="C384" s="141"/>
      <c r="D384" s="141"/>
      <c r="E384" s="301" t="s">
        <v>742</v>
      </c>
      <c r="F384" s="299">
        <v>5.9976347999999999E-2</v>
      </c>
      <c r="G384" s="129">
        <v>144.62629999999999</v>
      </c>
      <c r="H384" s="129">
        <v>145.1447</v>
      </c>
      <c r="I384" s="129">
        <v>145.97640000000001</v>
      </c>
      <c r="J384" s="129">
        <v>146.6251</v>
      </c>
      <c r="K384" s="129">
        <v>147.52549999999999</v>
      </c>
      <c r="L384" s="129">
        <v>147.7928</v>
      </c>
      <c r="M384" s="129">
        <v>148.38480000000001</v>
      </c>
      <c r="N384" s="129">
        <v>149.11590000000001</v>
      </c>
      <c r="O384" s="129">
        <v>149.8261</v>
      </c>
      <c r="P384" s="129">
        <v>150.43719999999999</v>
      </c>
      <c r="Q384" s="129">
        <v>151.2183</v>
      </c>
      <c r="R384" s="129">
        <v>151.96719999999999</v>
      </c>
    </row>
    <row r="385" spans="1:18" ht="15">
      <c r="A385" s="141"/>
      <c r="B385" s="141"/>
      <c r="C385" s="141"/>
      <c r="D385" s="141"/>
      <c r="E385" s="301" t="s">
        <v>743</v>
      </c>
      <c r="F385" s="299">
        <v>3.1685827999999999E-2</v>
      </c>
      <c r="G385" s="129">
        <v>120.754</v>
      </c>
      <c r="H385" s="129">
        <v>121.1237</v>
      </c>
      <c r="I385" s="129">
        <v>121.1237</v>
      </c>
      <c r="J385" s="129">
        <v>121.899</v>
      </c>
      <c r="K385" s="129">
        <v>122.0633</v>
      </c>
      <c r="L385" s="129">
        <v>122.48950000000001</v>
      </c>
      <c r="M385" s="129">
        <v>122.8986</v>
      </c>
      <c r="N385" s="129">
        <v>123.086</v>
      </c>
      <c r="O385" s="129">
        <v>123.6277</v>
      </c>
      <c r="P385" s="129">
        <v>123.6277</v>
      </c>
      <c r="Q385" s="129">
        <v>123.9868</v>
      </c>
      <c r="R385" s="129">
        <v>123.9868</v>
      </c>
    </row>
    <row r="386" spans="1:18" ht="15">
      <c r="A386" s="141"/>
      <c r="B386" s="141"/>
      <c r="C386" s="141" t="s">
        <v>744</v>
      </c>
      <c r="D386" s="141"/>
      <c r="E386" s="301"/>
      <c r="F386" s="299">
        <v>0.45087433900000001</v>
      </c>
      <c r="G386" s="129">
        <v>128.40369999999999</v>
      </c>
      <c r="H386" s="129">
        <v>128.65360000000001</v>
      </c>
      <c r="I386" s="129">
        <v>129.21610000000001</v>
      </c>
      <c r="J386" s="129">
        <v>129.83359999999999</v>
      </c>
      <c r="K386" s="129">
        <v>130.68610000000001</v>
      </c>
      <c r="L386" s="129">
        <v>130.8066</v>
      </c>
      <c r="M386" s="129">
        <v>131.4007</v>
      </c>
      <c r="N386" s="129">
        <v>132.28219999999999</v>
      </c>
      <c r="O386" s="129">
        <v>132.61089999999999</v>
      </c>
      <c r="P386" s="129">
        <v>132.5712</v>
      </c>
      <c r="Q386" s="129">
        <v>133.14080000000001</v>
      </c>
      <c r="R386" s="129">
        <v>133.46279999999999</v>
      </c>
    </row>
    <row r="387" spans="1:18" ht="15">
      <c r="A387" s="141"/>
      <c r="B387" s="141"/>
      <c r="C387" s="141"/>
      <c r="D387" s="141" t="s">
        <v>745</v>
      </c>
      <c r="E387" s="301"/>
      <c r="F387" s="299">
        <v>0.14133416400000001</v>
      </c>
      <c r="G387" s="129">
        <v>128.75790000000001</v>
      </c>
      <c r="H387" s="129">
        <v>129.18379999999999</v>
      </c>
      <c r="I387" s="129">
        <v>130.37200000000001</v>
      </c>
      <c r="J387" s="129">
        <v>130.59970000000001</v>
      </c>
      <c r="K387" s="129">
        <v>130.80549999999999</v>
      </c>
      <c r="L387" s="129">
        <v>130.96879999999999</v>
      </c>
      <c r="M387" s="129">
        <v>131.2988</v>
      </c>
      <c r="N387" s="129">
        <v>132.46180000000001</v>
      </c>
      <c r="O387" s="129">
        <v>132.8492</v>
      </c>
      <c r="P387" s="129">
        <v>132.95650000000001</v>
      </c>
      <c r="Q387" s="129">
        <v>133.7877</v>
      </c>
      <c r="R387" s="129">
        <v>134.33019999999999</v>
      </c>
    </row>
    <row r="388" spans="1:18" ht="15">
      <c r="A388" s="141"/>
      <c r="B388" s="141"/>
      <c r="C388" s="141"/>
      <c r="D388" s="141"/>
      <c r="E388" s="301" t="s">
        <v>746</v>
      </c>
      <c r="F388" s="299">
        <v>0.14133416400000001</v>
      </c>
      <c r="G388" s="129">
        <v>128.75790000000001</v>
      </c>
      <c r="H388" s="129">
        <v>129.18379999999999</v>
      </c>
      <c r="I388" s="129">
        <v>130.37200000000001</v>
      </c>
      <c r="J388" s="129">
        <v>130.59970000000001</v>
      </c>
      <c r="K388" s="129">
        <v>130.80549999999999</v>
      </c>
      <c r="L388" s="129">
        <v>130.96879999999999</v>
      </c>
      <c r="M388" s="129">
        <v>131.2988</v>
      </c>
      <c r="N388" s="129">
        <v>132.46180000000001</v>
      </c>
      <c r="O388" s="129">
        <v>132.8492</v>
      </c>
      <c r="P388" s="129">
        <v>132.95650000000001</v>
      </c>
      <c r="Q388" s="129">
        <v>133.7877</v>
      </c>
      <c r="R388" s="129">
        <v>134.33019999999999</v>
      </c>
    </row>
    <row r="389" spans="1:18" ht="15">
      <c r="A389" s="141"/>
      <c r="B389" s="141"/>
      <c r="C389" s="141"/>
      <c r="D389" s="141" t="s">
        <v>747</v>
      </c>
      <c r="E389" s="301"/>
      <c r="F389" s="299">
        <v>0.309540174</v>
      </c>
      <c r="G389" s="129">
        <v>128.24209999999999</v>
      </c>
      <c r="H389" s="129">
        <v>128.41149999999999</v>
      </c>
      <c r="I389" s="129">
        <v>128.6883</v>
      </c>
      <c r="J389" s="129">
        <v>129.4838</v>
      </c>
      <c r="K389" s="129">
        <v>130.63159999999999</v>
      </c>
      <c r="L389" s="129">
        <v>130.73249999999999</v>
      </c>
      <c r="M389" s="129">
        <v>131.44720000000001</v>
      </c>
      <c r="N389" s="129">
        <v>132.2002</v>
      </c>
      <c r="O389" s="129">
        <v>132.50219999999999</v>
      </c>
      <c r="P389" s="129">
        <v>132.3954</v>
      </c>
      <c r="Q389" s="129">
        <v>132.84549999999999</v>
      </c>
      <c r="R389" s="129">
        <v>133.0667</v>
      </c>
    </row>
    <row r="390" spans="1:18" ht="15">
      <c r="A390" s="141"/>
      <c r="B390" s="141"/>
      <c r="C390" s="141"/>
      <c r="D390" s="141"/>
      <c r="E390" s="301" t="s">
        <v>748</v>
      </c>
      <c r="F390" s="299">
        <v>0.256887121</v>
      </c>
      <c r="G390" s="129">
        <v>130.10939999999999</v>
      </c>
      <c r="H390" s="129">
        <v>130.2577</v>
      </c>
      <c r="I390" s="129">
        <v>130.5633</v>
      </c>
      <c r="J390" s="129">
        <v>131.148</v>
      </c>
      <c r="K390" s="129">
        <v>132.3409</v>
      </c>
      <c r="L390" s="129">
        <v>132.4631</v>
      </c>
      <c r="M390" s="129">
        <v>133.2628</v>
      </c>
      <c r="N390" s="129">
        <v>134.17019999999999</v>
      </c>
      <c r="O390" s="129">
        <v>134.47290000000001</v>
      </c>
      <c r="P390" s="129">
        <v>134.3442</v>
      </c>
      <c r="Q390" s="129">
        <v>134.74369999999999</v>
      </c>
      <c r="R390" s="129">
        <v>134.9847</v>
      </c>
    </row>
    <row r="391" spans="1:18" ht="15">
      <c r="A391" s="141"/>
      <c r="B391" s="141"/>
      <c r="C391" s="141"/>
      <c r="D391" s="141"/>
      <c r="E391" s="301" t="s">
        <v>749</v>
      </c>
      <c r="F391" s="299">
        <v>5.2653052999999998E-2</v>
      </c>
      <c r="G391" s="129">
        <v>119.1314</v>
      </c>
      <c r="H391" s="129">
        <v>119.4041</v>
      </c>
      <c r="I391" s="129">
        <v>119.5402</v>
      </c>
      <c r="J391" s="129">
        <v>121.3644</v>
      </c>
      <c r="K391" s="129">
        <v>122.2921</v>
      </c>
      <c r="L391" s="129">
        <v>122.2891</v>
      </c>
      <c r="M391" s="129">
        <v>122.58920000000001</v>
      </c>
      <c r="N391" s="129">
        <v>122.58920000000001</v>
      </c>
      <c r="O391" s="129">
        <v>122.887</v>
      </c>
      <c r="P391" s="129">
        <v>122.887</v>
      </c>
      <c r="Q391" s="129">
        <v>123.58410000000001</v>
      </c>
      <c r="R391" s="129">
        <v>123.709</v>
      </c>
    </row>
    <row r="392" spans="1:18" ht="15">
      <c r="A392" s="141"/>
      <c r="B392" s="141" t="s">
        <v>750</v>
      </c>
      <c r="C392" s="141"/>
      <c r="D392" s="141"/>
      <c r="E392" s="301"/>
      <c r="F392" s="299">
        <v>0.51093338600000004</v>
      </c>
      <c r="G392" s="129">
        <v>119.5352</v>
      </c>
      <c r="H392" s="129">
        <v>119.967</v>
      </c>
      <c r="I392" s="129">
        <v>120.4293</v>
      </c>
      <c r="J392" s="129">
        <v>120.7578</v>
      </c>
      <c r="K392" s="129">
        <v>120.8588</v>
      </c>
      <c r="L392" s="129">
        <v>121.03230000000001</v>
      </c>
      <c r="M392" s="129">
        <v>121.7714</v>
      </c>
      <c r="N392" s="129">
        <v>122.3092</v>
      </c>
      <c r="O392" s="129">
        <v>122.75790000000001</v>
      </c>
      <c r="P392" s="129">
        <v>123.3117</v>
      </c>
      <c r="Q392" s="129">
        <v>123.7236</v>
      </c>
      <c r="R392" s="129">
        <v>124.0707</v>
      </c>
    </row>
    <row r="393" spans="1:18" ht="15">
      <c r="A393" s="141"/>
      <c r="B393" s="141"/>
      <c r="C393" s="141" t="s">
        <v>751</v>
      </c>
      <c r="D393" s="141"/>
      <c r="E393" s="301"/>
      <c r="F393" s="299">
        <v>0.51093338600000004</v>
      </c>
      <c r="G393" s="129">
        <v>119.5352</v>
      </c>
      <c r="H393" s="129">
        <v>119.967</v>
      </c>
      <c r="I393" s="129">
        <v>120.4293</v>
      </c>
      <c r="J393" s="129">
        <v>120.7578</v>
      </c>
      <c r="K393" s="129">
        <v>120.8588</v>
      </c>
      <c r="L393" s="129">
        <v>121.03230000000001</v>
      </c>
      <c r="M393" s="129">
        <v>121.7714</v>
      </c>
      <c r="N393" s="129">
        <v>122.3092</v>
      </c>
      <c r="O393" s="129">
        <v>122.75790000000001</v>
      </c>
      <c r="P393" s="129">
        <v>123.3117</v>
      </c>
      <c r="Q393" s="129">
        <v>123.7236</v>
      </c>
      <c r="R393" s="129">
        <v>124.0707</v>
      </c>
    </row>
    <row r="394" spans="1:18" ht="15">
      <c r="A394" s="141"/>
      <c r="B394" s="141"/>
      <c r="C394" s="141"/>
      <c r="D394" s="141" t="s">
        <v>752</v>
      </c>
      <c r="E394" s="301"/>
      <c r="F394" s="299">
        <v>0.51093338600000004</v>
      </c>
      <c r="G394" s="129">
        <v>119.5352</v>
      </c>
      <c r="H394" s="129">
        <v>119.967</v>
      </c>
      <c r="I394" s="129">
        <v>120.4293</v>
      </c>
      <c r="J394" s="129">
        <v>120.7578</v>
      </c>
      <c r="K394" s="129">
        <v>120.8588</v>
      </c>
      <c r="L394" s="129">
        <v>121.03230000000001</v>
      </c>
      <c r="M394" s="129">
        <v>121.7714</v>
      </c>
      <c r="N394" s="129">
        <v>122.3092</v>
      </c>
      <c r="O394" s="129">
        <v>122.75790000000001</v>
      </c>
      <c r="P394" s="129">
        <v>123.3117</v>
      </c>
      <c r="Q394" s="129">
        <v>123.7236</v>
      </c>
      <c r="R394" s="129">
        <v>124.0707</v>
      </c>
    </row>
    <row r="395" spans="1:18" ht="15">
      <c r="A395" s="141"/>
      <c r="B395" s="141"/>
      <c r="C395" s="141"/>
      <c r="D395" s="141"/>
      <c r="E395" s="301" t="s">
        <v>753</v>
      </c>
      <c r="F395" s="299">
        <v>0.248017231</v>
      </c>
      <c r="G395" s="129">
        <v>122.16800000000001</v>
      </c>
      <c r="H395" s="129">
        <v>122.6057</v>
      </c>
      <c r="I395" s="129">
        <v>123.4832</v>
      </c>
      <c r="J395" s="129">
        <v>124.0864</v>
      </c>
      <c r="K395" s="129">
        <v>124.4123</v>
      </c>
      <c r="L395" s="129">
        <v>124.4462</v>
      </c>
      <c r="M395" s="129">
        <v>125.6876</v>
      </c>
      <c r="N395" s="129">
        <v>126.2559</v>
      </c>
      <c r="O395" s="129">
        <v>126.5795</v>
      </c>
      <c r="P395" s="129">
        <v>127.3635</v>
      </c>
      <c r="Q395" s="129">
        <v>127.8554</v>
      </c>
      <c r="R395" s="129">
        <v>128.1816</v>
      </c>
    </row>
    <row r="396" spans="1:18" ht="15">
      <c r="A396" s="141"/>
      <c r="B396" s="141"/>
      <c r="C396" s="141"/>
      <c r="D396" s="141"/>
      <c r="E396" s="301" t="s">
        <v>754</v>
      </c>
      <c r="F396" s="299">
        <v>0.26291615499999998</v>
      </c>
      <c r="G396" s="129">
        <v>117.05159999999999</v>
      </c>
      <c r="H396" s="129">
        <v>117.4777</v>
      </c>
      <c r="I396" s="129">
        <v>117.5485</v>
      </c>
      <c r="J396" s="129">
        <v>117.61790000000001</v>
      </c>
      <c r="K396" s="129">
        <v>117.5067</v>
      </c>
      <c r="L396" s="129">
        <v>117.81189999999999</v>
      </c>
      <c r="M396" s="129">
        <v>118.0771</v>
      </c>
      <c r="N396" s="129">
        <v>118.58620000000001</v>
      </c>
      <c r="O396" s="129">
        <v>119.1528</v>
      </c>
      <c r="P396" s="129">
        <v>119.48950000000001</v>
      </c>
      <c r="Q396" s="129">
        <v>119.8259</v>
      </c>
      <c r="R396" s="129">
        <v>120.1927</v>
      </c>
    </row>
    <row r="397" spans="1:18" ht="15">
      <c r="A397" s="141" t="s">
        <v>755</v>
      </c>
      <c r="B397" s="141"/>
      <c r="C397" s="141"/>
      <c r="D397" s="141"/>
      <c r="E397" s="301"/>
      <c r="F397" s="299">
        <v>16.646278200000001</v>
      </c>
      <c r="G397" s="129">
        <v>135.58029999999999</v>
      </c>
      <c r="H397" s="129">
        <v>136.2159</v>
      </c>
      <c r="I397" s="129">
        <v>137.06950000000001</v>
      </c>
      <c r="J397" s="129">
        <v>136.63339999999999</v>
      </c>
      <c r="K397" s="129">
        <v>136.77070000000001</v>
      </c>
      <c r="L397" s="129">
        <v>137.18209999999999</v>
      </c>
      <c r="M397" s="129">
        <v>137.5136</v>
      </c>
      <c r="N397" s="129">
        <v>138.62880000000001</v>
      </c>
      <c r="O397" s="129">
        <v>138.45140000000001</v>
      </c>
      <c r="P397" s="129">
        <v>139.19390000000001</v>
      </c>
      <c r="Q397" s="129">
        <v>140.24639999999999</v>
      </c>
      <c r="R397" s="129">
        <v>140.65690000000001</v>
      </c>
    </row>
    <row r="398" spans="1:18" ht="15">
      <c r="A398" s="141"/>
      <c r="B398" s="141" t="s">
        <v>756</v>
      </c>
      <c r="C398" s="141"/>
      <c r="D398" s="141"/>
      <c r="E398" s="301"/>
      <c r="F398" s="299">
        <v>3.0807926700000001</v>
      </c>
      <c r="G398" s="129">
        <v>122.5059</v>
      </c>
      <c r="H398" s="129">
        <v>124.40940000000001</v>
      </c>
      <c r="I398" s="129">
        <v>125.7842</v>
      </c>
      <c r="J398" s="129">
        <v>121.38379999999999</v>
      </c>
      <c r="K398" s="129">
        <v>120.5765</v>
      </c>
      <c r="L398" s="129">
        <v>120.4502</v>
      </c>
      <c r="M398" s="129">
        <v>120.83929999999999</v>
      </c>
      <c r="N398" s="129">
        <v>125.37350000000001</v>
      </c>
      <c r="O398" s="129">
        <v>125.4393</v>
      </c>
      <c r="P398" s="129">
        <v>128.10220000000001</v>
      </c>
      <c r="Q398" s="129">
        <v>128.30529999999999</v>
      </c>
      <c r="R398" s="129">
        <v>128.48500000000001</v>
      </c>
    </row>
    <row r="399" spans="1:18" ht="15">
      <c r="A399" s="141"/>
      <c r="B399" s="141"/>
      <c r="C399" s="141" t="s">
        <v>757</v>
      </c>
      <c r="D399" s="141"/>
      <c r="E399" s="301"/>
      <c r="F399" s="299">
        <v>2.88743076</v>
      </c>
      <c r="G399" s="129">
        <v>120.8931</v>
      </c>
      <c r="H399" s="129">
        <v>122.9241</v>
      </c>
      <c r="I399" s="129">
        <v>124.3463</v>
      </c>
      <c r="J399" s="129">
        <v>119.5789</v>
      </c>
      <c r="K399" s="129">
        <v>118.7191</v>
      </c>
      <c r="L399" s="129">
        <v>118.5719</v>
      </c>
      <c r="M399" s="129">
        <v>118.95489999999999</v>
      </c>
      <c r="N399" s="129">
        <v>123.7928</v>
      </c>
      <c r="O399" s="129">
        <v>123.84099999999999</v>
      </c>
      <c r="P399" s="129">
        <v>126.6807</v>
      </c>
      <c r="Q399" s="129">
        <v>126.8973</v>
      </c>
      <c r="R399" s="129">
        <v>127.0445</v>
      </c>
    </row>
    <row r="400" spans="1:18" ht="15">
      <c r="A400" s="141"/>
      <c r="B400" s="141"/>
      <c r="C400" s="141"/>
      <c r="D400" s="141" t="s">
        <v>758</v>
      </c>
      <c r="E400" s="301"/>
      <c r="F400" s="299">
        <v>2.88743076</v>
      </c>
      <c r="G400" s="129">
        <v>120.8931</v>
      </c>
      <c r="H400" s="129">
        <v>122.9241</v>
      </c>
      <c r="I400" s="129">
        <v>124.3463</v>
      </c>
      <c r="J400" s="129">
        <v>119.5789</v>
      </c>
      <c r="K400" s="129">
        <v>118.7191</v>
      </c>
      <c r="L400" s="129">
        <v>118.5719</v>
      </c>
      <c r="M400" s="129">
        <v>118.95489999999999</v>
      </c>
      <c r="N400" s="129">
        <v>123.7928</v>
      </c>
      <c r="O400" s="129">
        <v>123.84099999999999</v>
      </c>
      <c r="P400" s="129">
        <v>126.6807</v>
      </c>
      <c r="Q400" s="129">
        <v>126.8973</v>
      </c>
      <c r="R400" s="129">
        <v>127.0445</v>
      </c>
    </row>
    <row r="401" spans="1:18" ht="15">
      <c r="A401" s="141"/>
      <c r="B401" s="141"/>
      <c r="C401" s="141"/>
      <c r="D401" s="141"/>
      <c r="E401" s="301" t="s">
        <v>759</v>
      </c>
      <c r="F401" s="299">
        <v>2.88743076</v>
      </c>
      <c r="G401" s="129">
        <v>120.8931</v>
      </c>
      <c r="H401" s="129">
        <v>122.9241</v>
      </c>
      <c r="I401" s="129">
        <v>124.3463</v>
      </c>
      <c r="J401" s="129">
        <v>119.5789</v>
      </c>
      <c r="K401" s="129">
        <v>118.7191</v>
      </c>
      <c r="L401" s="129">
        <v>118.5719</v>
      </c>
      <c r="M401" s="129">
        <v>118.95489999999999</v>
      </c>
      <c r="N401" s="129">
        <v>123.7928</v>
      </c>
      <c r="O401" s="129">
        <v>123.84099999999999</v>
      </c>
      <c r="P401" s="129">
        <v>126.6807</v>
      </c>
      <c r="Q401" s="129">
        <v>126.8973</v>
      </c>
      <c r="R401" s="129">
        <v>127.0445</v>
      </c>
    </row>
    <row r="402" spans="1:18" ht="15">
      <c r="A402" s="141"/>
      <c r="B402" s="141"/>
      <c r="C402" s="141" t="s">
        <v>760</v>
      </c>
      <c r="D402" s="141"/>
      <c r="E402" s="301"/>
      <c r="F402" s="281">
        <v>0.193361908</v>
      </c>
      <c r="G402" s="129">
        <v>146.5898</v>
      </c>
      <c r="H402" s="129">
        <v>146.5898</v>
      </c>
      <c r="I402" s="129">
        <v>147.25540000000001</v>
      </c>
      <c r="J402" s="129">
        <v>148.33600000000001</v>
      </c>
      <c r="K402" s="129">
        <v>148.3125</v>
      </c>
      <c r="L402" s="129">
        <v>148.4982</v>
      </c>
      <c r="M402" s="129">
        <v>148.97880000000001</v>
      </c>
      <c r="N402" s="129">
        <v>148.97880000000001</v>
      </c>
      <c r="O402" s="129">
        <v>149.3058</v>
      </c>
      <c r="P402" s="129">
        <v>149.32990000000001</v>
      </c>
      <c r="Q402" s="129">
        <v>149.32990000000001</v>
      </c>
      <c r="R402" s="129">
        <v>149.99469999999999</v>
      </c>
    </row>
    <row r="403" spans="1:18" ht="15">
      <c r="A403" s="141"/>
      <c r="B403" s="141"/>
      <c r="C403" s="141"/>
      <c r="D403" s="141" t="s">
        <v>761</v>
      </c>
      <c r="E403" s="301"/>
      <c r="F403" s="299">
        <v>0.193361908</v>
      </c>
      <c r="G403" s="129">
        <v>146.5898</v>
      </c>
      <c r="H403" s="129">
        <v>146.5898</v>
      </c>
      <c r="I403" s="129">
        <v>147.25540000000001</v>
      </c>
      <c r="J403" s="129">
        <v>148.33600000000001</v>
      </c>
      <c r="K403" s="129">
        <v>148.3125</v>
      </c>
      <c r="L403" s="129">
        <v>148.4982</v>
      </c>
      <c r="M403" s="129">
        <v>148.97880000000001</v>
      </c>
      <c r="N403" s="129">
        <v>148.97880000000001</v>
      </c>
      <c r="O403" s="129">
        <v>149.3058</v>
      </c>
      <c r="P403" s="129">
        <v>149.32990000000001</v>
      </c>
      <c r="Q403" s="129">
        <v>149.32990000000001</v>
      </c>
      <c r="R403" s="129">
        <v>149.99469999999999</v>
      </c>
    </row>
    <row r="404" spans="1:18" ht="15">
      <c r="A404" s="141"/>
      <c r="B404" s="141"/>
      <c r="C404" s="141"/>
      <c r="D404" s="141"/>
      <c r="E404" s="301" t="s">
        <v>762</v>
      </c>
      <c r="F404" s="299">
        <v>0.193361908</v>
      </c>
      <c r="G404" s="129">
        <v>146.5898</v>
      </c>
      <c r="H404" s="129">
        <v>146.5898</v>
      </c>
      <c r="I404" s="129">
        <v>147.25540000000001</v>
      </c>
      <c r="J404" s="129">
        <v>148.33600000000001</v>
      </c>
      <c r="K404" s="129">
        <v>148.3125</v>
      </c>
      <c r="L404" s="129">
        <v>148.4982</v>
      </c>
      <c r="M404" s="129">
        <v>148.97880000000001</v>
      </c>
      <c r="N404" s="129">
        <v>148.97880000000001</v>
      </c>
      <c r="O404" s="129">
        <v>149.3058</v>
      </c>
      <c r="P404" s="129">
        <v>149.32990000000001</v>
      </c>
      <c r="Q404" s="129">
        <v>149.32990000000001</v>
      </c>
      <c r="R404" s="129">
        <v>149.99469999999999</v>
      </c>
    </row>
    <row r="405" spans="1:18" ht="15">
      <c r="A405" s="141"/>
      <c r="B405" s="141" t="s">
        <v>763</v>
      </c>
      <c r="C405" s="141"/>
      <c r="D405" s="141"/>
      <c r="E405" s="301"/>
      <c r="F405" s="299">
        <v>8.4404824699999992</v>
      </c>
      <c r="G405" s="129">
        <v>140.80170000000001</v>
      </c>
      <c r="H405" s="129">
        <v>141.16470000000001</v>
      </c>
      <c r="I405" s="129">
        <v>141.4633</v>
      </c>
      <c r="J405" s="129">
        <v>141.9384</v>
      </c>
      <c r="K405" s="129">
        <v>142.20249999999999</v>
      </c>
      <c r="L405" s="129">
        <v>142.42150000000001</v>
      </c>
      <c r="M405" s="129">
        <v>142.86349999999999</v>
      </c>
      <c r="N405" s="129">
        <v>142.92070000000001</v>
      </c>
      <c r="O405" s="129">
        <v>143.10429999999999</v>
      </c>
      <c r="P405" s="129">
        <v>143.2354</v>
      </c>
      <c r="Q405" s="129">
        <v>143.3288</v>
      </c>
      <c r="R405" s="129">
        <v>143.32579999999999</v>
      </c>
    </row>
    <row r="406" spans="1:18" ht="15">
      <c r="A406" s="141"/>
      <c r="B406" s="141"/>
      <c r="C406" s="141" t="s">
        <v>764</v>
      </c>
      <c r="D406" s="141"/>
      <c r="E406" s="301"/>
      <c r="F406" s="299">
        <v>0.53260233000000001</v>
      </c>
      <c r="G406" s="129">
        <v>139.64019999999999</v>
      </c>
      <c r="H406" s="129">
        <v>142.11879999999999</v>
      </c>
      <c r="I406" s="129">
        <v>143.31890000000001</v>
      </c>
      <c r="J406" s="129">
        <v>143.8116</v>
      </c>
      <c r="K406" s="129">
        <v>144.26249999999999</v>
      </c>
      <c r="L406" s="129">
        <v>144.875</v>
      </c>
      <c r="M406" s="129">
        <v>145.18</v>
      </c>
      <c r="N406" s="129">
        <v>145.71440000000001</v>
      </c>
      <c r="O406" s="129">
        <v>146.137</v>
      </c>
      <c r="P406" s="129">
        <v>146.8297</v>
      </c>
      <c r="Q406" s="129">
        <v>147.20840000000001</v>
      </c>
      <c r="R406" s="129">
        <v>148.1574</v>
      </c>
    </row>
    <row r="407" spans="1:18" ht="15">
      <c r="A407" s="141"/>
      <c r="B407" s="141"/>
      <c r="C407" s="141"/>
      <c r="D407" s="141" t="s">
        <v>765</v>
      </c>
      <c r="E407" s="301"/>
      <c r="F407" s="299">
        <v>0.53260233000000001</v>
      </c>
      <c r="G407" s="129">
        <v>139.64019999999999</v>
      </c>
      <c r="H407" s="129">
        <v>142.11879999999999</v>
      </c>
      <c r="I407" s="129">
        <v>143.31890000000001</v>
      </c>
      <c r="J407" s="129">
        <v>143.8116</v>
      </c>
      <c r="K407" s="129">
        <v>144.26249999999999</v>
      </c>
      <c r="L407" s="129">
        <v>144.875</v>
      </c>
      <c r="M407" s="129">
        <v>145.18</v>
      </c>
      <c r="N407" s="129">
        <v>145.71440000000001</v>
      </c>
      <c r="O407" s="129">
        <v>146.137</v>
      </c>
      <c r="P407" s="129">
        <v>146.8297</v>
      </c>
      <c r="Q407" s="129">
        <v>147.20840000000001</v>
      </c>
      <c r="R407" s="129">
        <v>148.1574</v>
      </c>
    </row>
    <row r="408" spans="1:18" ht="15">
      <c r="A408" s="141"/>
      <c r="B408" s="141"/>
      <c r="C408" s="141"/>
      <c r="D408" s="141"/>
      <c r="E408" s="301" t="s">
        <v>766</v>
      </c>
      <c r="F408" s="299">
        <v>0.26634297499999998</v>
      </c>
      <c r="G408" s="129">
        <v>139.2415</v>
      </c>
      <c r="H408" s="129">
        <v>142.0429</v>
      </c>
      <c r="I408" s="129">
        <v>143.0762</v>
      </c>
      <c r="J408" s="129">
        <v>142.9862</v>
      </c>
      <c r="K408" s="129">
        <v>143.06450000000001</v>
      </c>
      <c r="L408" s="129">
        <v>143.631</v>
      </c>
      <c r="M408" s="129">
        <v>143.8211</v>
      </c>
      <c r="N408" s="129">
        <v>144.22710000000001</v>
      </c>
      <c r="O408" s="129">
        <v>144.79750000000001</v>
      </c>
      <c r="P408" s="129">
        <v>145.49369999999999</v>
      </c>
      <c r="Q408" s="129">
        <v>145.81299999999999</v>
      </c>
      <c r="R408" s="129">
        <v>147.0669</v>
      </c>
    </row>
    <row r="409" spans="1:18" ht="15">
      <c r="A409" s="141"/>
      <c r="B409" s="141"/>
      <c r="C409" s="141"/>
      <c r="D409" s="141"/>
      <c r="E409" s="301" t="s">
        <v>767</v>
      </c>
      <c r="F409" s="299">
        <v>0.165651993</v>
      </c>
      <c r="G409" s="129">
        <v>136.38820000000001</v>
      </c>
      <c r="H409" s="129">
        <v>138.9545</v>
      </c>
      <c r="I409" s="129">
        <v>140.4332</v>
      </c>
      <c r="J409" s="129">
        <v>141.3895</v>
      </c>
      <c r="K409" s="129">
        <v>142.48419999999999</v>
      </c>
      <c r="L409" s="129">
        <v>143.3322</v>
      </c>
      <c r="M409" s="129">
        <v>143.8647</v>
      </c>
      <c r="N409" s="129">
        <v>144.38460000000001</v>
      </c>
      <c r="O409" s="129">
        <v>144.72829999999999</v>
      </c>
      <c r="P409" s="129">
        <v>145.3546</v>
      </c>
      <c r="Q409" s="129">
        <v>145.57599999999999</v>
      </c>
      <c r="R409" s="129">
        <v>145.9607</v>
      </c>
    </row>
    <row r="410" spans="1:18" ht="15">
      <c r="A410" s="141"/>
      <c r="B410" s="141"/>
      <c r="C410" s="141"/>
      <c r="D410" s="141"/>
      <c r="E410" s="301" t="s">
        <v>768</v>
      </c>
      <c r="F410" s="299">
        <v>2.5891833E-2</v>
      </c>
      <c r="G410" s="129">
        <v>155.15270000000001</v>
      </c>
      <c r="H410" s="129">
        <v>155.596</v>
      </c>
      <c r="I410" s="129">
        <v>156.9417</v>
      </c>
      <c r="J410" s="129">
        <v>157.84829999999999</v>
      </c>
      <c r="K410" s="129">
        <v>158.411</v>
      </c>
      <c r="L410" s="129">
        <v>158.61000000000001</v>
      </c>
      <c r="M410" s="129">
        <v>158.4734</v>
      </c>
      <c r="N410" s="129">
        <v>160.52719999999999</v>
      </c>
      <c r="O410" s="129">
        <v>160.63720000000001</v>
      </c>
      <c r="P410" s="129">
        <v>161.5247</v>
      </c>
      <c r="Q410" s="129">
        <v>162.2449</v>
      </c>
      <c r="R410" s="129">
        <v>162.6908</v>
      </c>
    </row>
    <row r="411" spans="1:18" ht="15">
      <c r="A411" s="141"/>
      <c r="B411" s="141"/>
      <c r="C411" s="141"/>
      <c r="D411" s="141"/>
      <c r="E411" s="301" t="s">
        <v>769</v>
      </c>
      <c r="F411" s="299">
        <v>3.8563706000000003E-2</v>
      </c>
      <c r="G411" s="129">
        <v>154.22120000000001</v>
      </c>
      <c r="H411" s="129">
        <v>157.14160000000001</v>
      </c>
      <c r="I411" s="129">
        <v>158.41499999999999</v>
      </c>
      <c r="J411" s="129">
        <v>160.1584</v>
      </c>
      <c r="K411" s="129">
        <v>161.12280000000001</v>
      </c>
      <c r="L411" s="129">
        <v>161.61060000000001</v>
      </c>
      <c r="M411" s="129">
        <v>161.8073</v>
      </c>
      <c r="N411" s="129">
        <v>162.345</v>
      </c>
      <c r="O411" s="129">
        <v>162.2894</v>
      </c>
      <c r="P411" s="129">
        <v>162.95820000000001</v>
      </c>
      <c r="Q411" s="129">
        <v>164.13399999999999</v>
      </c>
      <c r="R411" s="129">
        <v>166.0692</v>
      </c>
    </row>
    <row r="412" spans="1:18" ht="15">
      <c r="A412" s="141"/>
      <c r="B412" s="141"/>
      <c r="C412" s="141"/>
      <c r="D412" s="141"/>
      <c r="E412" s="301" t="s">
        <v>770</v>
      </c>
      <c r="F412" s="299">
        <v>3.6151823999999999E-2</v>
      </c>
      <c r="G412" s="129">
        <v>130.81489999999999</v>
      </c>
      <c r="H412" s="129">
        <v>131.4999</v>
      </c>
      <c r="I412" s="129">
        <v>132.47</v>
      </c>
      <c r="J412" s="129">
        <v>133.50110000000001</v>
      </c>
      <c r="K412" s="129">
        <v>133.11879999999999</v>
      </c>
      <c r="L412" s="129">
        <v>133.42019999999999</v>
      </c>
      <c r="M412" s="129">
        <v>133.9614</v>
      </c>
      <c r="N412" s="129">
        <v>134.41560000000001</v>
      </c>
      <c r="O412" s="129">
        <v>134.8458</v>
      </c>
      <c r="P412" s="129">
        <v>135.70339999999999</v>
      </c>
      <c r="Q412" s="129">
        <v>136.14519999999999</v>
      </c>
      <c r="R412" s="129">
        <v>136.7415</v>
      </c>
    </row>
    <row r="413" spans="1:18" ht="15">
      <c r="A413" s="141"/>
      <c r="B413" s="141"/>
      <c r="C413" s="141" t="s">
        <v>771</v>
      </c>
      <c r="D413" s="141"/>
      <c r="E413" s="301"/>
      <c r="F413" s="299">
        <v>6.94065201</v>
      </c>
      <c r="G413" s="129">
        <v>139.04900000000001</v>
      </c>
      <c r="H413" s="129">
        <v>139.0547</v>
      </c>
      <c r="I413" s="129">
        <v>139.0634</v>
      </c>
      <c r="J413" s="129">
        <v>139.06059999999999</v>
      </c>
      <c r="K413" s="129">
        <v>139.06790000000001</v>
      </c>
      <c r="L413" s="129">
        <v>139.12819999999999</v>
      </c>
      <c r="M413" s="129">
        <v>139.59649999999999</v>
      </c>
      <c r="N413" s="129">
        <v>139.613</v>
      </c>
      <c r="O413" s="129">
        <v>139.61590000000001</v>
      </c>
      <c r="P413" s="129">
        <v>139.61779999999999</v>
      </c>
      <c r="Q413" s="129">
        <v>139.61920000000001</v>
      </c>
      <c r="R413" s="129">
        <v>139.6217</v>
      </c>
    </row>
    <row r="414" spans="1:18" ht="15" customHeight="1">
      <c r="A414" s="141"/>
      <c r="B414" s="141"/>
      <c r="C414" s="141"/>
      <c r="D414" s="141" t="s">
        <v>772</v>
      </c>
      <c r="E414" s="301"/>
      <c r="F414" s="300">
        <v>6.94065201</v>
      </c>
      <c r="G414" s="133">
        <v>139.04900000000001</v>
      </c>
      <c r="H414" s="130">
        <v>139.0547</v>
      </c>
      <c r="I414" s="130">
        <v>139.0634</v>
      </c>
      <c r="J414" s="130">
        <v>139.06059999999999</v>
      </c>
      <c r="K414" s="130">
        <v>139.06790000000001</v>
      </c>
      <c r="L414" s="130">
        <v>139.12819999999999</v>
      </c>
      <c r="M414" s="130">
        <v>139.59649999999999</v>
      </c>
      <c r="N414" s="130">
        <v>139.613</v>
      </c>
      <c r="O414" s="130">
        <v>139.61590000000001</v>
      </c>
      <c r="P414" s="135">
        <v>139.61779999999999</v>
      </c>
      <c r="Q414" s="130">
        <v>139.61920000000001</v>
      </c>
      <c r="R414" s="130">
        <v>139.6217</v>
      </c>
    </row>
    <row r="415" spans="1:18" ht="15">
      <c r="A415" s="141"/>
      <c r="B415" s="141"/>
      <c r="C415" s="141"/>
      <c r="D415" s="141"/>
      <c r="E415" s="301" t="s">
        <v>773</v>
      </c>
      <c r="F415" s="299">
        <v>3.2595149700000001</v>
      </c>
      <c r="G415" s="129">
        <v>139.44659999999999</v>
      </c>
      <c r="H415" s="129">
        <v>139.44659999999999</v>
      </c>
      <c r="I415" s="129">
        <v>139.44659999999999</v>
      </c>
      <c r="J415" s="129">
        <v>139.44659999999999</v>
      </c>
      <c r="K415" s="129">
        <v>139.44659999999999</v>
      </c>
      <c r="L415" s="129">
        <v>139.44659999999999</v>
      </c>
      <c r="M415" s="129">
        <v>139.44659999999999</v>
      </c>
      <c r="N415" s="129">
        <v>139.44659999999999</v>
      </c>
      <c r="O415" s="129">
        <v>139.44659999999999</v>
      </c>
      <c r="P415" s="129">
        <v>139.44659999999999</v>
      </c>
      <c r="Q415" s="129">
        <v>139.44659999999999</v>
      </c>
      <c r="R415" s="129">
        <v>139.44659999999999</v>
      </c>
    </row>
    <row r="416" spans="1:18" ht="15">
      <c r="A416" s="141"/>
      <c r="B416" s="141"/>
      <c r="C416" s="141"/>
      <c r="D416" s="141"/>
      <c r="E416" s="301" t="s">
        <v>774</v>
      </c>
      <c r="F416" s="299">
        <v>2.5499526100000001</v>
      </c>
      <c r="G416" s="129">
        <v>138.7544</v>
      </c>
      <c r="H416" s="129">
        <v>138.7544</v>
      </c>
      <c r="I416" s="129">
        <v>138.7544</v>
      </c>
      <c r="J416" s="129">
        <v>138.7544</v>
      </c>
      <c r="K416" s="129">
        <v>138.7544</v>
      </c>
      <c r="L416" s="129">
        <v>138.7544</v>
      </c>
      <c r="M416" s="129">
        <v>138.7544</v>
      </c>
      <c r="N416" s="129">
        <v>138.7544</v>
      </c>
      <c r="O416" s="129">
        <v>138.7544</v>
      </c>
      <c r="P416" s="129">
        <v>138.7544</v>
      </c>
      <c r="Q416" s="129">
        <v>138.7544</v>
      </c>
      <c r="R416" s="129">
        <v>138.7544</v>
      </c>
    </row>
    <row r="417" spans="1:18" ht="15">
      <c r="A417" s="141"/>
      <c r="B417" s="141"/>
      <c r="C417" s="141"/>
      <c r="D417" s="141"/>
      <c r="E417" s="301" t="s">
        <v>775</v>
      </c>
      <c r="F417" s="299">
        <v>0.69143499399999997</v>
      </c>
      <c r="G417" s="129">
        <v>133.4727</v>
      </c>
      <c r="H417" s="129">
        <v>133.4727</v>
      </c>
      <c r="I417" s="129">
        <v>133.4727</v>
      </c>
      <c r="J417" s="129">
        <v>133.4727</v>
      </c>
      <c r="K417" s="129">
        <v>133.4727</v>
      </c>
      <c r="L417" s="129">
        <v>133.9358</v>
      </c>
      <c r="M417" s="129">
        <v>138.10300000000001</v>
      </c>
      <c r="N417" s="129">
        <v>138.10300000000001</v>
      </c>
      <c r="O417" s="129">
        <v>138.10300000000001</v>
      </c>
      <c r="P417" s="129">
        <v>138.10300000000001</v>
      </c>
      <c r="Q417" s="129">
        <v>138.10300000000001</v>
      </c>
      <c r="R417" s="129">
        <v>138.10300000000001</v>
      </c>
    </row>
    <row r="418" spans="1:18" ht="15">
      <c r="A418" s="141"/>
      <c r="B418" s="141"/>
      <c r="C418" s="141"/>
      <c r="D418" s="141"/>
      <c r="E418" s="301" t="s">
        <v>776</v>
      </c>
      <c r="F418" s="299">
        <v>0.31230749299999999</v>
      </c>
      <c r="G418" s="129">
        <v>142.5411</v>
      </c>
      <c r="H418" s="129">
        <v>142.5411</v>
      </c>
      <c r="I418" s="129">
        <v>142.5411</v>
      </c>
      <c r="J418" s="129">
        <v>142.5411</v>
      </c>
      <c r="K418" s="129">
        <v>142.5411</v>
      </c>
      <c r="L418" s="129">
        <v>142.73339999999999</v>
      </c>
      <c r="M418" s="129">
        <v>144.46440000000001</v>
      </c>
      <c r="N418" s="129">
        <v>144.46440000000001</v>
      </c>
      <c r="O418" s="129">
        <v>144.46440000000001</v>
      </c>
      <c r="P418" s="129">
        <v>144.46440000000001</v>
      </c>
      <c r="Q418" s="129">
        <v>144.46440000000001</v>
      </c>
      <c r="R418" s="129">
        <v>144.46440000000001</v>
      </c>
    </row>
    <row r="419" spans="1:18" ht="15">
      <c r="A419" s="141"/>
      <c r="B419" s="141"/>
      <c r="C419" s="141"/>
      <c r="D419" s="141"/>
      <c r="E419" s="301" t="s">
        <v>777</v>
      </c>
      <c r="F419" s="299">
        <v>0.127441947</v>
      </c>
      <c r="G419" s="129">
        <v>156.46870000000001</v>
      </c>
      <c r="H419" s="129">
        <v>156.77930000000001</v>
      </c>
      <c r="I419" s="129">
        <v>157.25460000000001</v>
      </c>
      <c r="J419" s="129">
        <v>157.10130000000001</v>
      </c>
      <c r="K419" s="129">
        <v>157.49799999999999</v>
      </c>
      <c r="L419" s="129">
        <v>157.80000000000001</v>
      </c>
      <c r="M419" s="129">
        <v>156.45490000000001</v>
      </c>
      <c r="N419" s="129">
        <v>157.35140000000001</v>
      </c>
      <c r="O419" s="129">
        <v>157.51169999999999</v>
      </c>
      <c r="P419" s="129">
        <v>157.61259999999999</v>
      </c>
      <c r="Q419" s="129">
        <v>157.68960000000001</v>
      </c>
      <c r="R419" s="129">
        <v>157.82499999999999</v>
      </c>
    </row>
    <row r="420" spans="1:18" ht="15">
      <c r="A420" s="141"/>
      <c r="B420" s="141"/>
      <c r="C420" s="141" t="s">
        <v>778</v>
      </c>
      <c r="D420" s="141"/>
      <c r="E420" s="301"/>
      <c r="F420" s="281">
        <v>0.87730871399999999</v>
      </c>
      <c r="G420" s="129">
        <v>156.24430000000001</v>
      </c>
      <c r="H420" s="129">
        <v>157.5153</v>
      </c>
      <c r="I420" s="129">
        <v>159.59110000000001</v>
      </c>
      <c r="J420" s="129">
        <v>163.88509999999999</v>
      </c>
      <c r="K420" s="129">
        <v>165.75839999999999</v>
      </c>
      <c r="L420" s="129">
        <v>167.01609999999999</v>
      </c>
      <c r="M420" s="129">
        <v>167.3783</v>
      </c>
      <c r="N420" s="129">
        <v>167.4744</v>
      </c>
      <c r="O420" s="129">
        <v>168.96019999999999</v>
      </c>
      <c r="P420" s="129">
        <v>169.78630000000001</v>
      </c>
      <c r="Q420" s="129">
        <v>170.44409999999999</v>
      </c>
      <c r="R420" s="129">
        <v>169.8201</v>
      </c>
    </row>
    <row r="421" spans="1:18" ht="15" customHeight="1">
      <c r="A421" s="141"/>
      <c r="B421" s="141"/>
      <c r="C421" s="141"/>
      <c r="D421" s="141" t="s">
        <v>779</v>
      </c>
      <c r="E421" s="301"/>
      <c r="F421" s="299">
        <v>0.87730871399999999</v>
      </c>
      <c r="G421" s="129">
        <v>156.24430000000001</v>
      </c>
      <c r="H421" s="129">
        <v>157.5153</v>
      </c>
      <c r="I421" s="129">
        <v>159.59110000000001</v>
      </c>
      <c r="J421" s="129">
        <v>163.88509999999999</v>
      </c>
      <c r="K421" s="129">
        <v>165.75839999999999</v>
      </c>
      <c r="L421" s="129">
        <v>167.01609999999999</v>
      </c>
      <c r="M421" s="129">
        <v>167.3783</v>
      </c>
      <c r="N421" s="129">
        <v>167.4744</v>
      </c>
      <c r="O421" s="129">
        <v>168.96019999999999</v>
      </c>
      <c r="P421" s="129">
        <v>169.78630000000001</v>
      </c>
      <c r="Q421" s="129">
        <v>170.44409999999999</v>
      </c>
      <c r="R421" s="129">
        <v>169.8201</v>
      </c>
    </row>
    <row r="422" spans="1:18" ht="15">
      <c r="A422" s="141"/>
      <c r="B422" s="141"/>
      <c r="C422" s="141"/>
      <c r="D422" s="141"/>
      <c r="E422" s="301" t="s">
        <v>780</v>
      </c>
      <c r="F422" s="299">
        <v>0.789749009</v>
      </c>
      <c r="G422" s="129">
        <v>155.72929999999999</v>
      </c>
      <c r="H422" s="129">
        <v>157.1412</v>
      </c>
      <c r="I422" s="129">
        <v>159.24369999999999</v>
      </c>
      <c r="J422" s="129">
        <v>163.6756</v>
      </c>
      <c r="K422" s="129">
        <v>165.55160000000001</v>
      </c>
      <c r="L422" s="129">
        <v>166.75190000000001</v>
      </c>
      <c r="M422" s="129">
        <v>167.029</v>
      </c>
      <c r="N422" s="129">
        <v>167.13570000000001</v>
      </c>
      <c r="O422" s="129">
        <v>168.78630000000001</v>
      </c>
      <c r="P422" s="129">
        <v>169.57239999999999</v>
      </c>
      <c r="Q422" s="129">
        <v>170.303</v>
      </c>
      <c r="R422" s="129">
        <v>169.60980000000001</v>
      </c>
    </row>
    <row r="423" spans="1:18" ht="15">
      <c r="A423" s="141"/>
      <c r="B423" s="141"/>
      <c r="C423" s="141"/>
      <c r="D423" s="141"/>
      <c r="E423" s="301" t="s">
        <v>781</v>
      </c>
      <c r="F423" s="299">
        <v>8.7559706000000001E-2</v>
      </c>
      <c r="G423" s="129">
        <v>160.8896</v>
      </c>
      <c r="H423" s="129">
        <v>160.8896</v>
      </c>
      <c r="I423" s="129">
        <v>162.7244</v>
      </c>
      <c r="J423" s="129">
        <v>165.77510000000001</v>
      </c>
      <c r="K423" s="129">
        <v>167.62350000000001</v>
      </c>
      <c r="L423" s="129">
        <v>169.39949999999999</v>
      </c>
      <c r="M423" s="129">
        <v>170.52889999999999</v>
      </c>
      <c r="N423" s="129">
        <v>170.52889999999999</v>
      </c>
      <c r="O423" s="129">
        <v>170.52889999999999</v>
      </c>
      <c r="P423" s="129">
        <v>171.71639999999999</v>
      </c>
      <c r="Q423" s="129">
        <v>171.71639999999999</v>
      </c>
      <c r="R423" s="129">
        <v>171.71639999999999</v>
      </c>
    </row>
    <row r="424" spans="1:18" ht="15">
      <c r="A424" s="141"/>
      <c r="B424" s="141"/>
      <c r="C424" s="141" t="s">
        <v>782</v>
      </c>
      <c r="D424" s="141"/>
      <c r="E424" s="301"/>
      <c r="F424" s="299">
        <v>8.9919413000000004E-2</v>
      </c>
      <c r="G424" s="129">
        <v>132.29990000000001</v>
      </c>
      <c r="H424" s="129">
        <v>138.85319999999999</v>
      </c>
      <c r="I424" s="129">
        <v>138.85319999999999</v>
      </c>
      <c r="J424" s="129">
        <v>138.85319999999999</v>
      </c>
      <c r="K424" s="129">
        <v>142.12889999999999</v>
      </c>
      <c r="L424" s="129">
        <v>142.12889999999999</v>
      </c>
      <c r="M424" s="129">
        <v>142.12889999999999</v>
      </c>
      <c r="N424" s="129">
        <v>142.12889999999999</v>
      </c>
      <c r="O424" s="129">
        <v>142.12889999999999</v>
      </c>
      <c r="P424" s="129">
        <v>142.12889999999999</v>
      </c>
      <c r="Q424" s="129">
        <v>142.12889999999999</v>
      </c>
      <c r="R424" s="129">
        <v>142.12889999999999</v>
      </c>
    </row>
    <row r="425" spans="1:18" ht="15" customHeight="1">
      <c r="A425" s="141"/>
      <c r="B425" s="141"/>
      <c r="C425" s="141"/>
      <c r="D425" s="141" t="s">
        <v>783</v>
      </c>
      <c r="E425" s="301"/>
      <c r="F425" s="299">
        <v>8.9919413000000004E-2</v>
      </c>
      <c r="G425" s="129">
        <v>132.29990000000001</v>
      </c>
      <c r="H425" s="129">
        <v>138.85319999999999</v>
      </c>
      <c r="I425" s="129">
        <v>138.85319999999999</v>
      </c>
      <c r="J425" s="129">
        <v>138.85319999999999</v>
      </c>
      <c r="K425" s="129">
        <v>142.12889999999999</v>
      </c>
      <c r="L425" s="129">
        <v>142.12889999999999</v>
      </c>
      <c r="M425" s="129">
        <v>142.12889999999999</v>
      </c>
      <c r="N425" s="129">
        <v>142.12889999999999</v>
      </c>
      <c r="O425" s="129">
        <v>142.12889999999999</v>
      </c>
      <c r="P425" s="129">
        <v>142.12889999999999</v>
      </c>
      <c r="Q425" s="129">
        <v>142.12889999999999</v>
      </c>
      <c r="R425" s="129">
        <v>142.12889999999999</v>
      </c>
    </row>
    <row r="426" spans="1:18" ht="15" customHeight="1">
      <c r="A426" s="141"/>
      <c r="B426" s="141"/>
      <c r="C426" s="141"/>
      <c r="D426" s="141"/>
      <c r="E426" s="301" t="s">
        <v>784</v>
      </c>
      <c r="F426" s="299">
        <v>5.7251021999999999E-2</v>
      </c>
      <c r="G426" s="129">
        <v>109.2312</v>
      </c>
      <c r="H426" s="129">
        <v>119.5239</v>
      </c>
      <c r="I426" s="129">
        <v>119.5239</v>
      </c>
      <c r="J426" s="129">
        <v>119.5239</v>
      </c>
      <c r="K426" s="129">
        <v>124.6688</v>
      </c>
      <c r="L426" s="129">
        <v>124.6688</v>
      </c>
      <c r="M426" s="129">
        <v>124.6688</v>
      </c>
      <c r="N426" s="129">
        <v>124.6688</v>
      </c>
      <c r="O426" s="129">
        <v>124.6688</v>
      </c>
      <c r="P426" s="129">
        <v>124.6688</v>
      </c>
      <c r="Q426" s="129">
        <v>124.6688</v>
      </c>
      <c r="R426" s="129">
        <v>124.6688</v>
      </c>
    </row>
    <row r="427" spans="1:18" ht="15">
      <c r="A427" s="141"/>
      <c r="B427" s="141"/>
      <c r="C427" s="141"/>
      <c r="D427" s="141"/>
      <c r="E427" s="301" t="s">
        <v>785</v>
      </c>
      <c r="F427" s="299">
        <v>3.2668390999999998E-2</v>
      </c>
      <c r="G427" s="129">
        <v>172.72749999999999</v>
      </c>
      <c r="H427" s="129">
        <v>172.72749999999999</v>
      </c>
      <c r="I427" s="129">
        <v>172.72749999999999</v>
      </c>
      <c r="J427" s="129">
        <v>172.72749999999999</v>
      </c>
      <c r="K427" s="129">
        <v>172.72749999999999</v>
      </c>
      <c r="L427" s="129">
        <v>172.72749999999999</v>
      </c>
      <c r="M427" s="129">
        <v>172.72749999999999</v>
      </c>
      <c r="N427" s="129">
        <v>172.72749999999999</v>
      </c>
      <c r="O427" s="129">
        <v>172.72749999999999</v>
      </c>
      <c r="P427" s="129">
        <v>172.72749999999999</v>
      </c>
      <c r="Q427" s="129">
        <v>172.72749999999999</v>
      </c>
      <c r="R427" s="129">
        <v>172.72749999999999</v>
      </c>
    </row>
    <row r="428" spans="1:18" ht="15">
      <c r="A428" s="141"/>
      <c r="B428" s="141" t="s">
        <v>786</v>
      </c>
      <c r="C428" s="141"/>
      <c r="D428" s="141"/>
      <c r="E428" s="301"/>
      <c r="F428" s="299">
        <v>5.1250031099999998</v>
      </c>
      <c r="G428" s="129">
        <v>134.84039999999999</v>
      </c>
      <c r="H428" s="129">
        <v>135.1627</v>
      </c>
      <c r="I428" s="129">
        <v>136.61699999999999</v>
      </c>
      <c r="J428" s="129">
        <v>137.0634</v>
      </c>
      <c r="K428" s="129">
        <v>137.55959999999999</v>
      </c>
      <c r="L428" s="129">
        <v>138.61150000000001</v>
      </c>
      <c r="M428" s="129">
        <v>138.72630000000001</v>
      </c>
      <c r="N428" s="129">
        <v>139.52860000000001</v>
      </c>
      <c r="O428" s="129">
        <v>138.6103</v>
      </c>
      <c r="P428" s="129">
        <v>139.2055</v>
      </c>
      <c r="Q428" s="129">
        <v>142.34819999999999</v>
      </c>
      <c r="R428" s="129">
        <v>143.57830000000001</v>
      </c>
    </row>
    <row r="429" spans="1:18" ht="15">
      <c r="A429" s="141"/>
      <c r="B429" s="141"/>
      <c r="C429" s="141" t="s">
        <v>787</v>
      </c>
      <c r="D429" s="141"/>
      <c r="E429" s="301"/>
      <c r="F429" s="299">
        <v>4.8476457000000002</v>
      </c>
      <c r="G429" s="129">
        <v>135.8732</v>
      </c>
      <c r="H429" s="129">
        <v>135.86879999999999</v>
      </c>
      <c r="I429" s="129">
        <v>136.6275</v>
      </c>
      <c r="J429" s="129">
        <v>137.23830000000001</v>
      </c>
      <c r="K429" s="129">
        <v>137.65639999999999</v>
      </c>
      <c r="L429" s="129">
        <v>138.00919999999999</v>
      </c>
      <c r="M429" s="129">
        <v>138.38249999999999</v>
      </c>
      <c r="N429" s="129">
        <v>139.82759999999999</v>
      </c>
      <c r="O429" s="129">
        <v>140.16329999999999</v>
      </c>
      <c r="P429" s="129">
        <v>140.44460000000001</v>
      </c>
      <c r="Q429" s="129">
        <v>140.60759999999999</v>
      </c>
      <c r="R429" s="129">
        <v>141.0941</v>
      </c>
    </row>
    <row r="430" spans="1:18" ht="15">
      <c r="A430" s="141"/>
      <c r="B430" s="141"/>
      <c r="C430" s="141"/>
      <c r="D430" s="141" t="s">
        <v>788</v>
      </c>
      <c r="E430" s="301"/>
      <c r="F430" s="299">
        <v>3.89382326</v>
      </c>
      <c r="G430" s="129">
        <v>139.65809999999999</v>
      </c>
      <c r="H430" s="129">
        <v>139.6497</v>
      </c>
      <c r="I430" s="129">
        <v>140.4117</v>
      </c>
      <c r="J430" s="129">
        <v>140.9674</v>
      </c>
      <c r="K430" s="129">
        <v>141.3135</v>
      </c>
      <c r="L430" s="129">
        <v>141.61099999999999</v>
      </c>
      <c r="M430" s="129">
        <v>142.0701</v>
      </c>
      <c r="N430" s="129">
        <v>143.82210000000001</v>
      </c>
      <c r="O430" s="129">
        <v>144.20509999999999</v>
      </c>
      <c r="P430" s="129">
        <v>144.55520000000001</v>
      </c>
      <c r="Q430" s="129">
        <v>144.738</v>
      </c>
      <c r="R430" s="129">
        <v>145.32900000000001</v>
      </c>
    </row>
    <row r="431" spans="1:18" ht="15">
      <c r="A431" s="141"/>
      <c r="B431" s="141"/>
      <c r="C431" s="141"/>
      <c r="D431" s="141"/>
      <c r="E431" s="301" t="s">
        <v>789</v>
      </c>
      <c r="F431" s="299">
        <v>1.23601933</v>
      </c>
      <c r="G431" s="129">
        <v>136.34219999999999</v>
      </c>
      <c r="H431" s="129">
        <v>136.34219999999999</v>
      </c>
      <c r="I431" s="129">
        <v>136.9579</v>
      </c>
      <c r="J431" s="129">
        <v>137.29910000000001</v>
      </c>
      <c r="K431" s="129">
        <v>137.29910000000001</v>
      </c>
      <c r="L431" s="129">
        <v>137.5155</v>
      </c>
      <c r="M431" s="129">
        <v>137.7251</v>
      </c>
      <c r="N431" s="129">
        <v>140.4983</v>
      </c>
      <c r="O431" s="129">
        <v>141.23869999999999</v>
      </c>
      <c r="P431" s="129">
        <v>141.23869999999999</v>
      </c>
      <c r="Q431" s="129">
        <v>141.23869999999999</v>
      </c>
      <c r="R431" s="129">
        <v>142.38069999999999</v>
      </c>
    </row>
    <row r="432" spans="1:18" ht="15">
      <c r="A432" s="141"/>
      <c r="B432" s="141"/>
      <c r="C432" s="141"/>
      <c r="D432" s="141"/>
      <c r="E432" s="301" t="s">
        <v>790</v>
      </c>
      <c r="F432" s="299">
        <v>1.2217109100000001</v>
      </c>
      <c r="G432" s="129">
        <v>148.84299999999999</v>
      </c>
      <c r="H432" s="129">
        <v>148.84299999999999</v>
      </c>
      <c r="I432" s="129">
        <v>150.07980000000001</v>
      </c>
      <c r="J432" s="129">
        <v>150.74180000000001</v>
      </c>
      <c r="K432" s="129">
        <v>151.96</v>
      </c>
      <c r="L432" s="129">
        <v>152.84200000000001</v>
      </c>
      <c r="M432" s="129">
        <v>154.07810000000001</v>
      </c>
      <c r="N432" s="129">
        <v>154.65979999999999</v>
      </c>
      <c r="O432" s="129">
        <v>155.25559999999999</v>
      </c>
      <c r="P432" s="129">
        <v>155.3475</v>
      </c>
      <c r="Q432" s="129">
        <v>156.03270000000001</v>
      </c>
      <c r="R432" s="129">
        <v>156.19200000000001</v>
      </c>
    </row>
    <row r="433" spans="1:18" ht="15">
      <c r="A433" s="141"/>
      <c r="B433" s="141"/>
      <c r="C433" s="141"/>
      <c r="D433" s="141"/>
      <c r="E433" s="301" t="s">
        <v>791</v>
      </c>
      <c r="F433" s="299">
        <v>0.76493526700000003</v>
      </c>
      <c r="G433" s="129">
        <v>132.44880000000001</v>
      </c>
      <c r="H433" s="129">
        <v>132.44880000000001</v>
      </c>
      <c r="I433" s="129">
        <v>132.96250000000001</v>
      </c>
      <c r="J433" s="129">
        <v>134.45869999999999</v>
      </c>
      <c r="K433" s="129">
        <v>134.45869999999999</v>
      </c>
      <c r="L433" s="129">
        <v>134.4992</v>
      </c>
      <c r="M433" s="129">
        <v>134.61259999999999</v>
      </c>
      <c r="N433" s="129">
        <v>135.48390000000001</v>
      </c>
      <c r="O433" s="129">
        <v>135.48390000000001</v>
      </c>
      <c r="P433" s="129">
        <v>135.48390000000001</v>
      </c>
      <c r="Q433" s="129">
        <v>135.48390000000001</v>
      </c>
      <c r="R433" s="129">
        <v>135.48390000000001</v>
      </c>
    </row>
    <row r="434" spans="1:18" ht="15">
      <c r="A434" s="141"/>
      <c r="B434" s="141"/>
      <c r="C434" s="141"/>
      <c r="D434" s="141"/>
      <c r="E434" s="301" t="s">
        <v>792</v>
      </c>
      <c r="F434" s="299">
        <v>0.45268428399999999</v>
      </c>
      <c r="G434" s="129">
        <v>134.8494</v>
      </c>
      <c r="H434" s="129">
        <v>134.7775</v>
      </c>
      <c r="I434" s="129">
        <v>135.44489999999999</v>
      </c>
      <c r="J434" s="129">
        <v>134.97819999999999</v>
      </c>
      <c r="K434" s="129">
        <v>134.66759999999999</v>
      </c>
      <c r="L434" s="129">
        <v>134.1865</v>
      </c>
      <c r="M434" s="129">
        <v>134.03620000000001</v>
      </c>
      <c r="N434" s="129">
        <v>135.2851</v>
      </c>
      <c r="O434" s="129">
        <v>134.75069999999999</v>
      </c>
      <c r="P434" s="129">
        <v>137.5147</v>
      </c>
      <c r="Q434" s="129">
        <v>137.2379</v>
      </c>
      <c r="R434" s="129">
        <v>138.773</v>
      </c>
    </row>
    <row r="435" spans="1:18" ht="15">
      <c r="A435" s="141"/>
      <c r="B435" s="141"/>
      <c r="C435" s="141"/>
      <c r="D435" s="141"/>
      <c r="E435" s="301" t="s">
        <v>793</v>
      </c>
      <c r="F435" s="299">
        <v>0.11433879700000001</v>
      </c>
      <c r="G435" s="129">
        <v>180.75</v>
      </c>
      <c r="H435" s="129">
        <v>180.75</v>
      </c>
      <c r="I435" s="129">
        <v>180.75</v>
      </c>
      <c r="J435" s="129">
        <v>180.75</v>
      </c>
      <c r="K435" s="129">
        <v>180.75</v>
      </c>
      <c r="L435" s="129">
        <v>180.75</v>
      </c>
      <c r="M435" s="129">
        <v>180.75</v>
      </c>
      <c r="N435" s="129">
        <v>193.4443</v>
      </c>
      <c r="O435" s="129">
        <v>194.23330000000001</v>
      </c>
      <c r="P435" s="129">
        <v>194.23330000000001</v>
      </c>
      <c r="Q435" s="129">
        <v>194.23330000000001</v>
      </c>
      <c r="R435" s="129">
        <v>194.23330000000001</v>
      </c>
    </row>
    <row r="436" spans="1:18" ht="15">
      <c r="A436" s="141"/>
      <c r="B436" s="141"/>
      <c r="C436" s="141"/>
      <c r="D436" s="141"/>
      <c r="E436" s="301" t="s">
        <v>794</v>
      </c>
      <c r="F436" s="299">
        <v>0.104134668</v>
      </c>
      <c r="G436" s="129">
        <v>100</v>
      </c>
      <c r="H436" s="129">
        <v>100</v>
      </c>
      <c r="I436" s="129">
        <v>100</v>
      </c>
      <c r="J436" s="129">
        <v>100</v>
      </c>
      <c r="K436" s="129">
        <v>100</v>
      </c>
      <c r="L436" s="129">
        <v>100</v>
      </c>
      <c r="M436" s="129">
        <v>100</v>
      </c>
      <c r="N436" s="129">
        <v>100</v>
      </c>
      <c r="O436" s="129">
        <v>100</v>
      </c>
      <c r="P436" s="129">
        <v>100</v>
      </c>
      <c r="Q436" s="129">
        <v>100</v>
      </c>
      <c r="R436" s="129">
        <v>100</v>
      </c>
    </row>
    <row r="437" spans="1:18" ht="15">
      <c r="A437" s="141"/>
      <c r="B437" s="141"/>
      <c r="C437" s="141"/>
      <c r="D437" s="141" t="s">
        <v>795</v>
      </c>
      <c r="E437" s="301"/>
      <c r="F437" s="299">
        <v>0.95382244000000005</v>
      </c>
      <c r="G437" s="129">
        <v>120.42230000000001</v>
      </c>
      <c r="H437" s="129">
        <v>120.4337</v>
      </c>
      <c r="I437" s="129">
        <v>121.1789</v>
      </c>
      <c r="J437" s="129">
        <v>122.015</v>
      </c>
      <c r="K437" s="129">
        <v>122.7266</v>
      </c>
      <c r="L437" s="129">
        <v>123.3057</v>
      </c>
      <c r="M437" s="129">
        <v>123.32810000000001</v>
      </c>
      <c r="N437" s="129">
        <v>123.52079999999999</v>
      </c>
      <c r="O437" s="129">
        <v>123.6635</v>
      </c>
      <c r="P437" s="129">
        <v>123.6635</v>
      </c>
      <c r="Q437" s="129">
        <v>123.74590000000001</v>
      </c>
      <c r="R437" s="129">
        <v>123.8061</v>
      </c>
    </row>
    <row r="438" spans="1:18" ht="15">
      <c r="A438" s="141"/>
      <c r="B438" s="141"/>
      <c r="C438" s="141"/>
      <c r="D438" s="141"/>
      <c r="E438" s="301" t="s">
        <v>796</v>
      </c>
      <c r="F438" s="299">
        <v>0.79336087300000002</v>
      </c>
      <c r="G438" s="129">
        <v>118.9495</v>
      </c>
      <c r="H438" s="129">
        <v>118.9495</v>
      </c>
      <c r="I438" s="129">
        <v>119.8454</v>
      </c>
      <c r="J438" s="129">
        <v>120.8505</v>
      </c>
      <c r="K438" s="129">
        <v>121.70610000000001</v>
      </c>
      <c r="L438" s="129">
        <v>122.4023</v>
      </c>
      <c r="M438" s="129">
        <v>122.42919999999999</v>
      </c>
      <c r="N438" s="129">
        <v>122.6609</v>
      </c>
      <c r="O438" s="129">
        <v>122.8325</v>
      </c>
      <c r="P438" s="129">
        <v>122.8325</v>
      </c>
      <c r="Q438" s="129">
        <v>122.9316</v>
      </c>
      <c r="R438" s="129">
        <v>122.9316</v>
      </c>
    </row>
    <row r="439" spans="1:18" ht="15">
      <c r="A439" s="141"/>
      <c r="B439" s="141"/>
      <c r="C439" s="141"/>
      <c r="D439" s="141"/>
      <c r="E439" s="301" t="s">
        <v>797</v>
      </c>
      <c r="F439" s="299">
        <v>9.8806794000000003E-2</v>
      </c>
      <c r="G439" s="129">
        <v>136.1464</v>
      </c>
      <c r="H439" s="129">
        <v>136.25640000000001</v>
      </c>
      <c r="I439" s="129">
        <v>136.25640000000001</v>
      </c>
      <c r="J439" s="129">
        <v>136.25640000000001</v>
      </c>
      <c r="K439" s="129">
        <v>136.25640000000001</v>
      </c>
      <c r="L439" s="129">
        <v>136.25640000000001</v>
      </c>
      <c r="M439" s="129">
        <v>136.25640000000001</v>
      </c>
      <c r="N439" s="129">
        <v>136.25640000000001</v>
      </c>
      <c r="O439" s="129">
        <v>136.25640000000001</v>
      </c>
      <c r="P439" s="129">
        <v>136.25640000000001</v>
      </c>
      <c r="Q439" s="129">
        <v>136.25640000000001</v>
      </c>
      <c r="R439" s="129">
        <v>136.25640000000001</v>
      </c>
    </row>
    <row r="440" spans="1:18" ht="15">
      <c r="A440" s="141"/>
      <c r="B440" s="141"/>
      <c r="C440" s="141"/>
      <c r="D440" s="141"/>
      <c r="E440" s="301" t="s">
        <v>798</v>
      </c>
      <c r="F440" s="299">
        <v>6.1654773000000003E-2</v>
      </c>
      <c r="G440" s="129">
        <v>114.1754</v>
      </c>
      <c r="H440" s="129">
        <v>114.1754</v>
      </c>
      <c r="I440" s="129">
        <v>114.1754</v>
      </c>
      <c r="J440" s="129">
        <v>114.1754</v>
      </c>
      <c r="K440" s="129">
        <v>114.1754</v>
      </c>
      <c r="L440" s="129">
        <v>114.1754</v>
      </c>
      <c r="M440" s="129">
        <v>114.1754</v>
      </c>
      <c r="N440" s="129">
        <v>114.1754</v>
      </c>
      <c r="O440" s="129">
        <v>114.1754</v>
      </c>
      <c r="P440" s="129">
        <v>114.1754</v>
      </c>
      <c r="Q440" s="129">
        <v>114.1754</v>
      </c>
      <c r="R440" s="129">
        <v>115.10680000000001</v>
      </c>
    </row>
    <row r="441" spans="1:18" ht="15">
      <c r="A441" s="141"/>
      <c r="B441" s="141"/>
      <c r="C441" s="141" t="s">
        <v>799</v>
      </c>
      <c r="D441" s="141"/>
      <c r="E441" s="301"/>
      <c r="F441" s="299">
        <v>0.27735740599999997</v>
      </c>
      <c r="G441" s="129">
        <v>116.7882</v>
      </c>
      <c r="H441" s="129">
        <v>122.8224</v>
      </c>
      <c r="I441" s="129">
        <v>136.43350000000001</v>
      </c>
      <c r="J441" s="129">
        <v>134.00550000000001</v>
      </c>
      <c r="K441" s="129">
        <v>135.86920000000001</v>
      </c>
      <c r="L441" s="129">
        <v>149.1379</v>
      </c>
      <c r="M441" s="129">
        <v>144.73650000000001</v>
      </c>
      <c r="N441" s="129">
        <v>134.30250000000001</v>
      </c>
      <c r="O441" s="129">
        <v>111.4676</v>
      </c>
      <c r="P441" s="129">
        <v>117.55</v>
      </c>
      <c r="Q441" s="129">
        <v>172.77019999999999</v>
      </c>
      <c r="R441" s="129">
        <v>186.99690000000001</v>
      </c>
    </row>
    <row r="442" spans="1:18" ht="15">
      <c r="A442" s="141"/>
      <c r="B442" s="141"/>
      <c r="C442" s="141"/>
      <c r="D442" s="141" t="s">
        <v>800</v>
      </c>
      <c r="E442" s="301"/>
      <c r="F442" s="299">
        <v>0.27735740599999997</v>
      </c>
      <c r="G442" s="129">
        <v>116.7882</v>
      </c>
      <c r="H442" s="129">
        <v>122.8224</v>
      </c>
      <c r="I442" s="129">
        <v>136.43350000000001</v>
      </c>
      <c r="J442" s="129">
        <v>134.00550000000001</v>
      </c>
      <c r="K442" s="129">
        <v>135.86920000000001</v>
      </c>
      <c r="L442" s="129">
        <v>149.1379</v>
      </c>
      <c r="M442" s="129">
        <v>144.73650000000001</v>
      </c>
      <c r="N442" s="129">
        <v>134.30250000000001</v>
      </c>
      <c r="O442" s="129">
        <v>111.4676</v>
      </c>
      <c r="P442" s="129">
        <v>117.55</v>
      </c>
      <c r="Q442" s="129">
        <v>172.77019999999999</v>
      </c>
      <c r="R442" s="129">
        <v>186.99690000000001</v>
      </c>
    </row>
    <row r="443" spans="1:18" ht="15">
      <c r="A443" s="141"/>
      <c r="B443" s="141"/>
      <c r="C443" s="141"/>
      <c r="D443" s="141"/>
      <c r="E443" s="301" t="s">
        <v>801</v>
      </c>
      <c r="F443" s="299">
        <v>0.27735740599999997</v>
      </c>
      <c r="G443" s="129">
        <v>116.7882</v>
      </c>
      <c r="H443" s="129">
        <v>122.8224</v>
      </c>
      <c r="I443" s="129">
        <v>136.43350000000001</v>
      </c>
      <c r="J443" s="129">
        <v>134.00550000000001</v>
      </c>
      <c r="K443" s="129">
        <v>135.86920000000001</v>
      </c>
      <c r="L443" s="129">
        <v>149.1379</v>
      </c>
      <c r="M443" s="129">
        <v>144.73650000000001</v>
      </c>
      <c r="N443" s="129">
        <v>134.30250000000001</v>
      </c>
      <c r="O443" s="129">
        <v>111.4676</v>
      </c>
      <c r="P443" s="129">
        <v>117.55</v>
      </c>
      <c r="Q443" s="129">
        <v>172.77019999999999</v>
      </c>
      <c r="R443" s="129">
        <v>186.99690000000001</v>
      </c>
    </row>
    <row r="444" spans="1:18" ht="15">
      <c r="A444" s="141" t="s">
        <v>802</v>
      </c>
      <c r="B444" s="141"/>
      <c r="C444" s="141"/>
      <c r="D444" s="141"/>
      <c r="E444" s="301"/>
      <c r="F444" s="299">
        <v>5.0611789700000003</v>
      </c>
      <c r="G444" s="129">
        <v>97.689599999999999</v>
      </c>
      <c r="H444" s="129">
        <v>97.830399999999997</v>
      </c>
      <c r="I444" s="129">
        <v>99.201599999999999</v>
      </c>
      <c r="J444" s="129">
        <v>98.471800000000002</v>
      </c>
      <c r="K444" s="129">
        <v>98.449399999999997</v>
      </c>
      <c r="L444" s="129">
        <v>98.488100000000003</v>
      </c>
      <c r="M444" s="129">
        <v>98.736999999999995</v>
      </c>
      <c r="N444" s="129">
        <v>99.778300000000002</v>
      </c>
      <c r="O444" s="129">
        <v>99.334800000000001</v>
      </c>
      <c r="P444" s="129">
        <v>99.689800000000005</v>
      </c>
      <c r="Q444" s="129">
        <v>98.213899999999995</v>
      </c>
      <c r="R444" s="129">
        <v>98.292000000000002</v>
      </c>
    </row>
    <row r="445" spans="1:18" ht="15">
      <c r="A445" s="141"/>
      <c r="B445" s="141" t="s">
        <v>803</v>
      </c>
      <c r="C445" s="141"/>
      <c r="D445" s="141"/>
      <c r="E445" s="301"/>
      <c r="F445" s="299">
        <v>0.221632303</v>
      </c>
      <c r="G445" s="129">
        <v>92.805599999999998</v>
      </c>
      <c r="H445" s="129">
        <v>92.770300000000006</v>
      </c>
      <c r="I445" s="129">
        <v>93.238699999999994</v>
      </c>
      <c r="J445" s="129">
        <v>91.372600000000006</v>
      </c>
      <c r="K445" s="129">
        <v>91.781499999999994</v>
      </c>
      <c r="L445" s="129">
        <v>91.537099999999995</v>
      </c>
      <c r="M445" s="129">
        <v>91.599299999999999</v>
      </c>
      <c r="N445" s="129">
        <v>92.161799999999999</v>
      </c>
      <c r="O445" s="129">
        <v>91.463800000000006</v>
      </c>
      <c r="P445" s="129">
        <v>92.725300000000004</v>
      </c>
      <c r="Q445" s="129">
        <v>92.641000000000005</v>
      </c>
      <c r="R445" s="129">
        <v>94.139700000000005</v>
      </c>
    </row>
    <row r="446" spans="1:18" ht="15">
      <c r="A446" s="141"/>
      <c r="B446" s="141"/>
      <c r="C446" s="141" t="s">
        <v>804</v>
      </c>
      <c r="D446" s="141"/>
      <c r="E446" s="301"/>
      <c r="F446" s="299">
        <v>0.221632303</v>
      </c>
      <c r="G446" s="129">
        <v>92.805599999999998</v>
      </c>
      <c r="H446" s="129">
        <v>92.770300000000006</v>
      </c>
      <c r="I446" s="129">
        <v>93.238699999999994</v>
      </c>
      <c r="J446" s="129">
        <v>91.372600000000006</v>
      </c>
      <c r="K446" s="129">
        <v>91.781499999999994</v>
      </c>
      <c r="L446" s="129">
        <v>91.537099999999995</v>
      </c>
      <c r="M446" s="129">
        <v>91.599299999999999</v>
      </c>
      <c r="N446" s="129">
        <v>92.161799999999999</v>
      </c>
      <c r="O446" s="129">
        <v>91.463800000000006</v>
      </c>
      <c r="P446" s="129">
        <v>92.725300000000004</v>
      </c>
      <c r="Q446" s="129">
        <v>92.641000000000005</v>
      </c>
      <c r="R446" s="129">
        <v>94.139700000000005</v>
      </c>
    </row>
    <row r="447" spans="1:18" ht="15">
      <c r="A447" s="141"/>
      <c r="B447" s="141"/>
      <c r="C447" s="141"/>
      <c r="D447" s="141" t="s">
        <v>805</v>
      </c>
      <c r="E447" s="301"/>
      <c r="F447" s="299">
        <v>0.221632303</v>
      </c>
      <c r="G447" s="129">
        <v>92.805599999999998</v>
      </c>
      <c r="H447" s="129">
        <v>92.770300000000006</v>
      </c>
      <c r="I447" s="129">
        <v>93.238699999999994</v>
      </c>
      <c r="J447" s="129">
        <v>91.372600000000006</v>
      </c>
      <c r="K447" s="129">
        <v>91.781499999999994</v>
      </c>
      <c r="L447" s="129">
        <v>91.537099999999995</v>
      </c>
      <c r="M447" s="129">
        <v>91.599299999999999</v>
      </c>
      <c r="N447" s="129">
        <v>92.161799999999999</v>
      </c>
      <c r="O447" s="129">
        <v>91.463800000000006</v>
      </c>
      <c r="P447" s="129">
        <v>92.725300000000004</v>
      </c>
      <c r="Q447" s="129">
        <v>92.641000000000005</v>
      </c>
      <c r="R447" s="129">
        <v>94.139700000000005</v>
      </c>
    </row>
    <row r="448" spans="1:18" ht="15">
      <c r="A448" s="141"/>
      <c r="B448" s="141"/>
      <c r="C448" s="141"/>
      <c r="D448" s="141"/>
      <c r="E448" s="301" t="s">
        <v>806</v>
      </c>
      <c r="F448" s="281">
        <v>0.221632303</v>
      </c>
      <c r="G448" s="129">
        <v>92.805599999999998</v>
      </c>
      <c r="H448" s="129">
        <v>92.770300000000006</v>
      </c>
      <c r="I448" s="129">
        <v>93.238699999999994</v>
      </c>
      <c r="J448" s="129">
        <v>91.372600000000006</v>
      </c>
      <c r="K448" s="129">
        <v>91.781499999999994</v>
      </c>
      <c r="L448" s="129">
        <v>91.537099999999995</v>
      </c>
      <c r="M448" s="129">
        <v>91.599299999999999</v>
      </c>
      <c r="N448" s="129">
        <v>92.161799999999999</v>
      </c>
      <c r="O448" s="129">
        <v>91.463800000000006</v>
      </c>
      <c r="P448" s="129">
        <v>92.725300000000004</v>
      </c>
      <c r="Q448" s="129">
        <v>92.641000000000005</v>
      </c>
      <c r="R448" s="129">
        <v>94.139700000000005</v>
      </c>
    </row>
    <row r="449" spans="1:18" ht="15">
      <c r="A449" s="141"/>
      <c r="B449" s="141" t="s">
        <v>807</v>
      </c>
      <c r="C449" s="141"/>
      <c r="D449" s="141"/>
      <c r="E449" s="301"/>
      <c r="F449" s="299">
        <v>4.8395466599999999</v>
      </c>
      <c r="G449" s="129">
        <v>97.913300000000007</v>
      </c>
      <c r="H449" s="129">
        <v>98.062100000000001</v>
      </c>
      <c r="I449" s="129">
        <v>99.474599999999995</v>
      </c>
      <c r="J449" s="129">
        <v>98.796899999999994</v>
      </c>
      <c r="K449" s="129">
        <v>98.754800000000003</v>
      </c>
      <c r="L449" s="129">
        <v>98.806399999999996</v>
      </c>
      <c r="M449" s="129">
        <v>99.063900000000004</v>
      </c>
      <c r="N449" s="129">
        <v>100.1271</v>
      </c>
      <c r="O449" s="129">
        <v>99.695300000000003</v>
      </c>
      <c r="P449" s="129">
        <v>100.00879999999999</v>
      </c>
      <c r="Q449" s="129">
        <v>98.469099999999997</v>
      </c>
      <c r="R449" s="129">
        <v>98.482200000000006</v>
      </c>
    </row>
    <row r="450" spans="1:18" ht="15">
      <c r="A450" s="141"/>
      <c r="B450" s="141"/>
      <c r="C450" s="141" t="s">
        <v>808</v>
      </c>
      <c r="D450" s="141"/>
      <c r="E450" s="301"/>
      <c r="F450" s="299">
        <v>4.8395466599999999</v>
      </c>
      <c r="G450" s="129">
        <v>97.913300000000007</v>
      </c>
      <c r="H450" s="129">
        <v>98.062100000000001</v>
      </c>
      <c r="I450" s="129">
        <v>99.474599999999995</v>
      </c>
      <c r="J450" s="129">
        <v>98.796899999999994</v>
      </c>
      <c r="K450" s="129">
        <v>98.754800000000003</v>
      </c>
      <c r="L450" s="129">
        <v>98.806399999999996</v>
      </c>
      <c r="M450" s="129">
        <v>99.063900000000004</v>
      </c>
      <c r="N450" s="129">
        <v>100.1271</v>
      </c>
      <c r="O450" s="129">
        <v>99.695300000000003</v>
      </c>
      <c r="P450" s="129">
        <v>100.00879999999999</v>
      </c>
      <c r="Q450" s="129">
        <v>98.469099999999997</v>
      </c>
      <c r="R450" s="129">
        <v>98.482200000000006</v>
      </c>
    </row>
    <row r="451" spans="1:18" ht="15">
      <c r="A451" s="141"/>
      <c r="B451" s="141"/>
      <c r="C451" s="141"/>
      <c r="D451" s="141" t="s">
        <v>809</v>
      </c>
      <c r="E451" s="301"/>
      <c r="F451" s="299">
        <v>2.0311039000000002</v>
      </c>
      <c r="G451" s="129">
        <v>94.314700000000002</v>
      </c>
      <c r="H451" s="129">
        <v>94.669399999999996</v>
      </c>
      <c r="I451" s="129">
        <v>98.0351</v>
      </c>
      <c r="J451" s="129">
        <v>96.420199999999994</v>
      </c>
      <c r="K451" s="129">
        <v>96.319800000000001</v>
      </c>
      <c r="L451" s="129">
        <v>96.442999999999998</v>
      </c>
      <c r="M451" s="129">
        <v>97.056299999999993</v>
      </c>
      <c r="N451" s="129">
        <v>99.589600000000004</v>
      </c>
      <c r="O451" s="129">
        <v>99.166899999999998</v>
      </c>
      <c r="P451" s="129">
        <v>99.913799999999995</v>
      </c>
      <c r="Q451" s="129">
        <v>99.595399999999998</v>
      </c>
      <c r="R451" s="129">
        <v>99.626499999999993</v>
      </c>
    </row>
    <row r="452" spans="1:18" ht="15">
      <c r="A452" s="141"/>
      <c r="B452" s="141"/>
      <c r="C452" s="141"/>
      <c r="D452" s="141"/>
      <c r="E452" s="301" t="s">
        <v>810</v>
      </c>
      <c r="F452" s="299">
        <v>0.165087122</v>
      </c>
      <c r="G452" s="129">
        <v>100.0412</v>
      </c>
      <c r="H452" s="129">
        <v>100.0412</v>
      </c>
      <c r="I452" s="129">
        <v>100.0412</v>
      </c>
      <c r="J452" s="129">
        <v>100.0412</v>
      </c>
      <c r="K452" s="129">
        <v>100.0412</v>
      </c>
      <c r="L452" s="129">
        <v>100.0412</v>
      </c>
      <c r="M452" s="129">
        <v>100.0412</v>
      </c>
      <c r="N452" s="129">
        <v>100.0412</v>
      </c>
      <c r="O452" s="129">
        <v>100.0412</v>
      </c>
      <c r="P452" s="129">
        <v>100.0412</v>
      </c>
      <c r="Q452" s="129">
        <v>100.0412</v>
      </c>
      <c r="R452" s="129">
        <v>100.0412</v>
      </c>
    </row>
    <row r="453" spans="1:18" ht="15">
      <c r="A453" s="141"/>
      <c r="B453" s="141"/>
      <c r="C453" s="141"/>
      <c r="D453" s="141"/>
      <c r="E453" s="301" t="s">
        <v>811</v>
      </c>
      <c r="F453" s="299">
        <v>0.19519412799999999</v>
      </c>
      <c r="G453" s="129">
        <v>90.117900000000006</v>
      </c>
      <c r="H453" s="129">
        <v>90.117900000000006</v>
      </c>
      <c r="I453" s="129">
        <v>90.117900000000006</v>
      </c>
      <c r="J453" s="129">
        <v>90.117900000000006</v>
      </c>
      <c r="K453" s="129">
        <v>90.117900000000006</v>
      </c>
      <c r="L453" s="129">
        <v>90.117900000000006</v>
      </c>
      <c r="M453" s="129">
        <v>90.117900000000006</v>
      </c>
      <c r="N453" s="129">
        <v>90.117900000000006</v>
      </c>
      <c r="O453" s="129">
        <v>87.594800000000006</v>
      </c>
      <c r="P453" s="129">
        <v>87.110399999999998</v>
      </c>
      <c r="Q453" s="129">
        <v>87.110399999999998</v>
      </c>
      <c r="R453" s="129">
        <v>87.110399999999998</v>
      </c>
    </row>
    <row r="454" spans="1:18" ht="15">
      <c r="A454" s="141"/>
      <c r="B454" s="141"/>
      <c r="C454" s="141"/>
      <c r="D454" s="141"/>
      <c r="E454" s="301" t="s">
        <v>812</v>
      </c>
      <c r="F454" s="299">
        <v>1.6708226500000001</v>
      </c>
      <c r="G454" s="129">
        <v>94.239199999999997</v>
      </c>
      <c r="H454" s="129">
        <v>94.670299999999997</v>
      </c>
      <c r="I454" s="129">
        <v>98.761799999999994</v>
      </c>
      <c r="J454" s="129">
        <v>96.798699999999997</v>
      </c>
      <c r="K454" s="129">
        <v>96.676599999999993</v>
      </c>
      <c r="L454" s="129">
        <v>96.826400000000007</v>
      </c>
      <c r="M454" s="129">
        <v>97.572000000000003</v>
      </c>
      <c r="N454" s="129">
        <v>100.6515</v>
      </c>
      <c r="O454" s="129">
        <v>100.4324</v>
      </c>
      <c r="P454" s="129">
        <v>101.3969</v>
      </c>
      <c r="Q454" s="129">
        <v>101.0099</v>
      </c>
      <c r="R454" s="129">
        <v>101.04770000000001</v>
      </c>
    </row>
    <row r="455" spans="1:18" ht="15">
      <c r="A455" s="141"/>
      <c r="B455" s="141"/>
      <c r="C455" s="141"/>
      <c r="D455" s="141" t="s">
        <v>813</v>
      </c>
      <c r="E455" s="301"/>
      <c r="F455" s="299">
        <v>2.8084427700000001</v>
      </c>
      <c r="G455" s="129">
        <v>100.5157</v>
      </c>
      <c r="H455" s="129">
        <v>100.5157</v>
      </c>
      <c r="I455" s="129">
        <v>100.5157</v>
      </c>
      <c r="J455" s="129">
        <v>100.5157</v>
      </c>
      <c r="K455" s="129">
        <v>100.5157</v>
      </c>
      <c r="L455" s="129">
        <v>100.5157</v>
      </c>
      <c r="M455" s="129">
        <v>100.5157</v>
      </c>
      <c r="N455" s="129">
        <v>100.5157</v>
      </c>
      <c r="O455" s="129">
        <v>100.0775</v>
      </c>
      <c r="P455" s="129">
        <v>100.0775</v>
      </c>
      <c r="Q455" s="129">
        <v>97.654600000000002</v>
      </c>
      <c r="R455" s="129">
        <v>97.654600000000002</v>
      </c>
    </row>
    <row r="456" spans="1:18" ht="15">
      <c r="A456" s="141"/>
      <c r="B456" s="141"/>
      <c r="C456" s="141"/>
      <c r="D456" s="141"/>
      <c r="E456" s="301" t="s">
        <v>814</v>
      </c>
      <c r="F456" s="299">
        <v>2.8084427700000001</v>
      </c>
      <c r="G456" s="129">
        <v>100.5157</v>
      </c>
      <c r="H456" s="129">
        <v>100.5157</v>
      </c>
      <c r="I456" s="129">
        <v>100.5157</v>
      </c>
      <c r="J456" s="129">
        <v>100.5157</v>
      </c>
      <c r="K456" s="129">
        <v>100.5157</v>
      </c>
      <c r="L456" s="129">
        <v>100.5157</v>
      </c>
      <c r="M456" s="129">
        <v>100.5157</v>
      </c>
      <c r="N456" s="129">
        <v>100.5157</v>
      </c>
      <c r="O456" s="129">
        <v>100.0775</v>
      </c>
      <c r="P456" s="129">
        <v>100.0775</v>
      </c>
      <c r="Q456" s="129">
        <v>97.654600000000002</v>
      </c>
      <c r="R456" s="129">
        <v>97.654600000000002</v>
      </c>
    </row>
    <row r="457" spans="1:18" ht="15">
      <c r="A457" s="141" t="s">
        <v>815</v>
      </c>
      <c r="B457" s="141"/>
      <c r="C457" s="141"/>
      <c r="D457" s="141"/>
      <c r="E457" s="301"/>
      <c r="F457" s="299">
        <v>3.0303016</v>
      </c>
      <c r="G457" s="129">
        <v>118.93129999999999</v>
      </c>
      <c r="H457" s="129">
        <v>119.497</v>
      </c>
      <c r="I457" s="129">
        <v>119.72110000000001</v>
      </c>
      <c r="J457" s="129">
        <v>120.1027</v>
      </c>
      <c r="K457" s="129">
        <v>118.6045</v>
      </c>
      <c r="L457" s="129">
        <v>119.1292</v>
      </c>
      <c r="M457" s="129">
        <v>119.5479</v>
      </c>
      <c r="N457" s="129">
        <v>119.74379999999999</v>
      </c>
      <c r="O457" s="129">
        <v>118.98480000000001</v>
      </c>
      <c r="P457" s="129">
        <v>119.1215</v>
      </c>
      <c r="Q457" s="129">
        <v>119.44880000000001</v>
      </c>
      <c r="R457" s="129">
        <v>121.4089</v>
      </c>
    </row>
    <row r="458" spans="1:18" ht="15">
      <c r="A458" s="141"/>
      <c r="B458" s="141" t="s">
        <v>816</v>
      </c>
      <c r="C458" s="141"/>
      <c r="D458" s="141"/>
      <c r="E458" s="301"/>
      <c r="F458" s="299">
        <v>0.320875994</v>
      </c>
      <c r="G458" s="129">
        <v>100.9667</v>
      </c>
      <c r="H458" s="129">
        <v>101.3167</v>
      </c>
      <c r="I458" s="129">
        <v>101.3103</v>
      </c>
      <c r="J458" s="129">
        <v>101.166</v>
      </c>
      <c r="K458" s="129">
        <v>99.951300000000003</v>
      </c>
      <c r="L458" s="129">
        <v>100.2949</v>
      </c>
      <c r="M458" s="129">
        <v>99.303399999999996</v>
      </c>
      <c r="N458" s="129">
        <v>98.973299999999995</v>
      </c>
      <c r="O458" s="129">
        <v>98.595399999999998</v>
      </c>
      <c r="P458" s="129">
        <v>98.290499999999994</v>
      </c>
      <c r="Q458" s="129">
        <v>96.356099999999998</v>
      </c>
      <c r="R458" s="129">
        <v>97.277699999999996</v>
      </c>
    </row>
    <row r="459" spans="1:18" ht="15" customHeight="1">
      <c r="A459" s="141"/>
      <c r="B459" s="141"/>
      <c r="C459" s="141" t="s">
        <v>817</v>
      </c>
      <c r="D459" s="141"/>
      <c r="E459" s="301"/>
      <c r="F459" s="299">
        <v>0.23513193199999999</v>
      </c>
      <c r="G459" s="129">
        <v>97.302700000000002</v>
      </c>
      <c r="H459" s="129">
        <v>97.407499999999999</v>
      </c>
      <c r="I459" s="129">
        <v>97.433300000000003</v>
      </c>
      <c r="J459" s="129">
        <v>97.070300000000003</v>
      </c>
      <c r="K459" s="129">
        <v>95.980199999999996</v>
      </c>
      <c r="L459" s="129">
        <v>96.515600000000006</v>
      </c>
      <c r="M459" s="129">
        <v>95.179599999999994</v>
      </c>
      <c r="N459" s="129">
        <v>94.944900000000004</v>
      </c>
      <c r="O459" s="129">
        <v>93.883399999999995</v>
      </c>
      <c r="P459" s="129">
        <v>93.2928</v>
      </c>
      <c r="Q459" s="129">
        <v>90.618700000000004</v>
      </c>
      <c r="R459" s="129">
        <v>91.854500000000002</v>
      </c>
    </row>
    <row r="460" spans="1:18" ht="15">
      <c r="A460" s="141"/>
      <c r="B460" s="141"/>
      <c r="C460" s="141"/>
      <c r="D460" s="141" t="s">
        <v>818</v>
      </c>
      <c r="E460" s="301"/>
      <c r="F460" s="299">
        <v>0.23513193199999999</v>
      </c>
      <c r="G460" s="129">
        <v>97.302700000000002</v>
      </c>
      <c r="H460" s="129">
        <v>97.407499999999999</v>
      </c>
      <c r="I460" s="129">
        <v>97.433300000000003</v>
      </c>
      <c r="J460" s="129">
        <v>97.070300000000003</v>
      </c>
      <c r="K460" s="129">
        <v>95.980199999999996</v>
      </c>
      <c r="L460" s="129">
        <v>96.515600000000006</v>
      </c>
      <c r="M460" s="129">
        <v>95.179599999999994</v>
      </c>
      <c r="N460" s="129">
        <v>94.944900000000004</v>
      </c>
      <c r="O460" s="129">
        <v>93.883399999999995</v>
      </c>
      <c r="P460" s="129">
        <v>93.2928</v>
      </c>
      <c r="Q460" s="129">
        <v>90.618700000000004</v>
      </c>
      <c r="R460" s="129">
        <v>91.854500000000002</v>
      </c>
    </row>
    <row r="461" spans="1:18" ht="15">
      <c r="A461" s="141"/>
      <c r="B461" s="141"/>
      <c r="C461" s="141"/>
      <c r="D461" s="141"/>
      <c r="E461" s="301" t="s">
        <v>819</v>
      </c>
      <c r="F461" s="299">
        <v>0.209682493</v>
      </c>
      <c r="G461" s="129">
        <v>96.71</v>
      </c>
      <c r="H461" s="129">
        <v>96.833799999999997</v>
      </c>
      <c r="I461" s="129">
        <v>96.873199999999997</v>
      </c>
      <c r="J461" s="129">
        <v>96.464399999999998</v>
      </c>
      <c r="K461" s="129">
        <v>95.297399999999996</v>
      </c>
      <c r="L461" s="129">
        <v>95.9054</v>
      </c>
      <c r="M461" s="129">
        <v>94.439800000000005</v>
      </c>
      <c r="N461" s="129">
        <v>94.150999999999996</v>
      </c>
      <c r="O461" s="129">
        <v>93.052099999999996</v>
      </c>
      <c r="P461" s="129">
        <v>92.405500000000004</v>
      </c>
      <c r="Q461" s="129">
        <v>89.518699999999995</v>
      </c>
      <c r="R461" s="129">
        <v>90.795400000000001</v>
      </c>
    </row>
    <row r="462" spans="1:18" ht="15">
      <c r="A462" s="141"/>
      <c r="B462" s="141"/>
      <c r="C462" s="141"/>
      <c r="D462" s="141"/>
      <c r="E462" s="301" t="s">
        <v>820</v>
      </c>
      <c r="F462" s="299">
        <v>2.5449438000000001E-2</v>
      </c>
      <c r="G462" s="129">
        <v>102.1859</v>
      </c>
      <c r="H462" s="129">
        <v>102.1343</v>
      </c>
      <c r="I462" s="129">
        <v>102.0487</v>
      </c>
      <c r="J462" s="129">
        <v>102.0621</v>
      </c>
      <c r="K462" s="129">
        <v>101.6057</v>
      </c>
      <c r="L462" s="129">
        <v>101.5433</v>
      </c>
      <c r="M462" s="129">
        <v>101.2743</v>
      </c>
      <c r="N462" s="129">
        <v>101.48560000000001</v>
      </c>
      <c r="O462" s="129">
        <v>100.7323</v>
      </c>
      <c r="P462" s="129">
        <v>100.60380000000001</v>
      </c>
      <c r="Q462" s="129">
        <v>99.682000000000002</v>
      </c>
      <c r="R462" s="129">
        <v>100.5808</v>
      </c>
    </row>
    <row r="463" spans="1:18" ht="15">
      <c r="A463" s="141"/>
      <c r="B463" s="141"/>
      <c r="C463" s="141" t="s">
        <v>821</v>
      </c>
      <c r="D463" s="141"/>
      <c r="E463" s="301"/>
      <c r="F463" s="299">
        <v>8.5744061999999996E-2</v>
      </c>
      <c r="G463" s="129">
        <v>111.0145</v>
      </c>
      <c r="H463" s="129">
        <v>112.0368</v>
      </c>
      <c r="I463" s="129">
        <v>111.9419</v>
      </c>
      <c r="J463" s="129">
        <v>112.39749999999999</v>
      </c>
      <c r="K463" s="129">
        <v>110.8411</v>
      </c>
      <c r="L463" s="129">
        <v>110.6589</v>
      </c>
      <c r="M463" s="129">
        <v>110.61199999999999</v>
      </c>
      <c r="N463" s="129">
        <v>110.0201</v>
      </c>
      <c r="O463" s="129">
        <v>111.51690000000001</v>
      </c>
      <c r="P463" s="129">
        <v>111.9954</v>
      </c>
      <c r="Q463" s="129">
        <v>112.0894</v>
      </c>
      <c r="R463" s="129">
        <v>112.1493</v>
      </c>
    </row>
    <row r="464" spans="1:18" ht="15">
      <c r="A464" s="141"/>
      <c r="B464" s="141"/>
      <c r="C464" s="141"/>
      <c r="D464" s="141" t="s">
        <v>822</v>
      </c>
      <c r="E464" s="301"/>
      <c r="F464" s="299">
        <v>8.5744061999999996E-2</v>
      </c>
      <c r="G464" s="129">
        <v>111.0145</v>
      </c>
      <c r="H464" s="129">
        <v>112.0368</v>
      </c>
      <c r="I464" s="129">
        <v>111.9419</v>
      </c>
      <c r="J464" s="129">
        <v>112.39749999999999</v>
      </c>
      <c r="K464" s="129">
        <v>110.8411</v>
      </c>
      <c r="L464" s="129">
        <v>110.6589</v>
      </c>
      <c r="M464" s="129">
        <v>110.61199999999999</v>
      </c>
      <c r="N464" s="129">
        <v>110.0201</v>
      </c>
      <c r="O464" s="129">
        <v>111.51690000000001</v>
      </c>
      <c r="P464" s="129">
        <v>111.9954</v>
      </c>
      <c r="Q464" s="129">
        <v>112.0894</v>
      </c>
      <c r="R464" s="129">
        <v>112.1493</v>
      </c>
    </row>
    <row r="465" spans="1:18" ht="15">
      <c r="A465" s="141"/>
      <c r="B465" s="141"/>
      <c r="C465" s="141"/>
      <c r="D465" s="141"/>
      <c r="E465" s="301" t="s">
        <v>823</v>
      </c>
      <c r="F465" s="300">
        <v>8.5744061999999996E-2</v>
      </c>
      <c r="G465" s="130">
        <v>111.0145</v>
      </c>
      <c r="H465" s="130">
        <v>112.0368</v>
      </c>
      <c r="I465" s="130">
        <v>111.9419</v>
      </c>
      <c r="J465" s="130">
        <v>112.39749999999999</v>
      </c>
      <c r="K465" s="130">
        <v>110.8411</v>
      </c>
      <c r="L465" s="130">
        <v>110.6589</v>
      </c>
      <c r="M465" s="130">
        <v>110.61199999999999</v>
      </c>
      <c r="N465" s="130">
        <v>110.0201</v>
      </c>
      <c r="O465" s="130">
        <v>111.51690000000001</v>
      </c>
      <c r="P465" s="130">
        <v>111.9954</v>
      </c>
      <c r="Q465" s="130">
        <v>112.0894</v>
      </c>
      <c r="R465" s="130">
        <v>112.1493</v>
      </c>
    </row>
    <row r="466" spans="1:18" ht="15">
      <c r="A466" s="141"/>
      <c r="B466" s="141" t="s">
        <v>824</v>
      </c>
      <c r="C466" s="141"/>
      <c r="D466" s="141"/>
      <c r="E466" s="301"/>
      <c r="F466" s="299">
        <v>0.234422204</v>
      </c>
      <c r="G466" s="129">
        <v>124.467</v>
      </c>
      <c r="H466" s="129">
        <v>125.25020000000001</v>
      </c>
      <c r="I466" s="129">
        <v>125.44240000000001</v>
      </c>
      <c r="J466" s="129">
        <v>125.634</v>
      </c>
      <c r="K466" s="129">
        <v>125.7497</v>
      </c>
      <c r="L466" s="129">
        <v>125.98609999999999</v>
      </c>
      <c r="M466" s="129">
        <v>126.2551</v>
      </c>
      <c r="N466" s="129">
        <v>126.20610000000001</v>
      </c>
      <c r="O466" s="129">
        <v>126.4259</v>
      </c>
      <c r="P466" s="134">
        <v>126.5172</v>
      </c>
      <c r="Q466" s="129">
        <v>126.57380000000001</v>
      </c>
      <c r="R466" s="129">
        <v>127.1527</v>
      </c>
    </row>
    <row r="467" spans="1:18" ht="15">
      <c r="A467" s="141"/>
      <c r="B467" s="141"/>
      <c r="C467" s="141" t="s">
        <v>825</v>
      </c>
      <c r="D467" s="141"/>
      <c r="E467" s="301"/>
      <c r="F467" s="299">
        <v>8.3218986999999994E-2</v>
      </c>
      <c r="G467" s="129">
        <v>102.2903</v>
      </c>
      <c r="H467" s="129">
        <v>102.99760000000001</v>
      </c>
      <c r="I467" s="129">
        <v>102.9123</v>
      </c>
      <c r="J467" s="129">
        <v>103.069</v>
      </c>
      <c r="K467" s="129">
        <v>102.94799999999999</v>
      </c>
      <c r="L467" s="129">
        <v>102.91119999999999</v>
      </c>
      <c r="M467" s="129">
        <v>102.8879</v>
      </c>
      <c r="N467" s="129">
        <v>103.0039</v>
      </c>
      <c r="O467" s="129">
        <v>103.0669</v>
      </c>
      <c r="P467" s="129">
        <v>102.5051</v>
      </c>
      <c r="Q467" s="129">
        <v>102.26</v>
      </c>
      <c r="R467" s="129">
        <v>102.8049</v>
      </c>
    </row>
    <row r="468" spans="1:18" ht="15">
      <c r="A468" s="141"/>
      <c r="B468" s="141"/>
      <c r="C468" s="141"/>
      <c r="D468" s="141" t="s">
        <v>826</v>
      </c>
      <c r="E468" s="301"/>
      <c r="F468" s="299">
        <v>8.3218986999999994E-2</v>
      </c>
      <c r="G468" s="129">
        <v>102.2903</v>
      </c>
      <c r="H468" s="129">
        <v>102.99760000000001</v>
      </c>
      <c r="I468" s="129">
        <v>102.9123</v>
      </c>
      <c r="J468" s="129">
        <v>103.069</v>
      </c>
      <c r="K468" s="129">
        <v>102.94799999999999</v>
      </c>
      <c r="L468" s="129">
        <v>102.91119999999999</v>
      </c>
      <c r="M468" s="129">
        <v>102.8879</v>
      </c>
      <c r="N468" s="129">
        <v>103.0039</v>
      </c>
      <c r="O468" s="129">
        <v>103.0669</v>
      </c>
      <c r="P468" s="129">
        <v>102.5051</v>
      </c>
      <c r="Q468" s="129">
        <v>102.26</v>
      </c>
      <c r="R468" s="129">
        <v>102.8049</v>
      </c>
    </row>
    <row r="469" spans="1:18" ht="15">
      <c r="A469" s="141"/>
      <c r="B469" s="141"/>
      <c r="C469" s="141"/>
      <c r="D469" s="141"/>
      <c r="E469" s="301" t="s">
        <v>827</v>
      </c>
      <c r="F469" s="299">
        <v>8.3218986999999994E-2</v>
      </c>
      <c r="G469" s="129">
        <v>102.2903</v>
      </c>
      <c r="H469" s="129">
        <v>102.99760000000001</v>
      </c>
      <c r="I469" s="129">
        <v>102.9123</v>
      </c>
      <c r="J469" s="129">
        <v>103.069</v>
      </c>
      <c r="K469" s="129">
        <v>102.94799999999999</v>
      </c>
      <c r="L469" s="129">
        <v>102.91119999999999</v>
      </c>
      <c r="M469" s="129">
        <v>102.8879</v>
      </c>
      <c r="N469" s="129">
        <v>103.0039</v>
      </c>
      <c r="O469" s="129">
        <v>103.0669</v>
      </c>
      <c r="P469" s="129">
        <v>102.5051</v>
      </c>
      <c r="Q469" s="129">
        <v>102.26</v>
      </c>
      <c r="R469" s="129">
        <v>102.8049</v>
      </c>
    </row>
    <row r="470" spans="1:18" ht="15">
      <c r="A470" s="141"/>
      <c r="B470" s="141"/>
      <c r="C470" s="141" t="s">
        <v>828</v>
      </c>
      <c r="D470" s="141"/>
      <c r="E470" s="301"/>
      <c r="F470" s="299">
        <v>1.7544493000000001E-2</v>
      </c>
      <c r="G470" s="129">
        <v>109.8745</v>
      </c>
      <c r="H470" s="129">
        <v>110.0483</v>
      </c>
      <c r="I470" s="129">
        <v>110.0964</v>
      </c>
      <c r="J470" s="129">
        <v>110.173</v>
      </c>
      <c r="K470" s="129">
        <v>110.1944</v>
      </c>
      <c r="L470" s="129">
        <v>110.2022</v>
      </c>
      <c r="M470" s="129">
        <v>110.5822</v>
      </c>
      <c r="N470" s="129">
        <v>108.8349</v>
      </c>
      <c r="O470" s="129">
        <v>109.247</v>
      </c>
      <c r="P470" s="129">
        <v>109.3361</v>
      </c>
      <c r="Q470" s="129">
        <v>109.1931</v>
      </c>
      <c r="R470" s="129">
        <v>109.4774</v>
      </c>
    </row>
    <row r="471" spans="1:18" ht="15">
      <c r="A471" s="141"/>
      <c r="B471" s="141"/>
      <c r="C471" s="141"/>
      <c r="D471" s="141" t="s">
        <v>829</v>
      </c>
      <c r="E471" s="301"/>
      <c r="F471" s="299">
        <v>1.7544493000000001E-2</v>
      </c>
      <c r="G471" s="129">
        <v>109.8745</v>
      </c>
      <c r="H471" s="129">
        <v>110.0483</v>
      </c>
      <c r="I471" s="129">
        <v>110.0964</v>
      </c>
      <c r="J471" s="129">
        <v>110.173</v>
      </c>
      <c r="K471" s="129">
        <v>110.1944</v>
      </c>
      <c r="L471" s="129">
        <v>110.2022</v>
      </c>
      <c r="M471" s="129">
        <v>110.5822</v>
      </c>
      <c r="N471" s="129">
        <v>108.8349</v>
      </c>
      <c r="O471" s="129">
        <v>109.247</v>
      </c>
      <c r="P471" s="129">
        <v>109.3361</v>
      </c>
      <c r="Q471" s="129">
        <v>109.1931</v>
      </c>
      <c r="R471" s="129">
        <v>109.4774</v>
      </c>
    </row>
    <row r="472" spans="1:18" ht="15">
      <c r="A472" s="141"/>
      <c r="B472" s="141"/>
      <c r="C472" s="141"/>
      <c r="D472" s="141"/>
      <c r="E472" s="301" t="s">
        <v>830</v>
      </c>
      <c r="F472" s="299">
        <v>1.7544493000000001E-2</v>
      </c>
      <c r="G472" s="129">
        <v>109.8745</v>
      </c>
      <c r="H472" s="129">
        <v>110.0483</v>
      </c>
      <c r="I472" s="129">
        <v>110.0964</v>
      </c>
      <c r="J472" s="129">
        <v>110.173</v>
      </c>
      <c r="K472" s="129">
        <v>110.1944</v>
      </c>
      <c r="L472" s="129">
        <v>110.2022</v>
      </c>
      <c r="M472" s="129">
        <v>110.5822</v>
      </c>
      <c r="N472" s="129">
        <v>108.8349</v>
      </c>
      <c r="O472" s="129">
        <v>109.247</v>
      </c>
      <c r="P472" s="129">
        <v>109.3361</v>
      </c>
      <c r="Q472" s="129">
        <v>109.1931</v>
      </c>
      <c r="R472" s="129">
        <v>109.4774</v>
      </c>
    </row>
    <row r="473" spans="1:18" ht="15">
      <c r="A473" s="141"/>
      <c r="B473" s="141"/>
      <c r="C473" s="141" t="s">
        <v>831</v>
      </c>
      <c r="D473" s="141"/>
      <c r="E473" s="301"/>
      <c r="F473" s="299">
        <v>8.0524990000000005E-2</v>
      </c>
      <c r="G473" s="129">
        <v>142.398</v>
      </c>
      <c r="H473" s="129">
        <v>143.38339999999999</v>
      </c>
      <c r="I473" s="129">
        <v>143.81479999999999</v>
      </c>
      <c r="J473" s="129">
        <v>143.8862</v>
      </c>
      <c r="K473" s="129">
        <v>144.23159999999999</v>
      </c>
      <c r="L473" s="129">
        <v>144.35749999999999</v>
      </c>
      <c r="M473" s="129">
        <v>144.79560000000001</v>
      </c>
      <c r="N473" s="129">
        <v>144.744</v>
      </c>
      <c r="O473" s="129">
        <v>145.1063</v>
      </c>
      <c r="P473" s="129">
        <v>145.68520000000001</v>
      </c>
      <c r="Q473" s="129">
        <v>145.90940000000001</v>
      </c>
      <c r="R473" s="129">
        <v>146.5376</v>
      </c>
    </row>
    <row r="474" spans="1:18" ht="15">
      <c r="A474" s="141"/>
      <c r="B474" s="141"/>
      <c r="C474" s="141"/>
      <c r="D474" s="141" t="s">
        <v>832</v>
      </c>
      <c r="E474" s="301"/>
      <c r="F474" s="299">
        <v>8.0524990000000005E-2</v>
      </c>
      <c r="G474" s="129">
        <v>142.398</v>
      </c>
      <c r="H474" s="129">
        <v>143.38339999999999</v>
      </c>
      <c r="I474" s="129">
        <v>143.81479999999999</v>
      </c>
      <c r="J474" s="129">
        <v>143.8862</v>
      </c>
      <c r="K474" s="129">
        <v>144.23159999999999</v>
      </c>
      <c r="L474" s="129">
        <v>144.35749999999999</v>
      </c>
      <c r="M474" s="129">
        <v>144.79560000000001</v>
      </c>
      <c r="N474" s="129">
        <v>144.744</v>
      </c>
      <c r="O474" s="129">
        <v>145.1063</v>
      </c>
      <c r="P474" s="129">
        <v>145.68520000000001</v>
      </c>
      <c r="Q474" s="129">
        <v>145.90940000000001</v>
      </c>
      <c r="R474" s="129">
        <v>146.5376</v>
      </c>
    </row>
    <row r="475" spans="1:18" ht="15">
      <c r="A475" s="141"/>
      <c r="B475" s="141"/>
      <c r="C475" s="141"/>
      <c r="D475" s="141"/>
      <c r="E475" s="301" t="s">
        <v>833</v>
      </c>
      <c r="F475" s="299">
        <v>4.7853465999999997E-2</v>
      </c>
      <c r="G475" s="129">
        <v>148.8708</v>
      </c>
      <c r="H475" s="129">
        <v>149.4401</v>
      </c>
      <c r="I475" s="129">
        <v>149.6249</v>
      </c>
      <c r="J475" s="129">
        <v>149.1379</v>
      </c>
      <c r="K475" s="129">
        <v>149.4289</v>
      </c>
      <c r="L475" s="129">
        <v>149.44470000000001</v>
      </c>
      <c r="M475" s="129">
        <v>150.18090000000001</v>
      </c>
      <c r="N475" s="129">
        <v>150.15170000000001</v>
      </c>
      <c r="O475" s="129">
        <v>150.149</v>
      </c>
      <c r="P475" s="129">
        <v>150.54599999999999</v>
      </c>
      <c r="Q475" s="129">
        <v>150.85980000000001</v>
      </c>
      <c r="R475" s="129">
        <v>151.34469999999999</v>
      </c>
    </row>
    <row r="476" spans="1:18" ht="15">
      <c r="A476" s="141"/>
      <c r="B476" s="141"/>
      <c r="C476" s="141"/>
      <c r="D476" s="141"/>
      <c r="E476" s="301" t="s">
        <v>834</v>
      </c>
      <c r="F476" s="299">
        <v>3.2671524E-2</v>
      </c>
      <c r="G476" s="129">
        <v>132.91739999999999</v>
      </c>
      <c r="H476" s="129">
        <v>134.51220000000001</v>
      </c>
      <c r="I476" s="129">
        <v>135.3049</v>
      </c>
      <c r="J476" s="129">
        <v>136.19409999999999</v>
      </c>
      <c r="K476" s="129">
        <v>136.61930000000001</v>
      </c>
      <c r="L476" s="129">
        <v>136.90649999999999</v>
      </c>
      <c r="M476" s="129">
        <v>136.90790000000001</v>
      </c>
      <c r="N476" s="129">
        <v>136.82339999999999</v>
      </c>
      <c r="O476" s="129">
        <v>137.72030000000001</v>
      </c>
      <c r="P476" s="129">
        <v>138.56559999999999</v>
      </c>
      <c r="Q476" s="129">
        <v>138.65870000000001</v>
      </c>
      <c r="R476" s="129">
        <v>139.4966</v>
      </c>
    </row>
    <row r="477" spans="1:18" ht="15">
      <c r="A477" s="141"/>
      <c r="B477" s="141"/>
      <c r="C477" s="141" t="s">
        <v>835</v>
      </c>
      <c r="D477" s="141"/>
      <c r="E477" s="301"/>
      <c r="F477" s="299">
        <v>5.3133734000000002E-2</v>
      </c>
      <c r="G477" s="129">
        <v>136.8442</v>
      </c>
      <c r="H477" s="129">
        <v>137.6412</v>
      </c>
      <c r="I477" s="129">
        <v>137.953</v>
      </c>
      <c r="J477" s="129">
        <v>138.41909999999999</v>
      </c>
      <c r="K477" s="129">
        <v>138.58860000000001</v>
      </c>
      <c r="L477" s="129">
        <v>139.49590000000001</v>
      </c>
      <c r="M477" s="129">
        <v>139.93</v>
      </c>
      <c r="N477" s="129">
        <v>140.18709999999999</v>
      </c>
      <c r="O477" s="129">
        <v>140.37299999999999</v>
      </c>
      <c r="P477" s="129">
        <v>140.74889999999999</v>
      </c>
      <c r="Q477" s="129">
        <v>141.09020000000001</v>
      </c>
      <c r="R477" s="129">
        <v>141.7449</v>
      </c>
    </row>
    <row r="478" spans="1:18" ht="15">
      <c r="A478" s="141"/>
      <c r="B478" s="141"/>
      <c r="C478" s="141"/>
      <c r="D478" s="141" t="s">
        <v>836</v>
      </c>
      <c r="E478" s="301"/>
      <c r="F478" s="299">
        <v>5.3133734000000002E-2</v>
      </c>
      <c r="G478" s="129">
        <v>136.8442</v>
      </c>
      <c r="H478" s="129">
        <v>137.6412</v>
      </c>
      <c r="I478" s="129">
        <v>137.953</v>
      </c>
      <c r="J478" s="129">
        <v>138.41909999999999</v>
      </c>
      <c r="K478" s="129">
        <v>138.58860000000001</v>
      </c>
      <c r="L478" s="129">
        <v>139.49590000000001</v>
      </c>
      <c r="M478" s="129">
        <v>139.93</v>
      </c>
      <c r="N478" s="129">
        <v>140.18709999999999</v>
      </c>
      <c r="O478" s="129">
        <v>140.37299999999999</v>
      </c>
      <c r="P478" s="129">
        <v>140.74889999999999</v>
      </c>
      <c r="Q478" s="129">
        <v>141.09020000000001</v>
      </c>
      <c r="R478" s="129">
        <v>141.7449</v>
      </c>
    </row>
    <row r="479" spans="1:18" ht="15">
      <c r="A479" s="141"/>
      <c r="B479" s="141"/>
      <c r="C479" s="141"/>
      <c r="D479" s="141"/>
      <c r="E479" s="301" t="s">
        <v>837</v>
      </c>
      <c r="F479" s="299">
        <v>5.3133734000000002E-2</v>
      </c>
      <c r="G479" s="129">
        <v>136.8442</v>
      </c>
      <c r="H479" s="129">
        <v>137.6412</v>
      </c>
      <c r="I479" s="129">
        <v>137.953</v>
      </c>
      <c r="J479" s="129">
        <v>138.41909999999999</v>
      </c>
      <c r="K479" s="129">
        <v>138.58860000000001</v>
      </c>
      <c r="L479" s="129">
        <v>139.49590000000001</v>
      </c>
      <c r="M479" s="129">
        <v>139.93</v>
      </c>
      <c r="N479" s="129">
        <v>140.18709999999999</v>
      </c>
      <c r="O479" s="129">
        <v>140.37299999999999</v>
      </c>
      <c r="P479" s="129">
        <v>140.74889999999999</v>
      </c>
      <c r="Q479" s="129">
        <v>141.09020000000001</v>
      </c>
      <c r="R479" s="129">
        <v>141.7449</v>
      </c>
    </row>
    <row r="480" spans="1:18" ht="15" customHeight="1">
      <c r="A480" s="141"/>
      <c r="B480" s="141" t="s">
        <v>838</v>
      </c>
      <c r="C480" s="141"/>
      <c r="D480" s="141"/>
      <c r="E480" s="301"/>
      <c r="F480" s="299">
        <v>1.63590277</v>
      </c>
      <c r="G480" s="129">
        <v>113.85080000000001</v>
      </c>
      <c r="H480" s="129">
        <v>113.95399999999999</v>
      </c>
      <c r="I480" s="129">
        <v>114.0471</v>
      </c>
      <c r="J480" s="129">
        <v>114.2907</v>
      </c>
      <c r="K480" s="129">
        <v>114.2907</v>
      </c>
      <c r="L480" s="129">
        <v>114.3553</v>
      </c>
      <c r="M480" s="129">
        <v>114.358</v>
      </c>
      <c r="N480" s="129">
        <v>114.55800000000001</v>
      </c>
      <c r="O480" s="129">
        <v>114.55800000000001</v>
      </c>
      <c r="P480" s="129">
        <v>114.55800000000001</v>
      </c>
      <c r="Q480" s="129">
        <v>114.55800000000001</v>
      </c>
      <c r="R480" s="129">
        <v>114.55800000000001</v>
      </c>
    </row>
    <row r="481" spans="1:18" ht="15">
      <c r="A481" s="141"/>
      <c r="B481" s="141"/>
      <c r="C481" s="141" t="s">
        <v>839</v>
      </c>
      <c r="D481" s="141"/>
      <c r="E481" s="301"/>
      <c r="F481" s="299">
        <v>0.21271047800000001</v>
      </c>
      <c r="G481" s="129">
        <v>121.8532</v>
      </c>
      <c r="H481" s="129">
        <v>122.6473</v>
      </c>
      <c r="I481" s="129">
        <v>122.8845</v>
      </c>
      <c r="J481" s="129">
        <v>123.37909999999999</v>
      </c>
      <c r="K481" s="129">
        <v>123.37909999999999</v>
      </c>
      <c r="L481" s="129">
        <v>123.5121</v>
      </c>
      <c r="M481" s="129">
        <v>123.5326</v>
      </c>
      <c r="N481" s="129">
        <v>123.5839</v>
      </c>
      <c r="O481" s="129">
        <v>123.5839</v>
      </c>
      <c r="P481" s="129">
        <v>123.5839</v>
      </c>
      <c r="Q481" s="129">
        <v>123.5839</v>
      </c>
      <c r="R481" s="129">
        <v>123.5839</v>
      </c>
    </row>
    <row r="482" spans="1:18" ht="15">
      <c r="A482" s="141"/>
      <c r="B482" s="141"/>
      <c r="C482" s="141"/>
      <c r="D482" s="141" t="s">
        <v>840</v>
      </c>
      <c r="E482" s="301"/>
      <c r="F482" s="299">
        <v>0.21271047800000001</v>
      </c>
      <c r="G482" s="129">
        <v>121.8532</v>
      </c>
      <c r="H482" s="129">
        <v>122.6473</v>
      </c>
      <c r="I482" s="129">
        <v>122.8845</v>
      </c>
      <c r="J482" s="129">
        <v>123.37909999999999</v>
      </c>
      <c r="K482" s="129">
        <v>123.37909999999999</v>
      </c>
      <c r="L482" s="129">
        <v>123.5121</v>
      </c>
      <c r="M482" s="129">
        <v>123.5326</v>
      </c>
      <c r="N482" s="129">
        <v>123.5839</v>
      </c>
      <c r="O482" s="129">
        <v>123.5839</v>
      </c>
      <c r="P482" s="129">
        <v>123.5839</v>
      </c>
      <c r="Q482" s="129">
        <v>123.5839</v>
      </c>
      <c r="R482" s="129">
        <v>123.5839</v>
      </c>
    </row>
    <row r="483" spans="1:18" ht="15">
      <c r="A483" s="141"/>
      <c r="B483" s="141"/>
      <c r="C483" s="141"/>
      <c r="D483" s="141"/>
      <c r="E483" s="301" t="s">
        <v>841</v>
      </c>
      <c r="F483" s="299">
        <v>0.21271047800000001</v>
      </c>
      <c r="G483" s="129">
        <v>121.8532</v>
      </c>
      <c r="H483" s="129">
        <v>122.6473</v>
      </c>
      <c r="I483" s="129">
        <v>122.8845</v>
      </c>
      <c r="J483" s="129">
        <v>123.37909999999999</v>
      </c>
      <c r="K483" s="129">
        <v>123.37909999999999</v>
      </c>
      <c r="L483" s="129">
        <v>123.5121</v>
      </c>
      <c r="M483" s="129">
        <v>123.5326</v>
      </c>
      <c r="N483" s="129">
        <v>123.5839</v>
      </c>
      <c r="O483" s="129">
        <v>123.5839</v>
      </c>
      <c r="P483" s="129">
        <v>123.5839</v>
      </c>
      <c r="Q483" s="129">
        <v>123.5839</v>
      </c>
      <c r="R483" s="129">
        <v>123.5839</v>
      </c>
    </row>
    <row r="484" spans="1:18" ht="15">
      <c r="A484" s="141"/>
      <c r="B484" s="141"/>
      <c r="C484" s="141" t="s">
        <v>842</v>
      </c>
      <c r="D484" s="141"/>
      <c r="E484" s="301"/>
      <c r="F484" s="299">
        <v>0.631497635</v>
      </c>
      <c r="G484" s="129">
        <v>110.96810000000001</v>
      </c>
      <c r="H484" s="129">
        <v>110.96810000000001</v>
      </c>
      <c r="I484" s="129">
        <v>111.12949999999999</v>
      </c>
      <c r="J484" s="129">
        <v>111.5938</v>
      </c>
      <c r="K484" s="129">
        <v>111.5938</v>
      </c>
      <c r="L484" s="129">
        <v>111.71639999999999</v>
      </c>
      <c r="M484" s="129">
        <v>111.71639999999999</v>
      </c>
      <c r="N484" s="129">
        <v>112.2174</v>
      </c>
      <c r="O484" s="129">
        <v>112.2174</v>
      </c>
      <c r="P484" s="129">
        <v>112.2174</v>
      </c>
      <c r="Q484" s="129">
        <v>112.2174</v>
      </c>
      <c r="R484" s="129">
        <v>112.2174</v>
      </c>
    </row>
    <row r="485" spans="1:18" ht="15">
      <c r="A485" s="141"/>
      <c r="B485" s="141"/>
      <c r="C485" s="141"/>
      <c r="D485" s="141" t="s">
        <v>843</v>
      </c>
      <c r="E485" s="301"/>
      <c r="F485" s="299">
        <v>0.631497635</v>
      </c>
      <c r="G485" s="129">
        <v>110.96810000000001</v>
      </c>
      <c r="H485" s="129">
        <v>110.96810000000001</v>
      </c>
      <c r="I485" s="129">
        <v>111.12949999999999</v>
      </c>
      <c r="J485" s="129">
        <v>111.5938</v>
      </c>
      <c r="K485" s="129">
        <v>111.5938</v>
      </c>
      <c r="L485" s="129">
        <v>111.71639999999999</v>
      </c>
      <c r="M485" s="129">
        <v>111.71639999999999</v>
      </c>
      <c r="N485" s="129">
        <v>112.2174</v>
      </c>
      <c r="O485" s="129">
        <v>112.2174</v>
      </c>
      <c r="P485" s="129">
        <v>112.2174</v>
      </c>
      <c r="Q485" s="129">
        <v>112.2174</v>
      </c>
      <c r="R485" s="129">
        <v>112.2174</v>
      </c>
    </row>
    <row r="486" spans="1:18" ht="15">
      <c r="A486" s="141"/>
      <c r="B486" s="141"/>
      <c r="C486" s="141"/>
      <c r="D486" s="141"/>
      <c r="E486" s="301" t="s">
        <v>844</v>
      </c>
      <c r="F486" s="299">
        <v>0.55092751299999998</v>
      </c>
      <c r="G486" s="129">
        <v>107.4631</v>
      </c>
      <c r="H486" s="129">
        <v>107.4631</v>
      </c>
      <c r="I486" s="129">
        <v>107.648</v>
      </c>
      <c r="J486" s="129">
        <v>108.1803</v>
      </c>
      <c r="K486" s="129">
        <v>108.1803</v>
      </c>
      <c r="L486" s="129">
        <v>108.32080000000001</v>
      </c>
      <c r="M486" s="129">
        <v>108.32080000000001</v>
      </c>
      <c r="N486" s="129">
        <v>108.32080000000001</v>
      </c>
      <c r="O486" s="129">
        <v>108.32080000000001</v>
      </c>
      <c r="P486" s="129">
        <v>108.32080000000001</v>
      </c>
      <c r="Q486" s="129">
        <v>108.32080000000001</v>
      </c>
      <c r="R486" s="129">
        <v>108.32080000000001</v>
      </c>
    </row>
    <row r="487" spans="1:18" ht="15">
      <c r="A487" s="141"/>
      <c r="B487" s="141"/>
      <c r="C487" s="141"/>
      <c r="D487" s="141"/>
      <c r="E487" s="301" t="s">
        <v>845</v>
      </c>
      <c r="F487" s="299">
        <v>8.0570121999999994E-2</v>
      </c>
      <c r="G487" s="129">
        <v>134.93520000000001</v>
      </c>
      <c r="H487" s="129">
        <v>134.93520000000001</v>
      </c>
      <c r="I487" s="129">
        <v>134.93520000000001</v>
      </c>
      <c r="J487" s="129">
        <v>134.93520000000001</v>
      </c>
      <c r="K487" s="129">
        <v>134.93520000000001</v>
      </c>
      <c r="L487" s="129">
        <v>134.93520000000001</v>
      </c>
      <c r="M487" s="129">
        <v>134.93520000000001</v>
      </c>
      <c r="N487" s="129">
        <v>138.8622</v>
      </c>
      <c r="O487" s="129">
        <v>138.8622</v>
      </c>
      <c r="P487" s="129">
        <v>138.8622</v>
      </c>
      <c r="Q487" s="129">
        <v>138.8622</v>
      </c>
      <c r="R487" s="129">
        <v>138.8622</v>
      </c>
    </row>
    <row r="488" spans="1:18" ht="15">
      <c r="A488" s="141"/>
      <c r="B488" s="141"/>
      <c r="C488" s="141" t="s">
        <v>846</v>
      </c>
      <c r="D488" s="141"/>
      <c r="E488" s="301"/>
      <c r="F488" s="299">
        <v>0.791694652</v>
      </c>
      <c r="G488" s="129">
        <v>114</v>
      </c>
      <c r="H488" s="129">
        <v>114</v>
      </c>
      <c r="I488" s="129">
        <v>114</v>
      </c>
      <c r="J488" s="129">
        <v>114</v>
      </c>
      <c r="K488" s="129">
        <v>114</v>
      </c>
      <c r="L488" s="129">
        <v>114</v>
      </c>
      <c r="M488" s="129">
        <v>114</v>
      </c>
      <c r="N488" s="129">
        <v>114</v>
      </c>
      <c r="O488" s="129">
        <v>114</v>
      </c>
      <c r="P488" s="129">
        <v>114</v>
      </c>
      <c r="Q488" s="129">
        <v>114</v>
      </c>
      <c r="R488" s="129">
        <v>114</v>
      </c>
    </row>
    <row r="489" spans="1:18" ht="15">
      <c r="A489" s="141"/>
      <c r="B489" s="141"/>
      <c r="C489" s="141"/>
      <c r="D489" s="141" t="s">
        <v>847</v>
      </c>
      <c r="E489" s="301"/>
      <c r="F489" s="299">
        <v>0.791694652</v>
      </c>
      <c r="G489" s="129">
        <v>114</v>
      </c>
      <c r="H489" s="129">
        <v>114</v>
      </c>
      <c r="I489" s="129">
        <v>114</v>
      </c>
      <c r="J489" s="129">
        <v>114</v>
      </c>
      <c r="K489" s="129">
        <v>114</v>
      </c>
      <c r="L489" s="129">
        <v>114</v>
      </c>
      <c r="M489" s="129">
        <v>114</v>
      </c>
      <c r="N489" s="129">
        <v>114</v>
      </c>
      <c r="O489" s="129">
        <v>114</v>
      </c>
      <c r="P489" s="129">
        <v>114</v>
      </c>
      <c r="Q489" s="129">
        <v>114</v>
      </c>
      <c r="R489" s="129">
        <v>114</v>
      </c>
    </row>
    <row r="490" spans="1:18" ht="15">
      <c r="A490" s="141"/>
      <c r="B490" s="141"/>
      <c r="C490" s="141"/>
      <c r="D490" s="141"/>
      <c r="E490" s="301" t="s">
        <v>848</v>
      </c>
      <c r="F490" s="299">
        <v>0.791694652</v>
      </c>
      <c r="G490" s="129">
        <v>114</v>
      </c>
      <c r="H490" s="129">
        <v>114</v>
      </c>
      <c r="I490" s="129">
        <v>114</v>
      </c>
      <c r="J490" s="129">
        <v>114</v>
      </c>
      <c r="K490" s="129">
        <v>114</v>
      </c>
      <c r="L490" s="129">
        <v>114</v>
      </c>
      <c r="M490" s="129">
        <v>114</v>
      </c>
      <c r="N490" s="129">
        <v>114</v>
      </c>
      <c r="O490" s="129">
        <v>114</v>
      </c>
      <c r="P490" s="129">
        <v>114</v>
      </c>
      <c r="Q490" s="129">
        <v>114</v>
      </c>
      <c r="R490" s="129">
        <v>114</v>
      </c>
    </row>
    <row r="491" spans="1:18" ht="15">
      <c r="A491" s="141"/>
      <c r="B491" s="141" t="s">
        <v>849</v>
      </c>
      <c r="C491" s="141"/>
      <c r="D491" s="141"/>
      <c r="E491" s="301"/>
      <c r="F491" s="299">
        <v>0.59547164399999997</v>
      </c>
      <c r="G491" s="129">
        <v>125.6728</v>
      </c>
      <c r="H491" s="129">
        <v>125.67059999999999</v>
      </c>
      <c r="I491" s="129">
        <v>125.7692</v>
      </c>
      <c r="J491" s="129">
        <v>125.9577</v>
      </c>
      <c r="K491" s="129">
        <v>126.0552</v>
      </c>
      <c r="L491" s="129">
        <v>126.3965</v>
      </c>
      <c r="M491" s="129">
        <v>126.95059999999999</v>
      </c>
      <c r="N491" s="129">
        <v>127.11750000000001</v>
      </c>
      <c r="O491" s="129">
        <v>127.2109</v>
      </c>
      <c r="P491" s="129">
        <v>127.5052</v>
      </c>
      <c r="Q491" s="129">
        <v>127.3788</v>
      </c>
      <c r="R491" s="129">
        <v>127.7568</v>
      </c>
    </row>
    <row r="492" spans="1:18" ht="15" customHeight="1">
      <c r="A492" s="141"/>
      <c r="B492" s="141"/>
      <c r="C492" s="141" t="s">
        <v>850</v>
      </c>
      <c r="D492" s="141"/>
      <c r="E492" s="301"/>
      <c r="F492" s="299">
        <v>0.37345707</v>
      </c>
      <c r="G492" s="129">
        <v>123.09739999999999</v>
      </c>
      <c r="H492" s="129">
        <v>123.0476</v>
      </c>
      <c r="I492" s="129">
        <v>123.1176</v>
      </c>
      <c r="J492" s="129">
        <v>123.3096</v>
      </c>
      <c r="K492" s="129">
        <v>123.4341</v>
      </c>
      <c r="L492" s="129">
        <v>123.91549999999999</v>
      </c>
      <c r="M492" s="129">
        <v>124.5676</v>
      </c>
      <c r="N492" s="129">
        <v>125.074</v>
      </c>
      <c r="O492" s="129">
        <v>125.0226</v>
      </c>
      <c r="P492" s="129">
        <v>125.301</v>
      </c>
      <c r="Q492" s="129">
        <v>125.0368</v>
      </c>
      <c r="R492" s="129">
        <v>125.3843</v>
      </c>
    </row>
    <row r="493" spans="1:18" ht="15">
      <c r="A493" s="141"/>
      <c r="B493" s="141"/>
      <c r="C493" s="141"/>
      <c r="D493" s="141" t="s">
        <v>851</v>
      </c>
      <c r="E493" s="301"/>
      <c r="F493" s="299">
        <v>0.37345707</v>
      </c>
      <c r="G493" s="129">
        <v>123.09739999999999</v>
      </c>
      <c r="H493" s="129">
        <v>123.0476</v>
      </c>
      <c r="I493" s="129">
        <v>123.1176</v>
      </c>
      <c r="J493" s="129">
        <v>123.3096</v>
      </c>
      <c r="K493" s="129">
        <v>123.4341</v>
      </c>
      <c r="L493" s="129">
        <v>123.91549999999999</v>
      </c>
      <c r="M493" s="129">
        <v>124.5676</v>
      </c>
      <c r="N493" s="129">
        <v>125.074</v>
      </c>
      <c r="O493" s="129">
        <v>125.0226</v>
      </c>
      <c r="P493" s="129">
        <v>125.301</v>
      </c>
      <c r="Q493" s="129">
        <v>125.0368</v>
      </c>
      <c r="R493" s="129">
        <v>125.3843</v>
      </c>
    </row>
    <row r="494" spans="1:18" ht="15">
      <c r="A494" s="141"/>
      <c r="B494" s="141"/>
      <c r="C494" s="141"/>
      <c r="D494" s="141"/>
      <c r="E494" s="301" t="s">
        <v>852</v>
      </c>
      <c r="F494" s="299">
        <v>0.23330057600000001</v>
      </c>
      <c r="G494" s="129">
        <v>128.2269</v>
      </c>
      <c r="H494" s="129">
        <v>128.14709999999999</v>
      </c>
      <c r="I494" s="129">
        <v>128.21010000000001</v>
      </c>
      <c r="J494" s="129">
        <v>128.32220000000001</v>
      </c>
      <c r="K494" s="129">
        <v>128.52160000000001</v>
      </c>
      <c r="L494" s="129">
        <v>129.00450000000001</v>
      </c>
      <c r="M494" s="129">
        <v>129.64760000000001</v>
      </c>
      <c r="N494" s="129">
        <v>130.45820000000001</v>
      </c>
      <c r="O494" s="129">
        <v>130.29040000000001</v>
      </c>
      <c r="P494" s="129">
        <v>130.7362</v>
      </c>
      <c r="Q494" s="129">
        <v>130.16130000000001</v>
      </c>
      <c r="R494" s="129">
        <v>130.7176</v>
      </c>
    </row>
    <row r="495" spans="1:18" ht="15">
      <c r="A495" s="141"/>
      <c r="B495" s="141"/>
      <c r="C495" s="141"/>
      <c r="D495" s="141"/>
      <c r="E495" s="301" t="s">
        <v>853</v>
      </c>
      <c r="F495" s="281">
        <v>0.14015649399999999</v>
      </c>
      <c r="G495" s="129">
        <v>114.559</v>
      </c>
      <c r="H495" s="129">
        <v>114.559</v>
      </c>
      <c r="I495" s="129">
        <v>114.6408</v>
      </c>
      <c r="J495" s="129">
        <v>114.96559999999999</v>
      </c>
      <c r="K495" s="129">
        <v>114.96559999999999</v>
      </c>
      <c r="L495" s="129">
        <v>115.4443</v>
      </c>
      <c r="M495" s="129">
        <v>116.1117</v>
      </c>
      <c r="N495" s="129">
        <v>116.1117</v>
      </c>
      <c r="O495" s="129">
        <v>116.2538</v>
      </c>
      <c r="P495" s="129">
        <v>116.2538</v>
      </c>
      <c r="Q495" s="129">
        <v>116.5067</v>
      </c>
      <c r="R495" s="129">
        <v>116.5067</v>
      </c>
    </row>
    <row r="496" spans="1:18" ht="15">
      <c r="A496" s="141"/>
      <c r="B496" s="141"/>
      <c r="C496" s="141" t="s">
        <v>854</v>
      </c>
      <c r="D496" s="141"/>
      <c r="E496" s="301"/>
      <c r="F496" s="299">
        <v>0.22201457399999999</v>
      </c>
      <c r="G496" s="129">
        <v>130.0051</v>
      </c>
      <c r="H496" s="129">
        <v>130.0829</v>
      </c>
      <c r="I496" s="129">
        <v>130.2295</v>
      </c>
      <c r="J496" s="129">
        <v>130.41229999999999</v>
      </c>
      <c r="K496" s="129">
        <v>130.46420000000001</v>
      </c>
      <c r="L496" s="129">
        <v>130.56979999999999</v>
      </c>
      <c r="M496" s="129">
        <v>130.959</v>
      </c>
      <c r="N496" s="129">
        <v>130.5548</v>
      </c>
      <c r="O496" s="129">
        <v>130.89189999999999</v>
      </c>
      <c r="P496" s="129">
        <v>131.21279999999999</v>
      </c>
      <c r="Q496" s="129">
        <v>131.3185</v>
      </c>
      <c r="R496" s="129">
        <v>131.74760000000001</v>
      </c>
    </row>
    <row r="497" spans="1:18" ht="15">
      <c r="A497" s="141"/>
      <c r="B497" s="141"/>
      <c r="C497" s="141"/>
      <c r="D497" s="141" t="s">
        <v>855</v>
      </c>
      <c r="E497" s="301"/>
      <c r="F497" s="299">
        <v>0.22201457399999999</v>
      </c>
      <c r="G497" s="129">
        <v>130.0051</v>
      </c>
      <c r="H497" s="129">
        <v>130.0829</v>
      </c>
      <c r="I497" s="129">
        <v>130.2295</v>
      </c>
      <c r="J497" s="129">
        <v>130.41229999999999</v>
      </c>
      <c r="K497" s="129">
        <v>130.46420000000001</v>
      </c>
      <c r="L497" s="129">
        <v>130.56979999999999</v>
      </c>
      <c r="M497" s="129">
        <v>130.959</v>
      </c>
      <c r="N497" s="129">
        <v>130.5548</v>
      </c>
      <c r="O497" s="129">
        <v>130.89189999999999</v>
      </c>
      <c r="P497" s="129">
        <v>131.21279999999999</v>
      </c>
      <c r="Q497" s="129">
        <v>131.3185</v>
      </c>
      <c r="R497" s="129">
        <v>131.74760000000001</v>
      </c>
    </row>
    <row r="498" spans="1:18" ht="15">
      <c r="A498" s="141"/>
      <c r="B498" s="141"/>
      <c r="C498" s="141"/>
      <c r="D498" s="141"/>
      <c r="E498" s="301" t="s">
        <v>856</v>
      </c>
      <c r="F498" s="299">
        <v>0.14335651699999999</v>
      </c>
      <c r="G498" s="129">
        <v>132.6455</v>
      </c>
      <c r="H498" s="129">
        <v>132.71539999999999</v>
      </c>
      <c r="I498" s="129">
        <v>132.8776</v>
      </c>
      <c r="J498" s="129">
        <v>133.02010000000001</v>
      </c>
      <c r="K498" s="129">
        <v>133.0249</v>
      </c>
      <c r="L498" s="129">
        <v>133.10400000000001</v>
      </c>
      <c r="M498" s="129">
        <v>133.50120000000001</v>
      </c>
      <c r="N498" s="129">
        <v>132.78710000000001</v>
      </c>
      <c r="O498" s="129">
        <v>133.08080000000001</v>
      </c>
      <c r="P498" s="129">
        <v>133.3485</v>
      </c>
      <c r="Q498" s="129">
        <v>133.3861</v>
      </c>
      <c r="R498" s="129">
        <v>133.86940000000001</v>
      </c>
    </row>
    <row r="499" spans="1:18" ht="15">
      <c r="A499" s="141"/>
      <c r="B499" s="141"/>
      <c r="C499" s="141"/>
      <c r="D499" s="141"/>
      <c r="E499" s="301" t="s">
        <v>857</v>
      </c>
      <c r="F499" s="299">
        <v>5.5870141999999998E-2</v>
      </c>
      <c r="G499" s="129">
        <v>125.8883</v>
      </c>
      <c r="H499" s="129">
        <v>125.98779999999999</v>
      </c>
      <c r="I499" s="129">
        <v>126.2199</v>
      </c>
      <c r="J499" s="129">
        <v>126.5805</v>
      </c>
      <c r="K499" s="129">
        <v>126.7259</v>
      </c>
      <c r="L499" s="129">
        <v>126.86069999999999</v>
      </c>
      <c r="M499" s="129">
        <v>127.23779999999999</v>
      </c>
      <c r="N499" s="129">
        <v>127.38809999999999</v>
      </c>
      <c r="O499" s="129">
        <v>128.0926</v>
      </c>
      <c r="P499" s="129">
        <v>128.50360000000001</v>
      </c>
      <c r="Q499" s="129">
        <v>128.7602</v>
      </c>
      <c r="R499" s="129">
        <v>129.05959999999999</v>
      </c>
    </row>
    <row r="500" spans="1:18" ht="15">
      <c r="A500" s="141"/>
      <c r="B500" s="141"/>
      <c r="C500" s="141"/>
      <c r="D500" s="141"/>
      <c r="E500" s="301" t="s">
        <v>858</v>
      </c>
      <c r="F500" s="299">
        <v>1.0928943E-2</v>
      </c>
      <c r="G500" s="129">
        <v>112.8646</v>
      </c>
      <c r="H500" s="129">
        <v>113.1955</v>
      </c>
      <c r="I500" s="129">
        <v>113.22069999999999</v>
      </c>
      <c r="J500" s="129">
        <v>113.7067</v>
      </c>
      <c r="K500" s="129">
        <v>113.9472</v>
      </c>
      <c r="L500" s="129">
        <v>114.01609999999999</v>
      </c>
      <c r="M500" s="129">
        <v>114.0847</v>
      </c>
      <c r="N500" s="129">
        <v>114.2287</v>
      </c>
      <c r="O500" s="129">
        <v>113.8476</v>
      </c>
      <c r="P500" s="129">
        <v>114.3387</v>
      </c>
      <c r="Q500" s="129">
        <v>114.49630000000001</v>
      </c>
      <c r="R500" s="129">
        <v>115.3009</v>
      </c>
    </row>
    <row r="501" spans="1:18" ht="15">
      <c r="A501" s="141"/>
      <c r="B501" s="141"/>
      <c r="C501" s="141"/>
      <c r="D501" s="141"/>
      <c r="E501" s="301" t="s">
        <v>859</v>
      </c>
      <c r="F501" s="299">
        <v>1.1858972000000001E-2</v>
      </c>
      <c r="G501" s="129">
        <v>133.27850000000001</v>
      </c>
      <c r="H501" s="129">
        <v>133.11510000000001</v>
      </c>
      <c r="I501" s="129">
        <v>132.7834</v>
      </c>
      <c r="J501" s="129">
        <v>132.33529999999999</v>
      </c>
      <c r="K501" s="129">
        <v>132.34309999999999</v>
      </c>
      <c r="L501" s="129">
        <v>132.66640000000001</v>
      </c>
      <c r="M501" s="129">
        <v>133.3098</v>
      </c>
      <c r="N501" s="129">
        <v>133.53399999999999</v>
      </c>
      <c r="O501" s="129">
        <v>133.32669999999999</v>
      </c>
      <c r="P501" s="129">
        <v>133.71019999999999</v>
      </c>
      <c r="Q501" s="129">
        <v>133.8792</v>
      </c>
      <c r="R501" s="129">
        <v>133.9195</v>
      </c>
    </row>
    <row r="502" spans="1:18" ht="15">
      <c r="A502" s="141"/>
      <c r="B502" s="141" t="s">
        <v>860</v>
      </c>
      <c r="C502" s="141"/>
      <c r="D502" s="141"/>
      <c r="E502" s="301"/>
      <c r="F502" s="299">
        <v>0.24362898999999999</v>
      </c>
      <c r="G502" s="129">
        <v>154.90199999999999</v>
      </c>
      <c r="H502" s="129">
        <v>160.0359</v>
      </c>
      <c r="I502" s="129">
        <v>161.78059999999999</v>
      </c>
      <c r="J502" s="129">
        <v>164.43680000000001</v>
      </c>
      <c r="K502" s="129">
        <v>147.05189999999999</v>
      </c>
      <c r="L502" s="129">
        <v>151.63</v>
      </c>
      <c r="M502" s="129">
        <v>156.51339999999999</v>
      </c>
      <c r="N502" s="129">
        <v>157.6806</v>
      </c>
      <c r="O502" s="129">
        <v>148.29830000000001</v>
      </c>
      <c r="P502" s="129">
        <v>149.5925</v>
      </c>
      <c r="Q502" s="129">
        <v>156.4657</v>
      </c>
      <c r="R502" s="129">
        <v>178.15129999999999</v>
      </c>
    </row>
    <row r="503" spans="1:18" ht="15">
      <c r="A503" s="141"/>
      <c r="B503" s="141"/>
      <c r="C503" s="141" t="s">
        <v>861</v>
      </c>
      <c r="D503" s="141"/>
      <c r="E503" s="301"/>
      <c r="F503" s="299">
        <v>0.24362898999999999</v>
      </c>
      <c r="G503" s="129">
        <v>154.90199999999999</v>
      </c>
      <c r="H503" s="129">
        <v>160.0359</v>
      </c>
      <c r="I503" s="129">
        <v>161.78059999999999</v>
      </c>
      <c r="J503" s="129">
        <v>164.43680000000001</v>
      </c>
      <c r="K503" s="129">
        <v>147.05189999999999</v>
      </c>
      <c r="L503" s="129">
        <v>151.63</v>
      </c>
      <c r="M503" s="129">
        <v>156.51339999999999</v>
      </c>
      <c r="N503" s="129">
        <v>157.6806</v>
      </c>
      <c r="O503" s="129">
        <v>148.29830000000001</v>
      </c>
      <c r="P503" s="129">
        <v>149.5925</v>
      </c>
      <c r="Q503" s="129">
        <v>156.4657</v>
      </c>
      <c r="R503" s="129">
        <v>178.15129999999999</v>
      </c>
    </row>
    <row r="504" spans="1:18" ht="15">
      <c r="A504" s="141"/>
      <c r="B504" s="141"/>
      <c r="C504" s="141"/>
      <c r="D504" s="141" t="s">
        <v>862</v>
      </c>
      <c r="E504" s="301"/>
      <c r="F504" s="299">
        <v>0.24362898999999999</v>
      </c>
      <c r="G504" s="129">
        <v>154.90199999999999</v>
      </c>
      <c r="H504" s="129">
        <v>160.0359</v>
      </c>
      <c r="I504" s="129">
        <v>161.78059999999999</v>
      </c>
      <c r="J504" s="129">
        <v>164.43680000000001</v>
      </c>
      <c r="K504" s="129">
        <v>147.05189999999999</v>
      </c>
      <c r="L504" s="129">
        <v>151.63</v>
      </c>
      <c r="M504" s="129">
        <v>156.51339999999999</v>
      </c>
      <c r="N504" s="129">
        <v>157.6806</v>
      </c>
      <c r="O504" s="129">
        <v>148.29830000000001</v>
      </c>
      <c r="P504" s="129">
        <v>149.5925</v>
      </c>
      <c r="Q504" s="129">
        <v>156.4657</v>
      </c>
      <c r="R504" s="129">
        <v>178.15129999999999</v>
      </c>
    </row>
    <row r="505" spans="1:18" ht="15">
      <c r="A505" s="141"/>
      <c r="B505" s="141"/>
      <c r="C505" s="141"/>
      <c r="D505" s="141"/>
      <c r="E505" s="301" t="s">
        <v>863</v>
      </c>
      <c r="F505" s="299">
        <v>0.24362898999999999</v>
      </c>
      <c r="G505" s="129">
        <v>154.90199999999999</v>
      </c>
      <c r="H505" s="129">
        <v>160.0359</v>
      </c>
      <c r="I505" s="129">
        <v>161.78059999999999</v>
      </c>
      <c r="J505" s="129">
        <v>164.43680000000001</v>
      </c>
      <c r="K505" s="129">
        <v>147.05189999999999</v>
      </c>
      <c r="L505" s="129">
        <v>151.63</v>
      </c>
      <c r="M505" s="129">
        <v>156.51339999999999</v>
      </c>
      <c r="N505" s="129">
        <v>157.6806</v>
      </c>
      <c r="O505" s="129">
        <v>148.29830000000001</v>
      </c>
      <c r="P505" s="129">
        <v>149.5925</v>
      </c>
      <c r="Q505" s="129">
        <v>156.4657</v>
      </c>
      <c r="R505" s="129">
        <v>178.15129999999999</v>
      </c>
    </row>
    <row r="506" spans="1:18" ht="15">
      <c r="A506" s="141" t="s">
        <v>864</v>
      </c>
      <c r="B506" s="141"/>
      <c r="C506" s="141"/>
      <c r="D506" s="141"/>
      <c r="E506" s="301"/>
      <c r="F506" s="299">
        <v>3.06259931</v>
      </c>
      <c r="G506" s="129">
        <v>123.8283</v>
      </c>
      <c r="H506" s="129">
        <v>123.8283</v>
      </c>
      <c r="I506" s="129">
        <v>123.8616</v>
      </c>
      <c r="J506" s="129">
        <v>123.8616</v>
      </c>
      <c r="K506" s="129">
        <v>124.57899999999999</v>
      </c>
      <c r="L506" s="129">
        <v>124.57899999999999</v>
      </c>
      <c r="M506" s="129">
        <v>124.72490000000001</v>
      </c>
      <c r="N506" s="129">
        <v>127.4449</v>
      </c>
      <c r="O506" s="129">
        <v>130.3631</v>
      </c>
      <c r="P506" s="129">
        <v>130.3631</v>
      </c>
      <c r="Q506" s="129">
        <v>130.3631</v>
      </c>
      <c r="R506" s="129">
        <v>130.3631</v>
      </c>
    </row>
    <row r="507" spans="1:18" ht="15">
      <c r="A507" s="141"/>
      <c r="B507" s="141" t="s">
        <v>865</v>
      </c>
      <c r="C507" s="141"/>
      <c r="D507" s="141"/>
      <c r="E507" s="301"/>
      <c r="F507" s="299">
        <v>1.06848023</v>
      </c>
      <c r="G507" s="129">
        <v>124.5376</v>
      </c>
      <c r="H507" s="129">
        <v>124.5376</v>
      </c>
      <c r="I507" s="129">
        <v>124.5376</v>
      </c>
      <c r="J507" s="129">
        <v>124.5376</v>
      </c>
      <c r="K507" s="129">
        <v>124.5376</v>
      </c>
      <c r="L507" s="129">
        <v>124.5376</v>
      </c>
      <c r="M507" s="129">
        <v>124.5376</v>
      </c>
      <c r="N507" s="129">
        <v>128.9974</v>
      </c>
      <c r="O507" s="129">
        <v>133.202</v>
      </c>
      <c r="P507" s="129">
        <v>133.202</v>
      </c>
      <c r="Q507" s="129">
        <v>133.202</v>
      </c>
      <c r="R507" s="129">
        <v>133.202</v>
      </c>
    </row>
    <row r="508" spans="1:18" ht="15">
      <c r="A508" s="141"/>
      <c r="B508" s="141"/>
      <c r="C508" s="141" t="s">
        <v>866</v>
      </c>
      <c r="D508" s="141"/>
      <c r="E508" s="301"/>
      <c r="F508" s="299">
        <v>1.06848023</v>
      </c>
      <c r="G508" s="129">
        <v>124.5376</v>
      </c>
      <c r="H508" s="129">
        <v>124.5376</v>
      </c>
      <c r="I508" s="129">
        <v>124.5376</v>
      </c>
      <c r="J508" s="129">
        <v>124.5376</v>
      </c>
      <c r="K508" s="129">
        <v>124.5376</v>
      </c>
      <c r="L508" s="129">
        <v>124.5376</v>
      </c>
      <c r="M508" s="129">
        <v>124.5376</v>
      </c>
      <c r="N508" s="129">
        <v>128.9974</v>
      </c>
      <c r="O508" s="129">
        <v>133.202</v>
      </c>
      <c r="P508" s="129">
        <v>133.202</v>
      </c>
      <c r="Q508" s="129">
        <v>133.202</v>
      </c>
      <c r="R508" s="129">
        <v>133.202</v>
      </c>
    </row>
    <row r="509" spans="1:18" ht="15">
      <c r="A509" s="141"/>
      <c r="B509" s="141"/>
      <c r="C509" s="141"/>
      <c r="D509" s="141" t="s">
        <v>867</v>
      </c>
      <c r="E509" s="301"/>
      <c r="F509" s="299">
        <v>0.304606033</v>
      </c>
      <c r="G509" s="129">
        <v>127.5984</v>
      </c>
      <c r="H509" s="129">
        <v>127.5984</v>
      </c>
      <c r="I509" s="129">
        <v>127.5984</v>
      </c>
      <c r="J509" s="129">
        <v>127.5984</v>
      </c>
      <c r="K509" s="129">
        <v>127.5984</v>
      </c>
      <c r="L509" s="129">
        <v>127.5984</v>
      </c>
      <c r="M509" s="129">
        <v>127.5984</v>
      </c>
      <c r="N509" s="129">
        <v>132.0112</v>
      </c>
      <c r="O509" s="129">
        <v>136.23349999999999</v>
      </c>
      <c r="P509" s="129">
        <v>136.23349999999999</v>
      </c>
      <c r="Q509" s="129">
        <v>136.23349999999999</v>
      </c>
      <c r="R509" s="129">
        <v>136.23349999999999</v>
      </c>
    </row>
    <row r="510" spans="1:18" ht="15">
      <c r="A510" s="141"/>
      <c r="B510" s="141"/>
      <c r="C510" s="141"/>
      <c r="D510" s="141"/>
      <c r="E510" s="301" t="s">
        <v>868</v>
      </c>
      <c r="F510" s="299">
        <v>0.304606033</v>
      </c>
      <c r="G510" s="129">
        <v>127.5984</v>
      </c>
      <c r="H510" s="129">
        <v>127.5984</v>
      </c>
      <c r="I510" s="129">
        <v>127.5984</v>
      </c>
      <c r="J510" s="129">
        <v>127.5984</v>
      </c>
      <c r="K510" s="129">
        <v>127.5984</v>
      </c>
      <c r="L510" s="129">
        <v>127.5984</v>
      </c>
      <c r="M510" s="129">
        <v>127.5984</v>
      </c>
      <c r="N510" s="129">
        <v>132.0112</v>
      </c>
      <c r="O510" s="129">
        <v>136.23349999999999</v>
      </c>
      <c r="P510" s="129">
        <v>136.23349999999999</v>
      </c>
      <c r="Q510" s="129">
        <v>136.23349999999999</v>
      </c>
      <c r="R510" s="129">
        <v>136.23349999999999</v>
      </c>
    </row>
    <row r="511" spans="1:18" ht="15">
      <c r="A511" s="141"/>
      <c r="B511" s="141"/>
      <c r="C511" s="141"/>
      <c r="D511" s="141" t="s">
        <v>869</v>
      </c>
      <c r="E511" s="301"/>
      <c r="F511" s="299">
        <v>0.763874198</v>
      </c>
      <c r="G511" s="129">
        <v>123.3171</v>
      </c>
      <c r="H511" s="129">
        <v>123.3171</v>
      </c>
      <c r="I511" s="129">
        <v>123.3171</v>
      </c>
      <c r="J511" s="129">
        <v>123.3171</v>
      </c>
      <c r="K511" s="129">
        <v>123.3171</v>
      </c>
      <c r="L511" s="129">
        <v>123.3171</v>
      </c>
      <c r="M511" s="129">
        <v>123.3171</v>
      </c>
      <c r="N511" s="129">
        <v>127.79559999999999</v>
      </c>
      <c r="O511" s="129">
        <v>131.9931</v>
      </c>
      <c r="P511" s="129">
        <v>131.9931</v>
      </c>
      <c r="Q511" s="129">
        <v>131.9931</v>
      </c>
      <c r="R511" s="129">
        <v>131.9931</v>
      </c>
    </row>
    <row r="512" spans="1:18" ht="15">
      <c r="A512" s="141"/>
      <c r="B512" s="141"/>
      <c r="C512" s="141"/>
      <c r="D512" s="141"/>
      <c r="E512" s="301" t="s">
        <v>870</v>
      </c>
      <c r="F512" s="299">
        <v>0.763874198</v>
      </c>
      <c r="G512" s="129">
        <v>123.3171</v>
      </c>
      <c r="H512" s="129">
        <v>123.3171</v>
      </c>
      <c r="I512" s="129">
        <v>123.3171</v>
      </c>
      <c r="J512" s="129">
        <v>123.3171</v>
      </c>
      <c r="K512" s="129">
        <v>123.3171</v>
      </c>
      <c r="L512" s="129">
        <v>123.3171</v>
      </c>
      <c r="M512" s="129">
        <v>123.3171</v>
      </c>
      <c r="N512" s="129">
        <v>127.79559999999999</v>
      </c>
      <c r="O512" s="129">
        <v>131.9931</v>
      </c>
      <c r="P512" s="129">
        <v>131.9931</v>
      </c>
      <c r="Q512" s="129">
        <v>131.9931</v>
      </c>
      <c r="R512" s="129">
        <v>131.9931</v>
      </c>
    </row>
    <row r="513" spans="1:18" ht="15">
      <c r="A513" s="141"/>
      <c r="B513" s="141" t="s">
        <v>871</v>
      </c>
      <c r="C513" s="141"/>
      <c r="D513" s="141"/>
      <c r="E513" s="301"/>
      <c r="F513" s="281">
        <v>0.42618938899999997</v>
      </c>
      <c r="G513" s="129">
        <v>123.6858</v>
      </c>
      <c r="H513" s="129">
        <v>123.6858</v>
      </c>
      <c r="I513" s="129">
        <v>123.6858</v>
      </c>
      <c r="J513" s="129">
        <v>123.6858</v>
      </c>
      <c r="K513" s="129">
        <v>123.6858</v>
      </c>
      <c r="L513" s="129">
        <v>123.6858</v>
      </c>
      <c r="M513" s="129">
        <v>123.6858</v>
      </c>
      <c r="N513" s="129">
        <v>128.41720000000001</v>
      </c>
      <c r="O513" s="129">
        <v>132.30009999999999</v>
      </c>
      <c r="P513" s="129">
        <v>132.30009999999999</v>
      </c>
      <c r="Q513" s="129">
        <v>132.30009999999999</v>
      </c>
      <c r="R513" s="129">
        <v>132.30009999999999</v>
      </c>
    </row>
    <row r="514" spans="1:18" ht="15">
      <c r="A514" s="141"/>
      <c r="B514" s="141"/>
      <c r="C514" s="141" t="s">
        <v>872</v>
      </c>
      <c r="D514" s="141"/>
      <c r="E514" s="301"/>
      <c r="F514" s="299">
        <v>0.42618938899999997</v>
      </c>
      <c r="G514" s="129">
        <v>123.6858</v>
      </c>
      <c r="H514" s="129">
        <v>123.6858</v>
      </c>
      <c r="I514" s="129">
        <v>123.6858</v>
      </c>
      <c r="J514" s="129">
        <v>123.6858</v>
      </c>
      <c r="K514" s="129">
        <v>123.6858</v>
      </c>
      <c r="L514" s="129">
        <v>123.6858</v>
      </c>
      <c r="M514" s="129">
        <v>123.6858</v>
      </c>
      <c r="N514" s="129">
        <v>128.41720000000001</v>
      </c>
      <c r="O514" s="129">
        <v>132.30009999999999</v>
      </c>
      <c r="P514" s="129">
        <v>132.30009999999999</v>
      </c>
      <c r="Q514" s="129">
        <v>132.30009999999999</v>
      </c>
      <c r="R514" s="129">
        <v>132.30009999999999</v>
      </c>
    </row>
    <row r="515" spans="1:18" ht="15">
      <c r="A515" s="141"/>
      <c r="B515" s="141"/>
      <c r="C515" s="141"/>
      <c r="D515" s="141" t="s">
        <v>873</v>
      </c>
      <c r="E515" s="301"/>
      <c r="F515" s="299">
        <v>0.42618938899999997</v>
      </c>
      <c r="G515" s="129">
        <v>123.6858</v>
      </c>
      <c r="H515" s="129">
        <v>123.6858</v>
      </c>
      <c r="I515" s="129">
        <v>123.6858</v>
      </c>
      <c r="J515" s="129">
        <v>123.6858</v>
      </c>
      <c r="K515" s="129">
        <v>123.6858</v>
      </c>
      <c r="L515" s="129">
        <v>123.6858</v>
      </c>
      <c r="M515" s="129">
        <v>123.6858</v>
      </c>
      <c r="N515" s="129">
        <v>128.41720000000001</v>
      </c>
      <c r="O515" s="129">
        <v>132.30009999999999</v>
      </c>
      <c r="P515" s="129">
        <v>132.30009999999999</v>
      </c>
      <c r="Q515" s="129">
        <v>132.30009999999999</v>
      </c>
      <c r="R515" s="129">
        <v>132.30009999999999</v>
      </c>
    </row>
    <row r="516" spans="1:18" ht="15">
      <c r="A516" s="141"/>
      <c r="B516" s="141"/>
      <c r="C516" s="141"/>
      <c r="D516" s="141"/>
      <c r="E516" s="301" t="s">
        <v>874</v>
      </c>
      <c r="F516" s="300">
        <v>0.42618938899999997</v>
      </c>
      <c r="G516" s="130">
        <v>123.6858</v>
      </c>
      <c r="H516" s="130">
        <v>123.6858</v>
      </c>
      <c r="I516" s="130">
        <v>123.6858</v>
      </c>
      <c r="J516" s="130">
        <v>123.6858</v>
      </c>
      <c r="K516" s="130">
        <v>123.6858</v>
      </c>
      <c r="L516" s="130">
        <v>123.6858</v>
      </c>
      <c r="M516" s="130">
        <v>123.6858</v>
      </c>
      <c r="N516" s="130">
        <v>128.41720000000001</v>
      </c>
      <c r="O516" s="130">
        <v>132.30009999999999</v>
      </c>
      <c r="P516" s="130">
        <v>132.30009999999999</v>
      </c>
      <c r="Q516" s="130">
        <v>132.30009999999999</v>
      </c>
      <c r="R516" s="130">
        <v>132.30009999999999</v>
      </c>
    </row>
    <row r="517" spans="1:18" ht="15">
      <c r="A517" s="141"/>
      <c r="B517" s="141" t="s">
        <v>875</v>
      </c>
      <c r="C517" s="141"/>
      <c r="D517" s="141"/>
      <c r="E517" s="301"/>
      <c r="F517" s="299">
        <v>1.34465119</v>
      </c>
      <c r="G517" s="129">
        <v>123.0042</v>
      </c>
      <c r="H517" s="129">
        <v>123.0042</v>
      </c>
      <c r="I517" s="129">
        <v>123.0042</v>
      </c>
      <c r="J517" s="129">
        <v>123.0042</v>
      </c>
      <c r="K517" s="129">
        <v>124.62779999999999</v>
      </c>
      <c r="L517" s="129">
        <v>124.62779999999999</v>
      </c>
      <c r="M517" s="129">
        <v>124.62779999999999</v>
      </c>
      <c r="N517" s="129">
        <v>125.7495</v>
      </c>
      <c r="O517" s="129">
        <v>127.82429999999999</v>
      </c>
      <c r="P517" s="129">
        <v>127.82429999999999</v>
      </c>
      <c r="Q517" s="129">
        <v>127.82429999999999</v>
      </c>
      <c r="R517" s="129">
        <v>127.82429999999999</v>
      </c>
    </row>
    <row r="518" spans="1:18" ht="15">
      <c r="A518" s="141"/>
      <c r="B518" s="141"/>
      <c r="C518" s="141" t="s">
        <v>876</v>
      </c>
      <c r="D518" s="141"/>
      <c r="E518" s="301"/>
      <c r="F518" s="299">
        <v>1.34465119</v>
      </c>
      <c r="G518" s="129">
        <v>123.0042</v>
      </c>
      <c r="H518" s="129">
        <v>123.0042</v>
      </c>
      <c r="I518" s="129">
        <v>123.0042</v>
      </c>
      <c r="J518" s="129">
        <v>123.0042</v>
      </c>
      <c r="K518" s="129">
        <v>124.62779999999999</v>
      </c>
      <c r="L518" s="129">
        <v>124.62779999999999</v>
      </c>
      <c r="M518" s="129">
        <v>124.62779999999999</v>
      </c>
      <c r="N518" s="129">
        <v>125.7495</v>
      </c>
      <c r="O518" s="129">
        <v>127.82429999999999</v>
      </c>
      <c r="P518" s="129">
        <v>127.82429999999999</v>
      </c>
      <c r="Q518" s="129">
        <v>127.82429999999999</v>
      </c>
      <c r="R518" s="129">
        <v>127.82429999999999</v>
      </c>
    </row>
    <row r="519" spans="1:18" ht="15">
      <c r="A519" s="141"/>
      <c r="B519" s="141"/>
      <c r="C519" s="141"/>
      <c r="D519" s="141" t="s">
        <v>877</v>
      </c>
      <c r="E519" s="301"/>
      <c r="F519" s="299">
        <v>1.34465119</v>
      </c>
      <c r="G519" s="129">
        <v>123.0042</v>
      </c>
      <c r="H519" s="129">
        <v>123.0042</v>
      </c>
      <c r="I519" s="129">
        <v>123.0042</v>
      </c>
      <c r="J519" s="129">
        <v>123.0042</v>
      </c>
      <c r="K519" s="129">
        <v>124.62779999999999</v>
      </c>
      <c r="L519" s="129">
        <v>124.62779999999999</v>
      </c>
      <c r="M519" s="129">
        <v>124.62779999999999</v>
      </c>
      <c r="N519" s="129">
        <v>125.7495</v>
      </c>
      <c r="O519" s="129">
        <v>127.82429999999999</v>
      </c>
      <c r="P519" s="134">
        <v>127.82429999999999</v>
      </c>
      <c r="Q519" s="129">
        <v>127.82429999999999</v>
      </c>
      <c r="R519" s="129">
        <v>127.82429999999999</v>
      </c>
    </row>
    <row r="520" spans="1:18" ht="15">
      <c r="A520" s="141"/>
      <c r="B520" s="141"/>
      <c r="C520" s="141"/>
      <c r="D520" s="141"/>
      <c r="E520" s="301" t="s">
        <v>878</v>
      </c>
      <c r="F520" s="299">
        <v>1.34465119</v>
      </c>
      <c r="G520" s="129">
        <v>123.0042</v>
      </c>
      <c r="H520" s="129">
        <v>123.0042</v>
      </c>
      <c r="I520" s="129">
        <v>123.0042</v>
      </c>
      <c r="J520" s="129">
        <v>123.0042</v>
      </c>
      <c r="K520" s="129">
        <v>124.62779999999999</v>
      </c>
      <c r="L520" s="129">
        <v>124.62779999999999</v>
      </c>
      <c r="M520" s="129">
        <v>124.62779999999999</v>
      </c>
      <c r="N520" s="129">
        <v>125.7495</v>
      </c>
      <c r="O520" s="129">
        <v>127.82429999999999</v>
      </c>
      <c r="P520" s="129">
        <v>127.82429999999999</v>
      </c>
      <c r="Q520" s="129">
        <v>127.82429999999999</v>
      </c>
      <c r="R520" s="129">
        <v>127.82429999999999</v>
      </c>
    </row>
    <row r="521" spans="1:18" ht="15">
      <c r="A521" s="141"/>
      <c r="B521" s="141" t="s">
        <v>879</v>
      </c>
      <c r="C521" s="141"/>
      <c r="D521" s="141"/>
      <c r="E521" s="301"/>
      <c r="F521" s="299">
        <v>0.22327849699999999</v>
      </c>
      <c r="G521" s="129">
        <v>125.6688</v>
      </c>
      <c r="H521" s="129">
        <v>125.6688</v>
      </c>
      <c r="I521" s="129">
        <v>126.1254</v>
      </c>
      <c r="J521" s="129">
        <v>126.1254</v>
      </c>
      <c r="K521" s="129">
        <v>126.1878</v>
      </c>
      <c r="L521" s="129">
        <v>126.1878</v>
      </c>
      <c r="M521" s="129">
        <v>128.18960000000001</v>
      </c>
      <c r="N521" s="129">
        <v>128.3699</v>
      </c>
      <c r="O521" s="129">
        <v>128.3699</v>
      </c>
      <c r="P521" s="129">
        <v>128.3699</v>
      </c>
      <c r="Q521" s="129">
        <v>128.3699</v>
      </c>
      <c r="R521" s="129">
        <v>128.3699</v>
      </c>
    </row>
    <row r="522" spans="1:18" ht="15">
      <c r="A522" s="141"/>
      <c r="B522" s="141"/>
      <c r="C522" s="141" t="s">
        <v>880</v>
      </c>
      <c r="D522" s="141"/>
      <c r="E522" s="301"/>
      <c r="F522" s="299">
        <v>0.22327849699999999</v>
      </c>
      <c r="G522" s="129">
        <v>125.6688</v>
      </c>
      <c r="H522" s="129">
        <v>125.6688</v>
      </c>
      <c r="I522" s="129">
        <v>126.1254</v>
      </c>
      <c r="J522" s="129">
        <v>126.1254</v>
      </c>
      <c r="K522" s="129">
        <v>126.1878</v>
      </c>
      <c r="L522" s="129">
        <v>126.1878</v>
      </c>
      <c r="M522" s="129">
        <v>128.18960000000001</v>
      </c>
      <c r="N522" s="129">
        <v>128.3699</v>
      </c>
      <c r="O522" s="129">
        <v>128.3699</v>
      </c>
      <c r="P522" s="129">
        <v>128.3699</v>
      </c>
      <c r="Q522" s="129">
        <v>128.3699</v>
      </c>
      <c r="R522" s="129">
        <v>128.3699</v>
      </c>
    </row>
    <row r="523" spans="1:18" ht="15">
      <c r="A523" s="141"/>
      <c r="B523" s="141"/>
      <c r="C523" s="141"/>
      <c r="D523" s="141" t="s">
        <v>881</v>
      </c>
      <c r="E523" s="301"/>
      <c r="F523" s="299">
        <v>0.22327849699999999</v>
      </c>
      <c r="G523" s="129">
        <v>125.6688</v>
      </c>
      <c r="H523" s="129">
        <v>125.6688</v>
      </c>
      <c r="I523" s="129">
        <v>126.1254</v>
      </c>
      <c r="J523" s="129">
        <v>126.1254</v>
      </c>
      <c r="K523" s="129">
        <v>126.1878</v>
      </c>
      <c r="L523" s="129">
        <v>126.1878</v>
      </c>
      <c r="M523" s="129">
        <v>128.18960000000001</v>
      </c>
      <c r="N523" s="129">
        <v>128.3699</v>
      </c>
      <c r="O523" s="129">
        <v>128.3699</v>
      </c>
      <c r="P523" s="129">
        <v>128.3699</v>
      </c>
      <c r="Q523" s="129">
        <v>128.3699</v>
      </c>
      <c r="R523" s="129">
        <v>128.3699</v>
      </c>
    </row>
    <row r="524" spans="1:18" ht="15">
      <c r="A524" s="141"/>
      <c r="B524" s="141"/>
      <c r="C524" s="141"/>
      <c r="D524" s="141"/>
      <c r="E524" s="301" t="s">
        <v>882</v>
      </c>
      <c r="F524" s="299">
        <v>0.22327849699999999</v>
      </c>
      <c r="G524" s="129">
        <v>125.6688</v>
      </c>
      <c r="H524" s="129">
        <v>125.6688</v>
      </c>
      <c r="I524" s="129">
        <v>126.1254</v>
      </c>
      <c r="J524" s="129">
        <v>126.1254</v>
      </c>
      <c r="K524" s="129">
        <v>126.1878</v>
      </c>
      <c r="L524" s="129">
        <v>126.1878</v>
      </c>
      <c r="M524" s="129">
        <v>128.18960000000001</v>
      </c>
      <c r="N524" s="129">
        <v>128.3699</v>
      </c>
      <c r="O524" s="129">
        <v>128.3699</v>
      </c>
      <c r="P524" s="129">
        <v>128.3699</v>
      </c>
      <c r="Q524" s="129">
        <v>128.3699</v>
      </c>
      <c r="R524" s="129">
        <v>128.3699</v>
      </c>
    </row>
    <row r="525" spans="1:18" ht="15">
      <c r="A525" s="141" t="s">
        <v>883</v>
      </c>
      <c r="B525" s="141"/>
      <c r="C525" s="141"/>
      <c r="D525" s="141"/>
      <c r="E525" s="301"/>
      <c r="F525" s="299">
        <v>8.6166370699999995</v>
      </c>
      <c r="G525" s="129">
        <v>141.69149999999999</v>
      </c>
      <c r="H525" s="129">
        <v>142.3426</v>
      </c>
      <c r="I525" s="129">
        <v>142.92259999999999</v>
      </c>
      <c r="J525" s="129">
        <v>143.25790000000001</v>
      </c>
      <c r="K525" s="129">
        <v>143.8828</v>
      </c>
      <c r="L525" s="129">
        <v>144.3296</v>
      </c>
      <c r="M525" s="129">
        <v>144.95310000000001</v>
      </c>
      <c r="N525" s="129">
        <v>145.7766</v>
      </c>
      <c r="O525" s="129">
        <v>146.66990000000001</v>
      </c>
      <c r="P525" s="129">
        <v>147.62370000000001</v>
      </c>
      <c r="Q525" s="129">
        <v>148.3844</v>
      </c>
      <c r="R525" s="129">
        <v>149.8664</v>
      </c>
    </row>
    <row r="526" spans="1:18" ht="15">
      <c r="A526" s="141"/>
      <c r="B526" s="141" t="s">
        <v>884</v>
      </c>
      <c r="C526" s="141"/>
      <c r="D526" s="141"/>
      <c r="E526" s="301"/>
      <c r="F526" s="299">
        <v>8.5719378099999997</v>
      </c>
      <c r="G526" s="129">
        <v>141.75659999999999</v>
      </c>
      <c r="H526" s="129">
        <v>142.40610000000001</v>
      </c>
      <c r="I526" s="129">
        <v>142.98220000000001</v>
      </c>
      <c r="J526" s="129">
        <v>143.3389</v>
      </c>
      <c r="K526" s="129">
        <v>143.97380000000001</v>
      </c>
      <c r="L526" s="129">
        <v>144.42590000000001</v>
      </c>
      <c r="M526" s="129">
        <v>145.04750000000001</v>
      </c>
      <c r="N526" s="129">
        <v>145.8664</v>
      </c>
      <c r="O526" s="129">
        <v>146.75579999999999</v>
      </c>
      <c r="P526" s="129">
        <v>147.71260000000001</v>
      </c>
      <c r="Q526" s="129">
        <v>148.47</v>
      </c>
      <c r="R526" s="129">
        <v>149.9521</v>
      </c>
    </row>
    <row r="527" spans="1:18" ht="15" customHeight="1">
      <c r="A527" s="141"/>
      <c r="B527" s="141"/>
      <c r="C527" s="141" t="s">
        <v>885</v>
      </c>
      <c r="D527" s="141"/>
      <c r="E527" s="301"/>
      <c r="F527" s="299">
        <v>8.5719378099999997</v>
      </c>
      <c r="G527" s="129">
        <v>141.75659999999999</v>
      </c>
      <c r="H527" s="129">
        <v>142.40610000000001</v>
      </c>
      <c r="I527" s="129">
        <v>142.98220000000001</v>
      </c>
      <c r="J527" s="129">
        <v>143.3389</v>
      </c>
      <c r="K527" s="129">
        <v>143.97380000000001</v>
      </c>
      <c r="L527" s="129">
        <v>144.42590000000001</v>
      </c>
      <c r="M527" s="129">
        <v>145.04750000000001</v>
      </c>
      <c r="N527" s="129">
        <v>145.8664</v>
      </c>
      <c r="O527" s="129">
        <v>146.75579999999999</v>
      </c>
      <c r="P527" s="129">
        <v>147.71260000000001</v>
      </c>
      <c r="Q527" s="129">
        <v>148.47</v>
      </c>
      <c r="R527" s="129">
        <v>149.9521</v>
      </c>
    </row>
    <row r="528" spans="1:18" ht="15" customHeight="1">
      <c r="A528" s="141"/>
      <c r="B528" s="141"/>
      <c r="C528" s="141"/>
      <c r="D528" s="141" t="s">
        <v>886</v>
      </c>
      <c r="E528" s="301"/>
      <c r="F528" s="299">
        <v>7.8485218200000002</v>
      </c>
      <c r="G528" s="129">
        <v>141.58860000000001</v>
      </c>
      <c r="H528" s="129">
        <v>142.22569999999999</v>
      </c>
      <c r="I528" s="129">
        <v>142.76009999999999</v>
      </c>
      <c r="J528" s="129">
        <v>143.0778</v>
      </c>
      <c r="K528" s="129">
        <v>143.71860000000001</v>
      </c>
      <c r="L528" s="129">
        <v>144.1542</v>
      </c>
      <c r="M528" s="129">
        <v>144.76480000000001</v>
      </c>
      <c r="N528" s="129">
        <v>145.59100000000001</v>
      </c>
      <c r="O528" s="129">
        <v>146.49959999999999</v>
      </c>
      <c r="P528" s="129">
        <v>147.46430000000001</v>
      </c>
      <c r="Q528" s="129">
        <v>148.21119999999999</v>
      </c>
      <c r="R528" s="129">
        <v>149.74459999999999</v>
      </c>
    </row>
    <row r="529" spans="1:18" ht="15">
      <c r="A529" s="141"/>
      <c r="B529" s="141"/>
      <c r="C529" s="141"/>
      <c r="D529" s="141"/>
      <c r="E529" s="301" t="s">
        <v>887</v>
      </c>
      <c r="F529" s="299">
        <v>3.8984806500000002</v>
      </c>
      <c r="G529" s="129">
        <v>140.49510000000001</v>
      </c>
      <c r="H529" s="129">
        <v>141.07130000000001</v>
      </c>
      <c r="I529" s="129">
        <v>141.7278</v>
      </c>
      <c r="J529" s="129">
        <v>142.18520000000001</v>
      </c>
      <c r="K529" s="129">
        <v>142.79810000000001</v>
      </c>
      <c r="L529" s="129">
        <v>143.21530000000001</v>
      </c>
      <c r="M529" s="129">
        <v>143.94280000000001</v>
      </c>
      <c r="N529" s="129">
        <v>144.9546</v>
      </c>
      <c r="O529" s="129">
        <v>145.91679999999999</v>
      </c>
      <c r="P529" s="129">
        <v>146.98089999999999</v>
      </c>
      <c r="Q529" s="129">
        <v>147.61770000000001</v>
      </c>
      <c r="R529" s="129">
        <v>148.97919999999999</v>
      </c>
    </row>
    <row r="530" spans="1:18" ht="15">
      <c r="A530" s="141"/>
      <c r="B530" s="141"/>
      <c r="C530" s="141"/>
      <c r="D530" s="141"/>
      <c r="E530" s="301" t="s">
        <v>888</v>
      </c>
      <c r="F530" s="299">
        <v>1.4353238500000001</v>
      </c>
      <c r="G530" s="129">
        <v>137.4984</v>
      </c>
      <c r="H530" s="129">
        <v>138.33770000000001</v>
      </c>
      <c r="I530" s="129">
        <v>138.9288</v>
      </c>
      <c r="J530" s="129">
        <v>139.1088</v>
      </c>
      <c r="K530" s="129">
        <v>140.0504</v>
      </c>
      <c r="L530" s="129">
        <v>140.566</v>
      </c>
      <c r="M530" s="129">
        <v>140.74950000000001</v>
      </c>
      <c r="N530" s="129">
        <v>140.9341</v>
      </c>
      <c r="O530" s="129">
        <v>142.06720000000001</v>
      </c>
      <c r="P530" s="129">
        <v>143.10939999999999</v>
      </c>
      <c r="Q530" s="129">
        <v>144.04679999999999</v>
      </c>
      <c r="R530" s="129">
        <v>145.94839999999999</v>
      </c>
    </row>
    <row r="531" spans="1:18" ht="15">
      <c r="A531" s="141"/>
      <c r="B531" s="141"/>
      <c r="C531" s="141"/>
      <c r="D531" s="141"/>
      <c r="E531" s="301" t="s">
        <v>889</v>
      </c>
      <c r="F531" s="299">
        <v>1.09061903</v>
      </c>
      <c r="G531" s="129">
        <v>157.2107</v>
      </c>
      <c r="H531" s="129">
        <v>157.70490000000001</v>
      </c>
      <c r="I531" s="129">
        <v>157.97800000000001</v>
      </c>
      <c r="J531" s="129">
        <v>158.04599999999999</v>
      </c>
      <c r="K531" s="129">
        <v>158.43510000000001</v>
      </c>
      <c r="L531" s="129">
        <v>159.02959999999999</v>
      </c>
      <c r="M531" s="129">
        <v>159.3647</v>
      </c>
      <c r="N531" s="129">
        <v>160.49420000000001</v>
      </c>
      <c r="O531" s="129">
        <v>161.54470000000001</v>
      </c>
      <c r="P531" s="129">
        <v>162.41970000000001</v>
      </c>
      <c r="Q531" s="129">
        <v>163.02719999999999</v>
      </c>
      <c r="R531" s="129">
        <v>164.86869999999999</v>
      </c>
    </row>
    <row r="532" spans="1:18" ht="15">
      <c r="A532" s="141"/>
      <c r="B532" s="141"/>
      <c r="C532" s="141"/>
      <c r="D532" s="141"/>
      <c r="E532" s="301" t="s">
        <v>890</v>
      </c>
      <c r="F532" s="299">
        <v>0.490743506</v>
      </c>
      <c r="G532" s="129">
        <v>136.30119999999999</v>
      </c>
      <c r="H532" s="129">
        <v>137.02529999999999</v>
      </c>
      <c r="I532" s="129">
        <v>137.4803</v>
      </c>
      <c r="J532" s="129">
        <v>137.87620000000001</v>
      </c>
      <c r="K532" s="129">
        <v>138.4187</v>
      </c>
      <c r="L532" s="129">
        <v>138.82490000000001</v>
      </c>
      <c r="M532" s="129">
        <v>139.50020000000001</v>
      </c>
      <c r="N532" s="129">
        <v>140.09610000000001</v>
      </c>
      <c r="O532" s="129">
        <v>140.39570000000001</v>
      </c>
      <c r="P532" s="129">
        <v>140.76390000000001</v>
      </c>
      <c r="Q532" s="129">
        <v>141.49789999999999</v>
      </c>
      <c r="R532" s="129">
        <v>143.58590000000001</v>
      </c>
    </row>
    <row r="533" spans="1:18" ht="15">
      <c r="A533" s="141"/>
      <c r="B533" s="141"/>
      <c r="C533" s="141"/>
      <c r="D533" s="141"/>
      <c r="E533" s="301" t="s">
        <v>891</v>
      </c>
      <c r="F533" s="299">
        <v>0.36330663499999999</v>
      </c>
      <c r="G533" s="129">
        <v>126.3995</v>
      </c>
      <c r="H533" s="129">
        <v>126.9973</v>
      </c>
      <c r="I533" s="129">
        <v>127.08320000000001</v>
      </c>
      <c r="J533" s="129">
        <v>127.2025</v>
      </c>
      <c r="K533" s="129">
        <v>127.69540000000001</v>
      </c>
      <c r="L533" s="129">
        <v>127.9226</v>
      </c>
      <c r="M533" s="129">
        <v>129.30510000000001</v>
      </c>
      <c r="N533" s="129">
        <v>130.22790000000001</v>
      </c>
      <c r="O533" s="129">
        <v>130.44540000000001</v>
      </c>
      <c r="P533" s="129">
        <v>130.79599999999999</v>
      </c>
      <c r="Q533" s="129">
        <v>131.52539999999999</v>
      </c>
      <c r="R533" s="129">
        <v>132.05160000000001</v>
      </c>
    </row>
    <row r="534" spans="1:18" ht="15">
      <c r="A534" s="141"/>
      <c r="B534" s="141"/>
      <c r="C534" s="141"/>
      <c r="D534" s="141"/>
      <c r="E534" s="301" t="s">
        <v>892</v>
      </c>
      <c r="F534" s="299">
        <v>0.31807291199999999</v>
      </c>
      <c r="G534" s="129">
        <v>149.6816</v>
      </c>
      <c r="H534" s="129">
        <v>150.65989999999999</v>
      </c>
      <c r="I534" s="129">
        <v>150.9879</v>
      </c>
      <c r="J534" s="129">
        <v>151.18879999999999</v>
      </c>
      <c r="K534" s="129">
        <v>152.26740000000001</v>
      </c>
      <c r="L534" s="129">
        <v>152.3766</v>
      </c>
      <c r="M534" s="129">
        <v>153.40209999999999</v>
      </c>
      <c r="N534" s="129">
        <v>154.1739</v>
      </c>
      <c r="O534" s="129">
        <v>154.99590000000001</v>
      </c>
      <c r="P534" s="129">
        <v>156.55439999999999</v>
      </c>
      <c r="Q534" s="129">
        <v>158.6644</v>
      </c>
      <c r="R534" s="129">
        <v>160.12780000000001</v>
      </c>
    </row>
    <row r="535" spans="1:18" ht="15">
      <c r="A535" s="141"/>
      <c r="B535" s="141"/>
      <c r="C535" s="141"/>
      <c r="D535" s="141"/>
      <c r="E535" s="301" t="s">
        <v>893</v>
      </c>
      <c r="F535" s="299">
        <v>6.0326804999999997E-2</v>
      </c>
      <c r="G535" s="129">
        <v>140.0334</v>
      </c>
      <c r="H535" s="129">
        <v>140.72049999999999</v>
      </c>
      <c r="I535" s="129">
        <v>141.55009999999999</v>
      </c>
      <c r="J535" s="129">
        <v>141.7166</v>
      </c>
      <c r="K535" s="129">
        <v>142.3038</v>
      </c>
      <c r="L535" s="129">
        <v>142.3528</v>
      </c>
      <c r="M535" s="129">
        <v>143.1456</v>
      </c>
      <c r="N535" s="129">
        <v>144.1104</v>
      </c>
      <c r="O535" s="129">
        <v>144.60079999999999</v>
      </c>
      <c r="P535" s="129">
        <v>145.0463</v>
      </c>
      <c r="Q535" s="129">
        <v>145.35990000000001</v>
      </c>
      <c r="R535" s="129">
        <v>146.98079999999999</v>
      </c>
    </row>
    <row r="536" spans="1:18" ht="15">
      <c r="A536" s="141"/>
      <c r="B536" s="141"/>
      <c r="C536" s="141"/>
      <c r="D536" s="141"/>
      <c r="E536" s="301" t="s">
        <v>894</v>
      </c>
      <c r="F536" s="299">
        <v>9.8327793999999996E-2</v>
      </c>
      <c r="G536" s="129">
        <v>138.4479</v>
      </c>
      <c r="H536" s="129">
        <v>138.8434</v>
      </c>
      <c r="I536" s="129">
        <v>139.554</v>
      </c>
      <c r="J536" s="129">
        <v>139.9494</v>
      </c>
      <c r="K536" s="129">
        <v>140.2226</v>
      </c>
      <c r="L536" s="129">
        <v>140.8391</v>
      </c>
      <c r="M536" s="129">
        <v>141.5531</v>
      </c>
      <c r="N536" s="129">
        <v>142.06030000000001</v>
      </c>
      <c r="O536" s="129">
        <v>142.56399999999999</v>
      </c>
      <c r="P536" s="129">
        <v>143.1396</v>
      </c>
      <c r="Q536" s="129">
        <v>143.61279999999999</v>
      </c>
      <c r="R536" s="129">
        <v>144.82759999999999</v>
      </c>
    </row>
    <row r="537" spans="1:18" ht="15">
      <c r="A537" s="141"/>
      <c r="B537" s="141"/>
      <c r="C537" s="141"/>
      <c r="D537" s="141"/>
      <c r="E537" s="301" t="s">
        <v>895</v>
      </c>
      <c r="F537" s="299">
        <v>6.1885813999999997E-2</v>
      </c>
      <c r="G537" s="129">
        <v>125.49379999999999</v>
      </c>
      <c r="H537" s="129">
        <v>126.0286</v>
      </c>
      <c r="I537" s="129">
        <v>126.18899999999999</v>
      </c>
      <c r="J537" s="129">
        <v>126.3856</v>
      </c>
      <c r="K537" s="129">
        <v>126.5947</v>
      </c>
      <c r="L537" s="129">
        <v>126.9515</v>
      </c>
      <c r="M537" s="129">
        <v>127.5834</v>
      </c>
      <c r="N537" s="129">
        <v>127.9699</v>
      </c>
      <c r="O537" s="129">
        <v>128.33170000000001</v>
      </c>
      <c r="P537" s="129">
        <v>129.11949999999999</v>
      </c>
      <c r="Q537" s="129">
        <v>129.19890000000001</v>
      </c>
      <c r="R537" s="129">
        <v>129.85759999999999</v>
      </c>
    </row>
    <row r="538" spans="1:18" ht="15">
      <c r="A538" s="141"/>
      <c r="B538" s="141"/>
      <c r="C538" s="141"/>
      <c r="D538" s="141"/>
      <c r="E538" s="301" t="s">
        <v>896</v>
      </c>
      <c r="F538" s="299">
        <v>3.1434819000000003E-2</v>
      </c>
      <c r="G538" s="129">
        <v>142.65600000000001</v>
      </c>
      <c r="H538" s="129">
        <v>143.07660000000001</v>
      </c>
      <c r="I538" s="129">
        <v>143.07660000000001</v>
      </c>
      <c r="J538" s="129">
        <v>143.5446</v>
      </c>
      <c r="K538" s="129">
        <v>143.59350000000001</v>
      </c>
      <c r="L538" s="129">
        <v>143.62479999999999</v>
      </c>
      <c r="M538" s="129">
        <v>143.9478</v>
      </c>
      <c r="N538" s="129">
        <v>145.17570000000001</v>
      </c>
      <c r="O538" s="129">
        <v>145.76599999999999</v>
      </c>
      <c r="P538" s="129">
        <v>146.95590000000001</v>
      </c>
      <c r="Q538" s="129">
        <v>147.09540000000001</v>
      </c>
      <c r="R538" s="129">
        <v>148.6772</v>
      </c>
    </row>
    <row r="539" spans="1:18" ht="15">
      <c r="A539" s="141"/>
      <c r="B539" s="141"/>
      <c r="C539" s="141"/>
      <c r="D539" s="141" t="s">
        <v>897</v>
      </c>
      <c r="E539" s="301"/>
      <c r="F539" s="299">
        <v>0.72341599199999995</v>
      </c>
      <c r="G539" s="129">
        <v>143.5788</v>
      </c>
      <c r="H539" s="129">
        <v>144.36369999999999</v>
      </c>
      <c r="I539" s="129">
        <v>145.39189999999999</v>
      </c>
      <c r="J539" s="129">
        <v>146.172</v>
      </c>
      <c r="K539" s="129">
        <v>146.74160000000001</v>
      </c>
      <c r="L539" s="129">
        <v>147.3734</v>
      </c>
      <c r="M539" s="129">
        <v>148.1148</v>
      </c>
      <c r="N539" s="129">
        <v>148.85419999999999</v>
      </c>
      <c r="O539" s="129">
        <v>149.53559999999999</v>
      </c>
      <c r="P539" s="129">
        <v>150.4057</v>
      </c>
      <c r="Q539" s="129">
        <v>151.2773</v>
      </c>
      <c r="R539" s="129">
        <v>152.20349999999999</v>
      </c>
    </row>
    <row r="540" spans="1:18" ht="15" customHeight="1">
      <c r="A540" s="141"/>
      <c r="B540" s="141"/>
      <c r="C540" s="141"/>
      <c r="D540" s="141"/>
      <c r="E540" s="301" t="s">
        <v>898</v>
      </c>
      <c r="F540" s="299">
        <v>0.117417571</v>
      </c>
      <c r="G540" s="129">
        <v>147.69649999999999</v>
      </c>
      <c r="H540" s="129">
        <v>148.06110000000001</v>
      </c>
      <c r="I540" s="129">
        <v>148.48599999999999</v>
      </c>
      <c r="J540" s="129">
        <v>148.6651</v>
      </c>
      <c r="K540" s="129">
        <v>149.1541</v>
      </c>
      <c r="L540" s="129">
        <v>149.7509</v>
      </c>
      <c r="M540" s="129">
        <v>150.3681</v>
      </c>
      <c r="N540" s="129">
        <v>151.06700000000001</v>
      </c>
      <c r="O540" s="129">
        <v>151.86930000000001</v>
      </c>
      <c r="P540" s="129">
        <v>152.68969999999999</v>
      </c>
      <c r="Q540" s="129">
        <v>153.3903</v>
      </c>
      <c r="R540" s="129">
        <v>153.91319999999999</v>
      </c>
    </row>
    <row r="541" spans="1:18" ht="15">
      <c r="A541" s="141"/>
      <c r="B541" s="141"/>
      <c r="C541" s="141"/>
      <c r="D541" s="141"/>
      <c r="E541" s="301" t="s">
        <v>899</v>
      </c>
      <c r="F541" s="299">
        <v>0.46534578300000001</v>
      </c>
      <c r="G541" s="129">
        <v>145.14089999999999</v>
      </c>
      <c r="H541" s="129">
        <v>146.101</v>
      </c>
      <c r="I541" s="129">
        <v>147.1841</v>
      </c>
      <c r="J541" s="129">
        <v>148.07210000000001</v>
      </c>
      <c r="K541" s="129">
        <v>148.65809999999999</v>
      </c>
      <c r="L541" s="129">
        <v>149.35290000000001</v>
      </c>
      <c r="M541" s="129">
        <v>150.0752</v>
      </c>
      <c r="N541" s="129">
        <v>150.77510000000001</v>
      </c>
      <c r="O541" s="129">
        <v>151.4119</v>
      </c>
      <c r="P541" s="129">
        <v>152.40010000000001</v>
      </c>
      <c r="Q541" s="129">
        <v>153.37889999999999</v>
      </c>
      <c r="R541" s="129">
        <v>154.21700000000001</v>
      </c>
    </row>
    <row r="542" spans="1:18" ht="15">
      <c r="A542" s="141"/>
      <c r="B542" s="141"/>
      <c r="C542" s="141"/>
      <c r="D542" s="141"/>
      <c r="E542" s="301" t="s">
        <v>900</v>
      </c>
      <c r="F542" s="299">
        <v>6.4197313000000006E-2</v>
      </c>
      <c r="G542" s="129">
        <v>123.0419</v>
      </c>
      <c r="H542" s="129">
        <v>123.0419</v>
      </c>
      <c r="I542" s="129">
        <v>123.9323</v>
      </c>
      <c r="J542" s="129">
        <v>124.024</v>
      </c>
      <c r="K542" s="129">
        <v>124.23869999999999</v>
      </c>
      <c r="L542" s="129">
        <v>124.40389999999999</v>
      </c>
      <c r="M542" s="129">
        <v>124.8036</v>
      </c>
      <c r="N542" s="129">
        <v>125.0243</v>
      </c>
      <c r="O542" s="129">
        <v>125.2154</v>
      </c>
      <c r="P542" s="129">
        <v>125.2154</v>
      </c>
      <c r="Q542" s="129">
        <v>126.0364</v>
      </c>
      <c r="R542" s="129">
        <v>126.6983</v>
      </c>
    </row>
    <row r="543" spans="1:18" ht="15">
      <c r="A543" s="141"/>
      <c r="B543" s="141"/>
      <c r="C543" s="141"/>
      <c r="D543" s="141"/>
      <c r="E543" s="301" t="s">
        <v>901</v>
      </c>
      <c r="F543" s="299">
        <v>3.2268103999999999E-2</v>
      </c>
      <c r="G543" s="129">
        <v>134.41970000000001</v>
      </c>
      <c r="H543" s="129">
        <v>134.76750000000001</v>
      </c>
      <c r="I543" s="129">
        <v>135.1216</v>
      </c>
      <c r="J543" s="129">
        <v>135.28559999999999</v>
      </c>
      <c r="K543" s="129">
        <v>135.9658</v>
      </c>
      <c r="L543" s="129">
        <v>136.2602</v>
      </c>
      <c r="M543" s="129">
        <v>137.06950000000001</v>
      </c>
      <c r="N543" s="129">
        <v>137.78880000000001</v>
      </c>
      <c r="O543" s="129">
        <v>138.01400000000001</v>
      </c>
      <c r="P543" s="129">
        <v>138.72890000000001</v>
      </c>
      <c r="Q543" s="129">
        <v>139.33510000000001</v>
      </c>
      <c r="R543" s="129">
        <v>140.46530000000001</v>
      </c>
    </row>
    <row r="544" spans="1:18" ht="15">
      <c r="A544" s="141"/>
      <c r="B544" s="141"/>
      <c r="C544" s="141"/>
      <c r="D544" s="141"/>
      <c r="E544" s="301" t="s">
        <v>902</v>
      </c>
      <c r="F544" s="299">
        <v>4.4187220999999999E-2</v>
      </c>
      <c r="G544" s="129">
        <v>152.71190000000001</v>
      </c>
      <c r="H544" s="129">
        <v>154.2276</v>
      </c>
      <c r="I544" s="129">
        <v>156.9726</v>
      </c>
      <c r="J544" s="129">
        <v>159.66560000000001</v>
      </c>
      <c r="K544" s="129">
        <v>160.7114</v>
      </c>
      <c r="L544" s="129">
        <v>161.6953</v>
      </c>
      <c r="M544" s="129">
        <v>163.4145</v>
      </c>
      <c r="N544" s="129">
        <v>165.44579999999999</v>
      </c>
      <c r="O544" s="129">
        <v>167.32249999999999</v>
      </c>
      <c r="P544" s="129">
        <v>168.45740000000001</v>
      </c>
      <c r="Q544" s="129">
        <v>168.92310000000001</v>
      </c>
      <c r="R544" s="129">
        <v>172.08269999999999</v>
      </c>
    </row>
    <row r="545" spans="1:18" ht="15">
      <c r="A545" s="141"/>
      <c r="B545" s="141" t="s">
        <v>903</v>
      </c>
      <c r="C545" s="141"/>
      <c r="D545" s="141"/>
      <c r="E545" s="301"/>
      <c r="F545" s="299">
        <v>4.4699265000000002E-2</v>
      </c>
      <c r="G545" s="129">
        <v>129.2159</v>
      </c>
      <c r="H545" s="129">
        <v>130.15</v>
      </c>
      <c r="I545" s="129">
        <v>131.49789999999999</v>
      </c>
      <c r="J545" s="129">
        <v>127.71729999999999</v>
      </c>
      <c r="K545" s="129">
        <v>126.42910000000001</v>
      </c>
      <c r="L545" s="129">
        <v>125.8655</v>
      </c>
      <c r="M545" s="129">
        <v>126.8546</v>
      </c>
      <c r="N545" s="129">
        <v>128.54839999999999</v>
      </c>
      <c r="O545" s="129">
        <v>130.19810000000001</v>
      </c>
      <c r="P545" s="129">
        <v>130.57339999999999</v>
      </c>
      <c r="Q545" s="129">
        <v>131.97649999999999</v>
      </c>
      <c r="R545" s="129">
        <v>133.43549999999999</v>
      </c>
    </row>
    <row r="546" spans="1:18" ht="15">
      <c r="A546" s="141"/>
      <c r="B546" s="141"/>
      <c r="C546" s="141" t="s">
        <v>904</v>
      </c>
      <c r="D546" s="141"/>
      <c r="E546" s="301"/>
      <c r="F546" s="299">
        <v>4.4699265000000002E-2</v>
      </c>
      <c r="G546" s="129">
        <v>129.2159</v>
      </c>
      <c r="H546" s="129">
        <v>130.15</v>
      </c>
      <c r="I546" s="129">
        <v>131.49789999999999</v>
      </c>
      <c r="J546" s="129">
        <v>127.71729999999999</v>
      </c>
      <c r="K546" s="129">
        <v>126.42910000000001</v>
      </c>
      <c r="L546" s="129">
        <v>125.8655</v>
      </c>
      <c r="M546" s="129">
        <v>126.8546</v>
      </c>
      <c r="N546" s="129">
        <v>128.54839999999999</v>
      </c>
      <c r="O546" s="129">
        <v>130.19810000000001</v>
      </c>
      <c r="P546" s="129">
        <v>130.57339999999999</v>
      </c>
      <c r="Q546" s="129">
        <v>131.97649999999999</v>
      </c>
      <c r="R546" s="129">
        <v>133.43549999999999</v>
      </c>
    </row>
    <row r="547" spans="1:18" ht="15">
      <c r="A547" s="141"/>
      <c r="B547" s="141"/>
      <c r="C547" s="141"/>
      <c r="D547" s="141" t="s">
        <v>905</v>
      </c>
      <c r="E547" s="301"/>
      <c r="F547" s="299">
        <v>4.4699265000000002E-2</v>
      </c>
      <c r="G547" s="129">
        <v>129.2159</v>
      </c>
      <c r="H547" s="129">
        <v>130.15</v>
      </c>
      <c r="I547" s="129">
        <v>131.49789999999999</v>
      </c>
      <c r="J547" s="129">
        <v>127.71729999999999</v>
      </c>
      <c r="K547" s="129">
        <v>126.42910000000001</v>
      </c>
      <c r="L547" s="129">
        <v>125.8655</v>
      </c>
      <c r="M547" s="129">
        <v>126.8546</v>
      </c>
      <c r="N547" s="129">
        <v>128.54839999999999</v>
      </c>
      <c r="O547" s="129">
        <v>130.19810000000001</v>
      </c>
      <c r="P547" s="129">
        <v>130.57339999999999</v>
      </c>
      <c r="Q547" s="129">
        <v>131.97649999999999</v>
      </c>
      <c r="R547" s="129">
        <v>133.43549999999999</v>
      </c>
    </row>
    <row r="548" spans="1:18" ht="15">
      <c r="A548" s="141"/>
      <c r="B548" s="141"/>
      <c r="C548" s="141"/>
      <c r="D548" s="141"/>
      <c r="E548" s="301" t="s">
        <v>906</v>
      </c>
      <c r="F548" s="299">
        <v>4.4699265000000002E-2</v>
      </c>
      <c r="G548" s="129">
        <v>129.2159</v>
      </c>
      <c r="H548" s="129">
        <v>130.15</v>
      </c>
      <c r="I548" s="129">
        <v>131.49789999999999</v>
      </c>
      <c r="J548" s="129">
        <v>127.71729999999999</v>
      </c>
      <c r="K548" s="129">
        <v>126.42910000000001</v>
      </c>
      <c r="L548" s="129">
        <v>125.8655</v>
      </c>
      <c r="M548" s="129">
        <v>126.8546</v>
      </c>
      <c r="N548" s="129">
        <v>128.54839999999999</v>
      </c>
      <c r="O548" s="129">
        <v>130.19810000000001</v>
      </c>
      <c r="P548" s="129">
        <v>130.57339999999999</v>
      </c>
      <c r="Q548" s="129">
        <v>131.97649999999999</v>
      </c>
      <c r="R548" s="129">
        <v>133.43549999999999</v>
      </c>
    </row>
    <row r="549" spans="1:18" ht="15">
      <c r="A549" s="141" t="s">
        <v>907</v>
      </c>
      <c r="B549" s="141"/>
      <c r="C549" s="141"/>
      <c r="D549" s="141"/>
      <c r="E549" s="301"/>
      <c r="F549" s="299">
        <v>10.309428199999999</v>
      </c>
      <c r="G549" s="129">
        <v>138.3135</v>
      </c>
      <c r="H549" s="129">
        <v>138.9683</v>
      </c>
      <c r="I549" s="129">
        <v>139.512</v>
      </c>
      <c r="J549" s="129">
        <v>140.1225</v>
      </c>
      <c r="K549" s="129">
        <v>140.7467</v>
      </c>
      <c r="L549" s="129">
        <v>141.65369999999999</v>
      </c>
      <c r="M549" s="129">
        <v>142.13849999999999</v>
      </c>
      <c r="N549" s="129">
        <v>142.66380000000001</v>
      </c>
      <c r="O549" s="129">
        <v>142.9205</v>
      </c>
      <c r="P549" s="129">
        <v>143.5462</v>
      </c>
      <c r="Q549" s="129">
        <v>144.33959999999999</v>
      </c>
      <c r="R549" s="129">
        <v>146.2414</v>
      </c>
    </row>
    <row r="550" spans="1:18" ht="15">
      <c r="A550" s="141"/>
      <c r="B550" s="141" t="s">
        <v>908</v>
      </c>
      <c r="C550" s="141"/>
      <c r="D550" s="141"/>
      <c r="E550" s="301"/>
      <c r="F550" s="299">
        <v>8.6317942700000003</v>
      </c>
      <c r="G550" s="129">
        <v>141.1635</v>
      </c>
      <c r="H550" s="129">
        <v>141.89320000000001</v>
      </c>
      <c r="I550" s="129">
        <v>142.5086</v>
      </c>
      <c r="J550" s="129">
        <v>143.2149</v>
      </c>
      <c r="K550" s="129">
        <v>143.9248</v>
      </c>
      <c r="L550" s="129">
        <v>144.96019999999999</v>
      </c>
      <c r="M550" s="129">
        <v>145.50649999999999</v>
      </c>
      <c r="N550" s="129">
        <v>146.11940000000001</v>
      </c>
      <c r="O550" s="129">
        <v>146.39769999999999</v>
      </c>
      <c r="P550" s="129">
        <v>147.11189999999999</v>
      </c>
      <c r="Q550" s="129">
        <v>148.0341</v>
      </c>
      <c r="R550" s="129">
        <v>150.20939999999999</v>
      </c>
    </row>
    <row r="551" spans="1:18" ht="15">
      <c r="A551" s="141"/>
      <c r="B551" s="141"/>
      <c r="C551" s="141" t="s">
        <v>909</v>
      </c>
      <c r="D551" s="141"/>
      <c r="E551" s="301"/>
      <c r="F551" s="299">
        <v>3.52017968</v>
      </c>
      <c r="G551" s="129">
        <v>155.64930000000001</v>
      </c>
      <c r="H551" s="129">
        <v>157.04239999999999</v>
      </c>
      <c r="I551" s="129">
        <v>158.59370000000001</v>
      </c>
      <c r="J551" s="129">
        <v>159.3297</v>
      </c>
      <c r="K551" s="129">
        <v>160.64920000000001</v>
      </c>
      <c r="L551" s="129">
        <v>161.80099999999999</v>
      </c>
      <c r="M551" s="129">
        <v>162.43860000000001</v>
      </c>
      <c r="N551" s="129">
        <v>163.4462</v>
      </c>
      <c r="O551" s="129">
        <v>164.2313</v>
      </c>
      <c r="P551" s="129">
        <v>165.29470000000001</v>
      </c>
      <c r="Q551" s="129">
        <v>166.5735</v>
      </c>
      <c r="R551" s="129">
        <v>170.8682</v>
      </c>
    </row>
    <row r="552" spans="1:18" ht="15">
      <c r="A552" s="141"/>
      <c r="B552" s="141"/>
      <c r="C552" s="141"/>
      <c r="D552" s="141" t="s">
        <v>910</v>
      </c>
      <c r="E552" s="301"/>
      <c r="F552" s="299">
        <v>3.52017968</v>
      </c>
      <c r="G552" s="129">
        <v>155.64930000000001</v>
      </c>
      <c r="H552" s="129">
        <v>157.04239999999999</v>
      </c>
      <c r="I552" s="129">
        <v>158.59370000000001</v>
      </c>
      <c r="J552" s="129">
        <v>159.3297</v>
      </c>
      <c r="K552" s="129">
        <v>160.64920000000001</v>
      </c>
      <c r="L552" s="129">
        <v>161.80099999999999</v>
      </c>
      <c r="M552" s="129">
        <v>162.43860000000001</v>
      </c>
      <c r="N552" s="129">
        <v>163.4462</v>
      </c>
      <c r="O552" s="129">
        <v>164.2313</v>
      </c>
      <c r="P552" s="129">
        <v>165.29470000000001</v>
      </c>
      <c r="Q552" s="129">
        <v>166.5735</v>
      </c>
      <c r="R552" s="129">
        <v>170.8682</v>
      </c>
    </row>
    <row r="553" spans="1:18" ht="15">
      <c r="A553" s="141"/>
      <c r="B553" s="141"/>
      <c r="C553" s="141"/>
      <c r="D553" s="141"/>
      <c r="E553" s="301" t="s">
        <v>911</v>
      </c>
      <c r="F553" s="299">
        <v>1.52390881</v>
      </c>
      <c r="G553" s="129">
        <v>153.01349999999999</v>
      </c>
      <c r="H553" s="129">
        <v>154.1036</v>
      </c>
      <c r="I553" s="129">
        <v>155.11410000000001</v>
      </c>
      <c r="J553" s="129">
        <v>155.89150000000001</v>
      </c>
      <c r="K553" s="129">
        <v>156.86420000000001</v>
      </c>
      <c r="L553" s="129">
        <v>157.80860000000001</v>
      </c>
      <c r="M553" s="129">
        <v>158.59370000000001</v>
      </c>
      <c r="N553" s="129">
        <v>159.5898</v>
      </c>
      <c r="O553" s="129">
        <v>160.4828</v>
      </c>
      <c r="P553" s="129">
        <v>161.22059999999999</v>
      </c>
      <c r="Q553" s="129">
        <v>162.5608</v>
      </c>
      <c r="R553" s="129">
        <v>166.01499999999999</v>
      </c>
    </row>
    <row r="554" spans="1:18" ht="15">
      <c r="A554" s="141"/>
      <c r="B554" s="141"/>
      <c r="C554" s="141"/>
      <c r="D554" s="141"/>
      <c r="E554" s="301" t="s">
        <v>912</v>
      </c>
      <c r="F554" s="299">
        <v>1.2447088500000001</v>
      </c>
      <c r="G554" s="129">
        <v>162.9648</v>
      </c>
      <c r="H554" s="129">
        <v>165.08420000000001</v>
      </c>
      <c r="I554" s="129">
        <v>167.459</v>
      </c>
      <c r="J554" s="129">
        <v>168.24619999999999</v>
      </c>
      <c r="K554" s="129">
        <v>169.9769</v>
      </c>
      <c r="L554" s="129">
        <v>171.71449999999999</v>
      </c>
      <c r="M554" s="129">
        <v>172.0881</v>
      </c>
      <c r="N554" s="129">
        <v>173.38210000000001</v>
      </c>
      <c r="O554" s="129">
        <v>174.05019999999999</v>
      </c>
      <c r="P554" s="129">
        <v>175.52940000000001</v>
      </c>
      <c r="Q554" s="129">
        <v>176.92699999999999</v>
      </c>
      <c r="R554" s="129">
        <v>182.9691</v>
      </c>
    </row>
    <row r="555" spans="1:18" ht="15">
      <c r="A555" s="141"/>
      <c r="B555" s="141"/>
      <c r="C555" s="141"/>
      <c r="D555" s="141"/>
      <c r="E555" s="301" t="s">
        <v>913</v>
      </c>
      <c r="F555" s="299">
        <v>0.13057249700000001</v>
      </c>
      <c r="G555" s="129">
        <v>146.72399999999999</v>
      </c>
      <c r="H555" s="129">
        <v>147.59829999999999</v>
      </c>
      <c r="I555" s="129">
        <v>148.44919999999999</v>
      </c>
      <c r="J555" s="129">
        <v>148.8595</v>
      </c>
      <c r="K555" s="129">
        <v>149.4881</v>
      </c>
      <c r="L555" s="129">
        <v>150.0899</v>
      </c>
      <c r="M555" s="129">
        <v>150.7732</v>
      </c>
      <c r="N555" s="129">
        <v>151.3672</v>
      </c>
      <c r="O555" s="129">
        <v>151.7766</v>
      </c>
      <c r="P555" s="129">
        <v>152.78729999999999</v>
      </c>
      <c r="Q555" s="129">
        <v>153.91460000000001</v>
      </c>
      <c r="R555" s="129">
        <v>157.024</v>
      </c>
    </row>
    <row r="556" spans="1:18" ht="15">
      <c r="A556" s="141"/>
      <c r="B556" s="141"/>
      <c r="C556" s="141"/>
      <c r="D556" s="141"/>
      <c r="E556" s="301" t="s">
        <v>914</v>
      </c>
      <c r="F556" s="299">
        <v>0.135215059</v>
      </c>
      <c r="G556" s="129">
        <v>141.4042</v>
      </c>
      <c r="H556" s="129">
        <v>141.96960000000001</v>
      </c>
      <c r="I556" s="129">
        <v>142.25059999999999</v>
      </c>
      <c r="J556" s="129">
        <v>142.65039999999999</v>
      </c>
      <c r="K556" s="129">
        <v>144.10900000000001</v>
      </c>
      <c r="L556" s="129">
        <v>144.35480000000001</v>
      </c>
      <c r="M556" s="129">
        <v>144.68700000000001</v>
      </c>
      <c r="N556" s="129">
        <v>144.7261</v>
      </c>
      <c r="O556" s="129">
        <v>146.095</v>
      </c>
      <c r="P556" s="129">
        <v>147.03190000000001</v>
      </c>
      <c r="Q556" s="129">
        <v>147.97149999999999</v>
      </c>
      <c r="R556" s="129">
        <v>151.67400000000001</v>
      </c>
    </row>
    <row r="557" spans="1:18" ht="15">
      <c r="A557" s="141"/>
      <c r="B557" s="141"/>
      <c r="C557" s="141"/>
      <c r="D557" s="141"/>
      <c r="E557" s="301" t="s">
        <v>915</v>
      </c>
      <c r="F557" s="299">
        <v>0.21221938000000001</v>
      </c>
      <c r="G557" s="129">
        <v>152.6815</v>
      </c>
      <c r="H557" s="129">
        <v>153.26570000000001</v>
      </c>
      <c r="I557" s="129">
        <v>154.85560000000001</v>
      </c>
      <c r="J557" s="129">
        <v>155.56180000000001</v>
      </c>
      <c r="K557" s="129">
        <v>157.3657</v>
      </c>
      <c r="L557" s="129">
        <v>157.8536</v>
      </c>
      <c r="M557" s="129">
        <v>159.27539999999999</v>
      </c>
      <c r="N557" s="129">
        <v>159.82929999999999</v>
      </c>
      <c r="O557" s="129">
        <v>160.40180000000001</v>
      </c>
      <c r="P557" s="129">
        <v>161.3683</v>
      </c>
      <c r="Q557" s="129">
        <v>161.8639</v>
      </c>
      <c r="R557" s="129">
        <v>164.50200000000001</v>
      </c>
    </row>
    <row r="558" spans="1:18" ht="15">
      <c r="A558" s="141"/>
      <c r="B558" s="141"/>
      <c r="C558" s="141"/>
      <c r="D558" s="141"/>
      <c r="E558" s="301" t="s">
        <v>916</v>
      </c>
      <c r="F558" s="299">
        <v>0.13604454599999999</v>
      </c>
      <c r="G558" s="129">
        <v>143.9735</v>
      </c>
      <c r="H558" s="129">
        <v>144.71090000000001</v>
      </c>
      <c r="I558" s="129">
        <v>146.67189999999999</v>
      </c>
      <c r="J558" s="129">
        <v>147.2672</v>
      </c>
      <c r="K558" s="129">
        <v>148.19669999999999</v>
      </c>
      <c r="L558" s="129">
        <v>149.0393</v>
      </c>
      <c r="M558" s="129">
        <v>149.77520000000001</v>
      </c>
      <c r="N558" s="129">
        <v>150.3356</v>
      </c>
      <c r="O558" s="129">
        <v>151.0025</v>
      </c>
      <c r="P558" s="129">
        <v>151.97819999999999</v>
      </c>
      <c r="Q558" s="129">
        <v>152.63339999999999</v>
      </c>
      <c r="R558" s="129">
        <v>154.9905</v>
      </c>
    </row>
    <row r="559" spans="1:18" ht="15">
      <c r="A559" s="141"/>
      <c r="B559" s="141"/>
      <c r="C559" s="141"/>
      <c r="D559" s="141"/>
      <c r="E559" s="301" t="s">
        <v>917</v>
      </c>
      <c r="F559" s="299">
        <v>6.6549611999999994E-2</v>
      </c>
      <c r="G559" s="129">
        <v>150.13050000000001</v>
      </c>
      <c r="H559" s="129">
        <v>150.9297</v>
      </c>
      <c r="I559" s="129">
        <v>151.626</v>
      </c>
      <c r="J559" s="129">
        <v>151.96780000000001</v>
      </c>
      <c r="K559" s="129">
        <v>152.85890000000001</v>
      </c>
      <c r="L559" s="129">
        <v>153.8066</v>
      </c>
      <c r="M559" s="129">
        <v>154.33009999999999</v>
      </c>
      <c r="N559" s="129">
        <v>154.8579</v>
      </c>
      <c r="O559" s="129">
        <v>155.8811</v>
      </c>
      <c r="P559" s="129">
        <v>156.84119999999999</v>
      </c>
      <c r="Q559" s="129">
        <v>158.5318</v>
      </c>
      <c r="R559" s="129">
        <v>160.3133</v>
      </c>
    </row>
    <row r="560" spans="1:18" ht="15">
      <c r="A560" s="141"/>
      <c r="B560" s="141"/>
      <c r="C560" s="141"/>
      <c r="D560" s="141"/>
      <c r="E560" s="301" t="s">
        <v>918</v>
      </c>
      <c r="F560" s="299">
        <v>7.0960924999999994E-2</v>
      </c>
      <c r="G560" s="129">
        <v>163.93559999999999</v>
      </c>
      <c r="H560" s="129">
        <v>165.86420000000001</v>
      </c>
      <c r="I560" s="129">
        <v>168.19390000000001</v>
      </c>
      <c r="J560" s="129">
        <v>169.10900000000001</v>
      </c>
      <c r="K560" s="129">
        <v>171.36949999999999</v>
      </c>
      <c r="L560" s="129">
        <v>172.21170000000001</v>
      </c>
      <c r="M560" s="129">
        <v>172.38310000000001</v>
      </c>
      <c r="N560" s="129">
        <v>173.8826</v>
      </c>
      <c r="O560" s="129">
        <v>174.6198</v>
      </c>
      <c r="P560" s="129">
        <v>176.27850000000001</v>
      </c>
      <c r="Q560" s="129">
        <v>178.22980000000001</v>
      </c>
      <c r="R560" s="129">
        <v>184.25890000000001</v>
      </c>
    </row>
    <row r="561" spans="1:18" ht="15">
      <c r="A561" s="141"/>
      <c r="B561" s="141"/>
      <c r="C561" s="141" t="s">
        <v>919</v>
      </c>
      <c r="D561" s="141"/>
      <c r="E561" s="301"/>
      <c r="F561" s="299">
        <v>5.1116145900000003</v>
      </c>
      <c r="G561" s="129">
        <v>131.18770000000001</v>
      </c>
      <c r="H561" s="129">
        <v>131.4605</v>
      </c>
      <c r="I561" s="129">
        <v>131.43129999999999</v>
      </c>
      <c r="J561" s="129">
        <v>132.1173</v>
      </c>
      <c r="K561" s="129">
        <v>132.4074</v>
      </c>
      <c r="L561" s="129">
        <v>133.36250000000001</v>
      </c>
      <c r="M561" s="129">
        <v>133.8459</v>
      </c>
      <c r="N561" s="129">
        <v>134.18709999999999</v>
      </c>
      <c r="O561" s="129">
        <v>134.1163</v>
      </c>
      <c r="P561" s="129">
        <v>134.59</v>
      </c>
      <c r="Q561" s="129">
        <v>135.26660000000001</v>
      </c>
      <c r="R561" s="129">
        <v>135.98249999999999</v>
      </c>
    </row>
    <row r="562" spans="1:18" ht="15">
      <c r="A562" s="141"/>
      <c r="B562" s="141"/>
      <c r="C562" s="141"/>
      <c r="D562" s="141" t="s">
        <v>920</v>
      </c>
      <c r="E562" s="301"/>
      <c r="F562" s="299">
        <v>5.1116145900000003</v>
      </c>
      <c r="G562" s="129">
        <v>131.18770000000001</v>
      </c>
      <c r="H562" s="129">
        <v>131.4605</v>
      </c>
      <c r="I562" s="129">
        <v>131.43129999999999</v>
      </c>
      <c r="J562" s="129">
        <v>132.1173</v>
      </c>
      <c r="K562" s="129">
        <v>132.4074</v>
      </c>
      <c r="L562" s="129">
        <v>133.36250000000001</v>
      </c>
      <c r="M562" s="129">
        <v>133.8459</v>
      </c>
      <c r="N562" s="129">
        <v>134.18709999999999</v>
      </c>
      <c r="O562" s="129">
        <v>134.1163</v>
      </c>
      <c r="P562" s="129">
        <v>134.59</v>
      </c>
      <c r="Q562" s="129">
        <v>135.26660000000001</v>
      </c>
      <c r="R562" s="129">
        <v>135.98249999999999</v>
      </c>
    </row>
    <row r="563" spans="1:18" ht="15">
      <c r="A563" s="141"/>
      <c r="B563" s="141"/>
      <c r="C563" s="141"/>
      <c r="D563" s="141"/>
      <c r="E563" s="301" t="s">
        <v>921</v>
      </c>
      <c r="F563" s="299">
        <v>0.44101062200000002</v>
      </c>
      <c r="G563" s="129">
        <v>134.50409999999999</v>
      </c>
      <c r="H563" s="129">
        <v>134.26759999999999</v>
      </c>
      <c r="I563" s="129">
        <v>133.92509999999999</v>
      </c>
      <c r="J563" s="129">
        <v>134.1454</v>
      </c>
      <c r="K563" s="129">
        <v>134.20939999999999</v>
      </c>
      <c r="L563" s="129">
        <v>134.56649999999999</v>
      </c>
      <c r="M563" s="129">
        <v>134.7509</v>
      </c>
      <c r="N563" s="129">
        <v>135.07140000000001</v>
      </c>
      <c r="O563" s="129">
        <v>134.75989999999999</v>
      </c>
      <c r="P563" s="129">
        <v>135.53190000000001</v>
      </c>
      <c r="Q563" s="129">
        <v>135.6482</v>
      </c>
      <c r="R563" s="129">
        <v>136.00299999999999</v>
      </c>
    </row>
    <row r="564" spans="1:18" ht="15">
      <c r="A564" s="141"/>
      <c r="B564" s="141"/>
      <c r="C564" s="141"/>
      <c r="D564" s="141"/>
      <c r="E564" s="301" t="s">
        <v>922</v>
      </c>
      <c r="F564" s="299">
        <v>0.444139283</v>
      </c>
      <c r="G564" s="129">
        <v>129.00460000000001</v>
      </c>
      <c r="H564" s="129">
        <v>129.27950000000001</v>
      </c>
      <c r="I564" s="129">
        <v>129.95169999999999</v>
      </c>
      <c r="J564" s="129">
        <v>130.4162</v>
      </c>
      <c r="K564" s="129">
        <v>129.70500000000001</v>
      </c>
      <c r="L564" s="129">
        <v>130.8862</v>
      </c>
      <c r="M564" s="129">
        <v>132.0205</v>
      </c>
      <c r="N564" s="129">
        <v>132.572</v>
      </c>
      <c r="O564" s="129">
        <v>131.98330000000001</v>
      </c>
      <c r="P564" s="129">
        <v>132.2499</v>
      </c>
      <c r="Q564" s="129">
        <v>134.249</v>
      </c>
      <c r="R564" s="129">
        <v>134.5608</v>
      </c>
    </row>
    <row r="565" spans="1:18" ht="15">
      <c r="A565" s="141"/>
      <c r="B565" s="141"/>
      <c r="C565" s="141"/>
      <c r="D565" s="141"/>
      <c r="E565" s="301" t="s">
        <v>923</v>
      </c>
      <c r="F565" s="299">
        <v>0.51686253400000004</v>
      </c>
      <c r="G565" s="129">
        <v>141.5204</v>
      </c>
      <c r="H565" s="129">
        <v>141.98560000000001</v>
      </c>
      <c r="I565" s="129">
        <v>141.8399</v>
      </c>
      <c r="J565" s="129">
        <v>141.9288</v>
      </c>
      <c r="K565" s="129">
        <v>141.8083</v>
      </c>
      <c r="L565" s="129">
        <v>142.30099999999999</v>
      </c>
      <c r="M565" s="129">
        <v>142.37469999999999</v>
      </c>
      <c r="N565" s="129">
        <v>142.50409999999999</v>
      </c>
      <c r="O565" s="129">
        <v>142.77799999999999</v>
      </c>
      <c r="P565" s="129">
        <v>142.49979999999999</v>
      </c>
      <c r="Q565" s="129">
        <v>142.55719999999999</v>
      </c>
      <c r="R565" s="129">
        <v>142.7902</v>
      </c>
    </row>
    <row r="566" spans="1:18" ht="15">
      <c r="A566" s="141"/>
      <c r="B566" s="141"/>
      <c r="C566" s="141"/>
      <c r="D566" s="141"/>
      <c r="E566" s="301" t="s">
        <v>924</v>
      </c>
      <c r="F566" s="299">
        <v>0.40271215199999999</v>
      </c>
      <c r="G566" s="129">
        <v>117.2719</v>
      </c>
      <c r="H566" s="129">
        <v>116.8497</v>
      </c>
      <c r="I566" s="129">
        <v>116.7809</v>
      </c>
      <c r="J566" s="129">
        <v>118.39660000000001</v>
      </c>
      <c r="K566" s="129">
        <v>118.3279</v>
      </c>
      <c r="L566" s="129">
        <v>119.0399</v>
      </c>
      <c r="M566" s="129">
        <v>119.09690000000001</v>
      </c>
      <c r="N566" s="129">
        <v>119.7871</v>
      </c>
      <c r="O566" s="129">
        <v>118.6314</v>
      </c>
      <c r="P566" s="129">
        <v>119.027</v>
      </c>
      <c r="Q566" s="129">
        <v>119.4868</v>
      </c>
      <c r="R566" s="129">
        <v>121.0331</v>
      </c>
    </row>
    <row r="567" spans="1:18" ht="15">
      <c r="A567" s="141"/>
      <c r="B567" s="141"/>
      <c r="C567" s="141"/>
      <c r="D567" s="141"/>
      <c r="E567" s="301" t="s">
        <v>925</v>
      </c>
      <c r="F567" s="300">
        <v>0.55793835400000003</v>
      </c>
      <c r="G567" s="130">
        <v>141.87119999999999</v>
      </c>
      <c r="H567" s="130">
        <v>142.32660000000001</v>
      </c>
      <c r="I567" s="130">
        <v>142.982</v>
      </c>
      <c r="J567" s="130">
        <v>143.39330000000001</v>
      </c>
      <c r="K567" s="130">
        <v>144.99</v>
      </c>
      <c r="L567" s="130">
        <v>145.04750000000001</v>
      </c>
      <c r="M567" s="130">
        <v>145.7296</v>
      </c>
      <c r="N567" s="130">
        <v>145.83439999999999</v>
      </c>
      <c r="O567" s="130">
        <v>146.07849999999999</v>
      </c>
      <c r="P567" s="130">
        <v>146.5754</v>
      </c>
      <c r="Q567" s="130">
        <v>146.93</v>
      </c>
      <c r="R567" s="130">
        <v>147.38419999999999</v>
      </c>
    </row>
    <row r="568" spans="1:18" ht="15">
      <c r="A568" s="141"/>
      <c r="B568" s="141"/>
      <c r="C568" s="141"/>
      <c r="D568" s="141"/>
      <c r="E568" s="301" t="s">
        <v>926</v>
      </c>
      <c r="F568" s="299">
        <v>0.307465724</v>
      </c>
      <c r="G568" s="129">
        <v>118.26479999999999</v>
      </c>
      <c r="H568" s="129">
        <v>118.92230000000001</v>
      </c>
      <c r="I568" s="129">
        <v>118.9846</v>
      </c>
      <c r="J568" s="129">
        <v>119.078</v>
      </c>
      <c r="K568" s="129">
        <v>118.74420000000001</v>
      </c>
      <c r="L568" s="129">
        <v>119.0703</v>
      </c>
      <c r="M568" s="129">
        <v>119.35639999999999</v>
      </c>
      <c r="N568" s="129">
        <v>119.364</v>
      </c>
      <c r="O568" s="129">
        <v>119.3762</v>
      </c>
      <c r="P568" s="129">
        <v>119.7129</v>
      </c>
      <c r="Q568" s="129">
        <v>119.8608</v>
      </c>
      <c r="R568" s="129">
        <v>120.3897</v>
      </c>
    </row>
    <row r="569" spans="1:18" ht="15">
      <c r="A569" s="141"/>
      <c r="B569" s="141"/>
      <c r="C569" s="141"/>
      <c r="D569" s="141"/>
      <c r="E569" s="301" t="s">
        <v>927</v>
      </c>
      <c r="F569" s="299">
        <v>0.38914706100000002</v>
      </c>
      <c r="G569" s="129">
        <v>146.1035</v>
      </c>
      <c r="H569" s="129">
        <v>146.6206</v>
      </c>
      <c r="I569" s="129">
        <v>145.69200000000001</v>
      </c>
      <c r="J569" s="129">
        <v>146.53649999999999</v>
      </c>
      <c r="K569" s="129">
        <v>147.8563</v>
      </c>
      <c r="L569" s="129">
        <v>149.15129999999999</v>
      </c>
      <c r="M569" s="129">
        <v>150.05619999999999</v>
      </c>
      <c r="N569" s="129">
        <v>150.78809999999999</v>
      </c>
      <c r="O569" s="129">
        <v>150.79689999999999</v>
      </c>
      <c r="P569" s="129">
        <v>151.05160000000001</v>
      </c>
      <c r="Q569" s="129">
        <v>151.82730000000001</v>
      </c>
      <c r="R569" s="129">
        <v>151.89760000000001</v>
      </c>
    </row>
    <row r="570" spans="1:18" ht="15">
      <c r="A570" s="141"/>
      <c r="B570" s="141"/>
      <c r="C570" s="141"/>
      <c r="D570" s="141"/>
      <c r="E570" s="301" t="s">
        <v>928</v>
      </c>
      <c r="F570" s="299">
        <v>0.30499972400000003</v>
      </c>
      <c r="G570" s="129">
        <v>140.53989999999999</v>
      </c>
      <c r="H570" s="129">
        <v>141.0506</v>
      </c>
      <c r="I570" s="129">
        <v>141.6962</v>
      </c>
      <c r="J570" s="129">
        <v>142.2175</v>
      </c>
      <c r="K570" s="129">
        <v>142.6379</v>
      </c>
      <c r="L570" s="129">
        <v>143.0874</v>
      </c>
      <c r="M570" s="129">
        <v>143.44390000000001</v>
      </c>
      <c r="N570" s="129">
        <v>144.33869999999999</v>
      </c>
      <c r="O570" s="129">
        <v>145.18600000000001</v>
      </c>
      <c r="P570" s="129">
        <v>146.0907</v>
      </c>
      <c r="Q570" s="129">
        <v>147.27289999999999</v>
      </c>
      <c r="R570" s="129">
        <v>148.3075</v>
      </c>
    </row>
    <row r="571" spans="1:18" ht="15">
      <c r="A571" s="141"/>
      <c r="B571" s="141"/>
      <c r="C571" s="141"/>
      <c r="D571" s="141"/>
      <c r="E571" s="301" t="s">
        <v>929</v>
      </c>
      <c r="F571" s="299">
        <v>0.18422179699999999</v>
      </c>
      <c r="G571" s="129">
        <v>126.6293</v>
      </c>
      <c r="H571" s="129">
        <v>126.70910000000001</v>
      </c>
      <c r="I571" s="129">
        <v>126.4931</v>
      </c>
      <c r="J571" s="129">
        <v>127.3309</v>
      </c>
      <c r="K571" s="129">
        <v>127.2839</v>
      </c>
      <c r="L571" s="129">
        <v>128.42089999999999</v>
      </c>
      <c r="M571" s="129">
        <v>129.31880000000001</v>
      </c>
      <c r="N571" s="129">
        <v>130.1328</v>
      </c>
      <c r="O571" s="129">
        <v>130.45930000000001</v>
      </c>
      <c r="P571" s="129">
        <v>130.87909999999999</v>
      </c>
      <c r="Q571" s="129">
        <v>131.53450000000001</v>
      </c>
      <c r="R571" s="129">
        <v>132.2636</v>
      </c>
    </row>
    <row r="572" spans="1:18" ht="15">
      <c r="A572" s="141"/>
      <c r="B572" s="141"/>
      <c r="C572" s="141"/>
      <c r="D572" s="141"/>
      <c r="E572" s="301" t="s">
        <v>930</v>
      </c>
      <c r="F572" s="299">
        <v>0.11784979</v>
      </c>
      <c r="G572" s="129">
        <v>120.7079</v>
      </c>
      <c r="H572" s="129">
        <v>120.84</v>
      </c>
      <c r="I572" s="129">
        <v>120.46599999999999</v>
      </c>
      <c r="J572" s="129">
        <v>121.3257</v>
      </c>
      <c r="K572" s="129">
        <v>121.13590000000001</v>
      </c>
      <c r="L572" s="129">
        <v>122.96380000000001</v>
      </c>
      <c r="M572" s="129">
        <v>123.0112</v>
      </c>
      <c r="N572" s="129">
        <v>122.63809999999999</v>
      </c>
      <c r="O572" s="129">
        <v>122.6568</v>
      </c>
      <c r="P572" s="129">
        <v>123.59869999999999</v>
      </c>
      <c r="Q572" s="129">
        <v>124.1267</v>
      </c>
      <c r="R572" s="129">
        <v>124.7586</v>
      </c>
    </row>
    <row r="573" spans="1:18" ht="15">
      <c r="A573" s="141"/>
      <c r="B573" s="141"/>
      <c r="C573" s="141"/>
      <c r="D573" s="141"/>
      <c r="E573" s="301" t="s">
        <v>931</v>
      </c>
      <c r="F573" s="299">
        <v>0.150116897</v>
      </c>
      <c r="G573" s="129">
        <v>126.6327</v>
      </c>
      <c r="H573" s="129">
        <v>126.6431</v>
      </c>
      <c r="I573" s="129">
        <v>125.03449999999999</v>
      </c>
      <c r="J573" s="129">
        <v>125.9967</v>
      </c>
      <c r="K573" s="129">
        <v>124.92149999999999</v>
      </c>
      <c r="L573" s="129">
        <v>127.8443</v>
      </c>
      <c r="M573" s="129">
        <v>127.929</v>
      </c>
      <c r="N573" s="129">
        <v>128.0462</v>
      </c>
      <c r="O573" s="129">
        <v>128.83619999999999</v>
      </c>
      <c r="P573" s="129">
        <v>130.3965</v>
      </c>
      <c r="Q573" s="129">
        <v>131.82239999999999</v>
      </c>
      <c r="R573" s="129">
        <v>132.9983</v>
      </c>
    </row>
    <row r="574" spans="1:18" ht="15">
      <c r="A574" s="141"/>
      <c r="B574" s="141"/>
      <c r="C574" s="141"/>
      <c r="D574" s="141"/>
      <c r="E574" s="301" t="s">
        <v>932</v>
      </c>
      <c r="F574" s="299">
        <v>0.27102203800000002</v>
      </c>
      <c r="G574" s="129">
        <v>126.1467</v>
      </c>
      <c r="H574" s="129">
        <v>126.6066</v>
      </c>
      <c r="I574" s="129">
        <v>126.0992</v>
      </c>
      <c r="J574" s="129">
        <v>126.9284</v>
      </c>
      <c r="K574" s="129">
        <v>127.00069999999999</v>
      </c>
      <c r="L574" s="129">
        <v>129.6977</v>
      </c>
      <c r="M574" s="129">
        <v>129.9922</v>
      </c>
      <c r="N574" s="129">
        <v>130.66999999999999</v>
      </c>
      <c r="O574" s="129">
        <v>130.2611</v>
      </c>
      <c r="P574" s="129">
        <v>132.01499999999999</v>
      </c>
      <c r="Q574" s="129">
        <v>133.1859</v>
      </c>
      <c r="R574" s="129">
        <v>135.41540000000001</v>
      </c>
    </row>
    <row r="575" spans="1:18" ht="15">
      <c r="A575" s="141"/>
      <c r="B575" s="141"/>
      <c r="C575" s="141"/>
      <c r="D575" s="141"/>
      <c r="E575" s="301" t="s">
        <v>933</v>
      </c>
      <c r="F575" s="299">
        <v>0.12725207999999999</v>
      </c>
      <c r="G575" s="129">
        <v>125.9687</v>
      </c>
      <c r="H575" s="129">
        <v>126.1448</v>
      </c>
      <c r="I575" s="129">
        <v>125.55459999999999</v>
      </c>
      <c r="J575" s="129">
        <v>126.419</v>
      </c>
      <c r="K575" s="129">
        <v>126.6183</v>
      </c>
      <c r="L575" s="129">
        <v>127.6619</v>
      </c>
      <c r="M575" s="129">
        <v>128.3733</v>
      </c>
      <c r="N575" s="129">
        <v>128.84139999999999</v>
      </c>
      <c r="O575" s="129">
        <v>129.32079999999999</v>
      </c>
      <c r="P575" s="129">
        <v>129.48079999999999</v>
      </c>
      <c r="Q575" s="129">
        <v>130.27209999999999</v>
      </c>
      <c r="R575" s="129">
        <v>131.21780000000001</v>
      </c>
    </row>
    <row r="576" spans="1:18" ht="15">
      <c r="A576" s="141"/>
      <c r="B576" s="141"/>
      <c r="C576" s="141"/>
      <c r="D576" s="141"/>
      <c r="E576" s="301" t="s">
        <v>934</v>
      </c>
      <c r="F576" s="299">
        <v>0.121339216</v>
      </c>
      <c r="G576" s="129">
        <v>137.12299999999999</v>
      </c>
      <c r="H576" s="129">
        <v>137.19220000000001</v>
      </c>
      <c r="I576" s="129">
        <v>138.76589999999999</v>
      </c>
      <c r="J576" s="129">
        <v>141.79220000000001</v>
      </c>
      <c r="K576" s="129">
        <v>143.9521</v>
      </c>
      <c r="L576" s="129">
        <v>146.22720000000001</v>
      </c>
      <c r="M576" s="129">
        <v>147.36799999999999</v>
      </c>
      <c r="N576" s="129">
        <v>147.10169999999999</v>
      </c>
      <c r="O576" s="129">
        <v>146.91749999999999</v>
      </c>
      <c r="P576" s="129">
        <v>144.22649999999999</v>
      </c>
      <c r="Q576" s="129">
        <v>144.9538</v>
      </c>
      <c r="R576" s="129">
        <v>147.23570000000001</v>
      </c>
    </row>
    <row r="577" spans="1:18" ht="15">
      <c r="A577" s="141"/>
      <c r="B577" s="141"/>
      <c r="C577" s="141"/>
      <c r="D577" s="141"/>
      <c r="E577" s="301" t="s">
        <v>935</v>
      </c>
      <c r="F577" s="299">
        <v>0.17305462699999999</v>
      </c>
      <c r="G577" s="129">
        <v>132.29390000000001</v>
      </c>
      <c r="H577" s="129">
        <v>132.6</v>
      </c>
      <c r="I577" s="129">
        <v>133.1961</v>
      </c>
      <c r="J577" s="129">
        <v>133.9676</v>
      </c>
      <c r="K577" s="129">
        <v>135.11859999999999</v>
      </c>
      <c r="L577" s="129">
        <v>136.44030000000001</v>
      </c>
      <c r="M577" s="129">
        <v>136.49449999999999</v>
      </c>
      <c r="N577" s="129">
        <v>136.137</v>
      </c>
      <c r="O577" s="129">
        <v>136.25739999999999</v>
      </c>
      <c r="P577" s="129">
        <v>136.89940000000001</v>
      </c>
      <c r="Q577" s="129">
        <v>136.7269</v>
      </c>
      <c r="R577" s="129">
        <v>136.98349999999999</v>
      </c>
    </row>
    <row r="578" spans="1:18" ht="15">
      <c r="A578" s="141"/>
      <c r="B578" s="141"/>
      <c r="C578" s="141"/>
      <c r="D578" s="141"/>
      <c r="E578" s="301" t="s">
        <v>936</v>
      </c>
      <c r="F578" s="299">
        <v>4.9919379999999996E-3</v>
      </c>
      <c r="G578" s="129">
        <v>115.7028</v>
      </c>
      <c r="H578" s="129">
        <v>115.6069</v>
      </c>
      <c r="I578" s="129">
        <v>115.5883</v>
      </c>
      <c r="J578" s="129">
        <v>116.2424</v>
      </c>
      <c r="K578" s="129">
        <v>114.9432</v>
      </c>
      <c r="L578" s="129">
        <v>116.06740000000001</v>
      </c>
      <c r="M578" s="129">
        <v>116.2954</v>
      </c>
      <c r="N578" s="129">
        <v>116.05800000000001</v>
      </c>
      <c r="O578" s="129">
        <v>116.2159</v>
      </c>
      <c r="P578" s="129">
        <v>116.3438</v>
      </c>
      <c r="Q578" s="129">
        <v>116.2959</v>
      </c>
      <c r="R578" s="129">
        <v>116.3404</v>
      </c>
    </row>
    <row r="579" spans="1:18" ht="15">
      <c r="A579" s="141"/>
      <c r="B579" s="141"/>
      <c r="C579" s="141"/>
      <c r="D579" s="141"/>
      <c r="E579" s="301" t="s">
        <v>937</v>
      </c>
      <c r="F579" s="299">
        <v>9.3235363000000002E-2</v>
      </c>
      <c r="G579" s="129">
        <v>118.37479999999999</v>
      </c>
      <c r="H579" s="129">
        <v>118.4893</v>
      </c>
      <c r="I579" s="129">
        <v>117.80200000000001</v>
      </c>
      <c r="J579" s="129">
        <v>118.15130000000001</v>
      </c>
      <c r="K579" s="129">
        <v>117.9376</v>
      </c>
      <c r="L579" s="129">
        <v>118.68519999999999</v>
      </c>
      <c r="M579" s="129">
        <v>119.0459</v>
      </c>
      <c r="N579" s="129">
        <v>119.038</v>
      </c>
      <c r="O579" s="129">
        <v>118.5318</v>
      </c>
      <c r="P579" s="129">
        <v>119.376</v>
      </c>
      <c r="Q579" s="129">
        <v>119.55500000000001</v>
      </c>
      <c r="R579" s="129">
        <v>119.7595</v>
      </c>
    </row>
    <row r="580" spans="1:18" ht="15">
      <c r="A580" s="141"/>
      <c r="B580" s="141"/>
      <c r="C580" s="141"/>
      <c r="D580" s="141"/>
      <c r="E580" s="301" t="s">
        <v>938</v>
      </c>
      <c r="F580" s="299">
        <v>0.22640378999999999</v>
      </c>
      <c r="G580" s="129">
        <v>120.3407</v>
      </c>
      <c r="H580" s="129">
        <v>120.8557</v>
      </c>
      <c r="I580" s="129">
        <v>120.85980000000001</v>
      </c>
      <c r="J580" s="129">
        <v>121.23990000000001</v>
      </c>
      <c r="K580" s="129">
        <v>121.2945</v>
      </c>
      <c r="L580" s="129">
        <v>121.4787</v>
      </c>
      <c r="M580" s="129">
        <v>121.8154</v>
      </c>
      <c r="N580" s="129">
        <v>121.90470000000001</v>
      </c>
      <c r="O580" s="129">
        <v>121.8848</v>
      </c>
      <c r="P580" s="129">
        <v>122.9331</v>
      </c>
      <c r="Q580" s="129">
        <v>123.7492</v>
      </c>
      <c r="R580" s="129">
        <v>124.5177</v>
      </c>
    </row>
    <row r="581" spans="1:18" ht="15">
      <c r="A581" s="141"/>
      <c r="B581" s="141"/>
      <c r="C581" s="141"/>
      <c r="D581" s="141"/>
      <c r="E581" s="301" t="s">
        <v>939</v>
      </c>
      <c r="F581" s="299">
        <v>9.6793344000000003E-2</v>
      </c>
      <c r="G581" s="129">
        <v>123.8211</v>
      </c>
      <c r="H581" s="129">
        <v>124.3717</v>
      </c>
      <c r="I581" s="129">
        <v>124.77160000000001</v>
      </c>
      <c r="J581" s="129">
        <v>126.702</v>
      </c>
      <c r="K581" s="129">
        <v>126.8725</v>
      </c>
      <c r="L581" s="129">
        <v>128.8493</v>
      </c>
      <c r="M581" s="129">
        <v>130.01519999999999</v>
      </c>
      <c r="N581" s="129">
        <v>130.3877</v>
      </c>
      <c r="O581" s="129">
        <v>130.57089999999999</v>
      </c>
      <c r="P581" s="129">
        <v>131.0042</v>
      </c>
      <c r="Q581" s="129">
        <v>131.0959</v>
      </c>
      <c r="R581" s="129">
        <v>132.70779999999999</v>
      </c>
    </row>
    <row r="582" spans="1:18" ht="15">
      <c r="A582" s="141"/>
      <c r="B582" s="141"/>
      <c r="C582" s="141"/>
      <c r="D582" s="141"/>
      <c r="E582" s="301" t="s">
        <v>940</v>
      </c>
      <c r="F582" s="299">
        <v>4.3284625E-2</v>
      </c>
      <c r="G582" s="129">
        <v>123.2013</v>
      </c>
      <c r="H582" s="129">
        <v>125.2286</v>
      </c>
      <c r="I582" s="129">
        <v>123.0729</v>
      </c>
      <c r="J582" s="129">
        <v>124.8143</v>
      </c>
      <c r="K582" s="129">
        <v>126.24890000000001</v>
      </c>
      <c r="L582" s="129">
        <v>130.86349999999999</v>
      </c>
      <c r="M582" s="129">
        <v>132.90969999999999</v>
      </c>
      <c r="N582" s="129">
        <v>133.71420000000001</v>
      </c>
      <c r="O582" s="129">
        <v>132.9442</v>
      </c>
      <c r="P582" s="129">
        <v>133.62469999999999</v>
      </c>
      <c r="Q582" s="129">
        <v>136.23849999999999</v>
      </c>
      <c r="R582" s="129">
        <v>136.79820000000001</v>
      </c>
    </row>
    <row r="583" spans="1:18" ht="15">
      <c r="A583" s="141"/>
      <c r="B583" s="141"/>
      <c r="C583" s="141"/>
      <c r="D583" s="141"/>
      <c r="E583" s="301" t="s">
        <v>941</v>
      </c>
      <c r="F583" s="299">
        <v>7.4818144000000003E-2</v>
      </c>
      <c r="G583" s="129">
        <v>108.21250000000001</v>
      </c>
      <c r="H583" s="129">
        <v>107.8146</v>
      </c>
      <c r="I583" s="129">
        <v>107.1247</v>
      </c>
      <c r="J583" s="129">
        <v>107.96380000000001</v>
      </c>
      <c r="K583" s="129">
        <v>107.97450000000001</v>
      </c>
      <c r="L583" s="129">
        <v>108.6793</v>
      </c>
      <c r="M583" s="129">
        <v>109.1147</v>
      </c>
      <c r="N583" s="129">
        <v>109.3426</v>
      </c>
      <c r="O583" s="129">
        <v>108.4397</v>
      </c>
      <c r="P583" s="129">
        <v>108.6575</v>
      </c>
      <c r="Q583" s="129">
        <v>110.0314</v>
      </c>
      <c r="R583" s="129">
        <v>110.5258</v>
      </c>
    </row>
    <row r="584" spans="1:18" ht="15">
      <c r="A584" s="141"/>
      <c r="B584" s="141"/>
      <c r="C584" s="141"/>
      <c r="D584" s="141"/>
      <c r="E584" s="301" t="s">
        <v>942</v>
      </c>
      <c r="F584" s="299">
        <v>3.5369904000000001E-2</v>
      </c>
      <c r="G584" s="129">
        <v>123.947</v>
      </c>
      <c r="H584" s="129">
        <v>124.0342</v>
      </c>
      <c r="I584" s="129">
        <v>123.8138</v>
      </c>
      <c r="J584" s="129">
        <v>124.41840000000001</v>
      </c>
      <c r="K584" s="129">
        <v>125.2176</v>
      </c>
      <c r="L584" s="129">
        <v>126.82899999999999</v>
      </c>
      <c r="M584" s="129">
        <v>127.7966</v>
      </c>
      <c r="N584" s="129">
        <v>128.12559999999999</v>
      </c>
      <c r="O584" s="129">
        <v>127.43989999999999</v>
      </c>
      <c r="P584" s="129">
        <v>128.90889999999999</v>
      </c>
      <c r="Q584" s="129">
        <v>130.7149</v>
      </c>
      <c r="R584" s="129">
        <v>131.39349999999999</v>
      </c>
    </row>
    <row r="585" spans="1:18" ht="15">
      <c r="A585" s="141"/>
      <c r="B585" s="141"/>
      <c r="C585" s="141"/>
      <c r="D585" s="141"/>
      <c r="E585" s="301" t="s">
        <v>943</v>
      </c>
      <c r="F585" s="299">
        <v>2.7585583E-2</v>
      </c>
      <c r="G585" s="129">
        <v>122.6735</v>
      </c>
      <c r="H585" s="129">
        <v>123.0958</v>
      </c>
      <c r="I585" s="129">
        <v>123.3522</v>
      </c>
      <c r="J585" s="129">
        <v>125.4118</v>
      </c>
      <c r="K585" s="129">
        <v>126.248</v>
      </c>
      <c r="L585" s="129">
        <v>127.51560000000001</v>
      </c>
      <c r="M585" s="129">
        <v>128.03270000000001</v>
      </c>
      <c r="N585" s="129">
        <v>128.17060000000001</v>
      </c>
      <c r="O585" s="129">
        <v>127.73260000000001</v>
      </c>
      <c r="P585" s="129">
        <v>128.90020000000001</v>
      </c>
      <c r="Q585" s="129">
        <v>130.1841</v>
      </c>
      <c r="R585" s="129">
        <v>130.0531</v>
      </c>
    </row>
    <row r="586" spans="1:18" ht="15">
      <c r="A586" s="141"/>
      <c r="B586" s="141" t="s">
        <v>944</v>
      </c>
      <c r="C586" s="141"/>
      <c r="D586" s="141"/>
      <c r="E586" s="301"/>
      <c r="F586" s="299">
        <v>0.165576482</v>
      </c>
      <c r="G586" s="129">
        <v>108.35850000000001</v>
      </c>
      <c r="H586" s="129">
        <v>108.7214</v>
      </c>
      <c r="I586" s="129">
        <v>109.1035</v>
      </c>
      <c r="J586" s="129">
        <v>109.1661</v>
      </c>
      <c r="K586" s="129">
        <v>109.2991</v>
      </c>
      <c r="L586" s="129">
        <v>109.31319999999999</v>
      </c>
      <c r="M586" s="129">
        <v>109.5335</v>
      </c>
      <c r="N586" s="129">
        <v>109.4941</v>
      </c>
      <c r="O586" s="129">
        <v>109.89190000000001</v>
      </c>
      <c r="P586" s="129">
        <v>110.1452</v>
      </c>
      <c r="Q586" s="129">
        <v>110.0645</v>
      </c>
      <c r="R586" s="129">
        <v>110.5635</v>
      </c>
    </row>
    <row r="587" spans="1:18" ht="15">
      <c r="A587" s="141"/>
      <c r="B587" s="141"/>
      <c r="C587" s="141" t="s">
        <v>945</v>
      </c>
      <c r="D587" s="141"/>
      <c r="E587" s="301"/>
      <c r="F587" s="299">
        <v>4.7365668999999999E-2</v>
      </c>
      <c r="G587" s="129">
        <v>127.1494</v>
      </c>
      <c r="H587" s="129">
        <v>127.2223</v>
      </c>
      <c r="I587" s="129">
        <v>128.66890000000001</v>
      </c>
      <c r="J587" s="129">
        <v>128.71629999999999</v>
      </c>
      <c r="K587" s="129">
        <v>129.01329999999999</v>
      </c>
      <c r="L587" s="129">
        <v>129.1148</v>
      </c>
      <c r="M587" s="129">
        <v>130.15809999999999</v>
      </c>
      <c r="N587" s="129">
        <v>130.3621</v>
      </c>
      <c r="O587" s="129">
        <v>130.98580000000001</v>
      </c>
      <c r="P587" s="129">
        <v>131.7619</v>
      </c>
      <c r="Q587" s="129">
        <v>132.5095</v>
      </c>
      <c r="R587" s="129">
        <v>133.3623</v>
      </c>
    </row>
    <row r="588" spans="1:18" ht="18" customHeight="1">
      <c r="A588" s="141"/>
      <c r="B588" s="141"/>
      <c r="C588" s="141"/>
      <c r="D588" s="141" t="s">
        <v>946</v>
      </c>
      <c r="E588" s="301"/>
      <c r="F588" s="299">
        <v>4.7365668999999999E-2</v>
      </c>
      <c r="G588" s="129">
        <v>127.1494</v>
      </c>
      <c r="H588" s="129">
        <v>127.2223</v>
      </c>
      <c r="I588" s="129">
        <v>128.66890000000001</v>
      </c>
      <c r="J588" s="129">
        <v>128.71629999999999</v>
      </c>
      <c r="K588" s="129">
        <v>129.01329999999999</v>
      </c>
      <c r="L588" s="129">
        <v>129.1148</v>
      </c>
      <c r="M588" s="129">
        <v>130.15809999999999</v>
      </c>
      <c r="N588" s="129">
        <v>130.3621</v>
      </c>
      <c r="O588" s="129">
        <v>130.98580000000001</v>
      </c>
      <c r="P588" s="129">
        <v>131.7619</v>
      </c>
      <c r="Q588" s="129">
        <v>132.5095</v>
      </c>
      <c r="R588" s="129">
        <v>133.3623</v>
      </c>
    </row>
    <row r="589" spans="1:18" ht="15">
      <c r="A589" s="141"/>
      <c r="B589" s="141"/>
      <c r="C589" s="141"/>
      <c r="D589" s="141"/>
      <c r="E589" s="301" t="s">
        <v>947</v>
      </c>
      <c r="F589" s="299">
        <v>2.9657689000000001E-2</v>
      </c>
      <c r="G589" s="129">
        <v>129.31309999999999</v>
      </c>
      <c r="H589" s="129">
        <v>129.41720000000001</v>
      </c>
      <c r="I589" s="129">
        <v>131.18170000000001</v>
      </c>
      <c r="J589" s="129">
        <v>130.7962</v>
      </c>
      <c r="K589" s="129">
        <v>131.136</v>
      </c>
      <c r="L589" s="129">
        <v>131.0797</v>
      </c>
      <c r="M589" s="129">
        <v>131.6336</v>
      </c>
      <c r="N589" s="129">
        <v>131.95650000000001</v>
      </c>
      <c r="O589" s="129">
        <v>133.10740000000001</v>
      </c>
      <c r="P589" s="129">
        <v>133.4999</v>
      </c>
      <c r="Q589" s="129">
        <v>134.36850000000001</v>
      </c>
      <c r="R589" s="129">
        <v>134.9393</v>
      </c>
    </row>
    <row r="590" spans="1:18" ht="15">
      <c r="A590" s="141"/>
      <c r="B590" s="141"/>
      <c r="C590" s="141"/>
      <c r="D590" s="141"/>
      <c r="E590" s="301" t="s">
        <v>948</v>
      </c>
      <c r="F590" s="299">
        <v>1.7707980000000002E-2</v>
      </c>
      <c r="G590" s="129">
        <v>123.5256</v>
      </c>
      <c r="H590" s="129">
        <v>123.5462</v>
      </c>
      <c r="I590" s="129">
        <v>124.46040000000001</v>
      </c>
      <c r="J590" s="129">
        <v>125.2328</v>
      </c>
      <c r="K590" s="129">
        <v>125.458</v>
      </c>
      <c r="L590" s="129">
        <v>125.82389999999999</v>
      </c>
      <c r="M590" s="129">
        <v>127.68680000000001</v>
      </c>
      <c r="N590" s="129">
        <v>127.6918</v>
      </c>
      <c r="O590" s="129">
        <v>127.4325</v>
      </c>
      <c r="P590" s="129">
        <v>128.8509</v>
      </c>
      <c r="Q590" s="129">
        <v>129.39599999999999</v>
      </c>
      <c r="R590" s="129">
        <v>130.72110000000001</v>
      </c>
    </row>
    <row r="591" spans="1:18" ht="15">
      <c r="A591" s="141"/>
      <c r="B591" s="141"/>
      <c r="C591" s="141" t="s">
        <v>949</v>
      </c>
      <c r="D591" s="141"/>
      <c r="E591" s="301"/>
      <c r="F591" s="299">
        <v>0.118210813</v>
      </c>
      <c r="G591" s="129">
        <v>100.8292</v>
      </c>
      <c r="H591" s="129">
        <v>101.3083</v>
      </c>
      <c r="I591" s="129">
        <v>101.26390000000001</v>
      </c>
      <c r="J591" s="129">
        <v>101.3325</v>
      </c>
      <c r="K591" s="129">
        <v>101.3998</v>
      </c>
      <c r="L591" s="129">
        <v>101.379</v>
      </c>
      <c r="M591" s="129">
        <v>101.26949999999999</v>
      </c>
      <c r="N591" s="129">
        <v>101.13249999999999</v>
      </c>
      <c r="O591" s="129">
        <v>101.43989999999999</v>
      </c>
      <c r="P591" s="129">
        <v>101.4837</v>
      </c>
      <c r="Q591" s="129">
        <v>101.0711</v>
      </c>
      <c r="R591" s="129">
        <v>101.4282</v>
      </c>
    </row>
    <row r="592" spans="1:18" ht="15">
      <c r="A592" s="141"/>
      <c r="B592" s="141"/>
      <c r="C592" s="141"/>
      <c r="D592" s="141" t="s">
        <v>950</v>
      </c>
      <c r="E592" s="301"/>
      <c r="F592" s="299">
        <v>0.118210813</v>
      </c>
      <c r="G592" s="129">
        <v>100.8292</v>
      </c>
      <c r="H592" s="129">
        <v>101.3083</v>
      </c>
      <c r="I592" s="129">
        <v>101.26390000000001</v>
      </c>
      <c r="J592" s="129">
        <v>101.3325</v>
      </c>
      <c r="K592" s="129">
        <v>101.3998</v>
      </c>
      <c r="L592" s="129">
        <v>101.379</v>
      </c>
      <c r="M592" s="129">
        <v>101.26949999999999</v>
      </c>
      <c r="N592" s="129">
        <v>101.13249999999999</v>
      </c>
      <c r="O592" s="129">
        <v>101.43989999999999</v>
      </c>
      <c r="P592" s="129">
        <v>101.4837</v>
      </c>
      <c r="Q592" s="129">
        <v>101.0711</v>
      </c>
      <c r="R592" s="129">
        <v>101.4282</v>
      </c>
    </row>
    <row r="593" spans="1:18" ht="15">
      <c r="A593" s="141"/>
      <c r="B593" s="141"/>
      <c r="C593" s="141"/>
      <c r="D593" s="141"/>
      <c r="E593" s="301" t="s">
        <v>951</v>
      </c>
      <c r="F593" s="299">
        <v>2.0090541E-2</v>
      </c>
      <c r="G593" s="129">
        <v>84.473600000000005</v>
      </c>
      <c r="H593" s="129">
        <v>84.288300000000007</v>
      </c>
      <c r="I593" s="129">
        <v>84.100300000000004</v>
      </c>
      <c r="J593" s="129">
        <v>84.189099999999996</v>
      </c>
      <c r="K593" s="129">
        <v>83.979799999999997</v>
      </c>
      <c r="L593" s="129">
        <v>83.921499999999995</v>
      </c>
      <c r="M593" s="129">
        <v>83.814999999999998</v>
      </c>
      <c r="N593" s="129">
        <v>82.909400000000005</v>
      </c>
      <c r="O593" s="129">
        <v>83.048000000000002</v>
      </c>
      <c r="P593" s="129">
        <v>83.858199999999997</v>
      </c>
      <c r="Q593" s="129">
        <v>82.0715</v>
      </c>
      <c r="R593" s="129">
        <v>82.712299999999999</v>
      </c>
    </row>
    <row r="594" spans="1:18" ht="15">
      <c r="A594" s="141"/>
      <c r="B594" s="141"/>
      <c r="C594" s="141"/>
      <c r="D594" s="141"/>
      <c r="E594" s="301" t="s">
        <v>952</v>
      </c>
      <c r="F594" s="299">
        <v>6.2708191999999996E-2</v>
      </c>
      <c r="G594" s="129">
        <v>103.4894</v>
      </c>
      <c r="H594" s="129">
        <v>104.009</v>
      </c>
      <c r="I594" s="129">
        <v>103.7847</v>
      </c>
      <c r="J594" s="129">
        <v>103.7334</v>
      </c>
      <c r="K594" s="129">
        <v>103.9632</v>
      </c>
      <c r="L594" s="129">
        <v>104.04349999999999</v>
      </c>
      <c r="M594" s="129">
        <v>103.7972</v>
      </c>
      <c r="N594" s="129">
        <v>103.82940000000001</v>
      </c>
      <c r="O594" s="129">
        <v>103.9131</v>
      </c>
      <c r="P594" s="129">
        <v>103.5895</v>
      </c>
      <c r="Q594" s="129">
        <v>103.4918</v>
      </c>
      <c r="R594" s="129">
        <v>103.7154</v>
      </c>
    </row>
    <row r="595" spans="1:18" ht="15">
      <c r="A595" s="141"/>
      <c r="B595" s="141"/>
      <c r="C595" s="141"/>
      <c r="D595" s="141"/>
      <c r="E595" s="301" t="s">
        <v>953</v>
      </c>
      <c r="F595" s="299">
        <v>3.5412079999999999E-2</v>
      </c>
      <c r="G595" s="129">
        <v>105.39749999999999</v>
      </c>
      <c r="H595" s="129">
        <v>106.1819</v>
      </c>
      <c r="I595" s="129">
        <v>106.53749999999999</v>
      </c>
      <c r="J595" s="129">
        <v>106.807</v>
      </c>
      <c r="K595" s="129">
        <v>106.7436</v>
      </c>
      <c r="L595" s="129">
        <v>106.56489999999999</v>
      </c>
      <c r="M595" s="129">
        <v>106.6962</v>
      </c>
      <c r="N595" s="129">
        <v>106.6956</v>
      </c>
      <c r="O595" s="129">
        <v>107.4945</v>
      </c>
      <c r="P595" s="129">
        <v>107.7544</v>
      </c>
      <c r="Q595" s="129">
        <v>107.5637</v>
      </c>
      <c r="R595" s="129">
        <v>107.99630000000001</v>
      </c>
    </row>
    <row r="596" spans="1:18" ht="15">
      <c r="A596" s="141"/>
      <c r="B596" s="141" t="s">
        <v>954</v>
      </c>
      <c r="C596" s="141"/>
      <c r="D596" s="141"/>
      <c r="E596" s="301"/>
      <c r="F596" s="299">
        <v>0.16129607700000001</v>
      </c>
      <c r="G596" s="129">
        <v>112.4772</v>
      </c>
      <c r="H596" s="129">
        <v>113.7881</v>
      </c>
      <c r="I596" s="129">
        <v>113.7881</v>
      </c>
      <c r="J596" s="129">
        <v>113.7881</v>
      </c>
      <c r="K596" s="129">
        <v>113.7881</v>
      </c>
      <c r="L596" s="129">
        <v>114.8676</v>
      </c>
      <c r="M596" s="129">
        <v>114.8676</v>
      </c>
      <c r="N596" s="129">
        <v>114.8676</v>
      </c>
      <c r="O596" s="129">
        <v>114.8676</v>
      </c>
      <c r="P596" s="129">
        <v>114.8676</v>
      </c>
      <c r="Q596" s="129">
        <v>114.8676</v>
      </c>
      <c r="R596" s="129">
        <v>114.8676</v>
      </c>
    </row>
    <row r="597" spans="1:18" ht="15">
      <c r="A597" s="141"/>
      <c r="B597" s="141"/>
      <c r="C597" s="141" t="s">
        <v>955</v>
      </c>
      <c r="D597" s="141"/>
      <c r="E597" s="301"/>
      <c r="F597" s="299">
        <v>0.16129607700000001</v>
      </c>
      <c r="G597" s="129">
        <v>112.4772</v>
      </c>
      <c r="H597" s="129">
        <v>113.7881</v>
      </c>
      <c r="I597" s="129">
        <v>113.7881</v>
      </c>
      <c r="J597" s="129">
        <v>113.7881</v>
      </c>
      <c r="K597" s="129">
        <v>113.7881</v>
      </c>
      <c r="L597" s="129">
        <v>114.8676</v>
      </c>
      <c r="M597" s="129">
        <v>114.8676</v>
      </c>
      <c r="N597" s="129">
        <v>114.8676</v>
      </c>
      <c r="O597" s="129">
        <v>114.8676</v>
      </c>
      <c r="P597" s="129">
        <v>114.8676</v>
      </c>
      <c r="Q597" s="129">
        <v>114.8676</v>
      </c>
      <c r="R597" s="129">
        <v>114.8676</v>
      </c>
    </row>
    <row r="598" spans="1:18" ht="15">
      <c r="A598" s="141"/>
      <c r="B598" s="141"/>
      <c r="C598" s="141"/>
      <c r="D598" s="141" t="s">
        <v>956</v>
      </c>
      <c r="E598" s="301"/>
      <c r="F598" s="299">
        <v>0.16129607700000001</v>
      </c>
      <c r="G598" s="129">
        <v>112.4772</v>
      </c>
      <c r="H598" s="129">
        <v>113.7881</v>
      </c>
      <c r="I598" s="129">
        <v>113.7881</v>
      </c>
      <c r="J598" s="129">
        <v>113.7881</v>
      </c>
      <c r="K598" s="129">
        <v>113.7881</v>
      </c>
      <c r="L598" s="129">
        <v>114.8676</v>
      </c>
      <c r="M598" s="129">
        <v>114.8676</v>
      </c>
      <c r="N598" s="129">
        <v>114.8676</v>
      </c>
      <c r="O598" s="129">
        <v>114.8676</v>
      </c>
      <c r="P598" s="129">
        <v>114.8676</v>
      </c>
      <c r="Q598" s="129">
        <v>114.8676</v>
      </c>
      <c r="R598" s="129">
        <v>114.8676</v>
      </c>
    </row>
    <row r="599" spans="1:18" ht="15">
      <c r="A599" s="141"/>
      <c r="B599" s="141"/>
      <c r="C599" s="141"/>
      <c r="D599" s="141"/>
      <c r="E599" s="301" t="s">
        <v>957</v>
      </c>
      <c r="F599" s="299">
        <v>0.16129607700000001</v>
      </c>
      <c r="G599" s="129">
        <v>112.4772</v>
      </c>
      <c r="H599" s="129">
        <v>113.7881</v>
      </c>
      <c r="I599" s="129">
        <v>113.7881</v>
      </c>
      <c r="J599" s="129">
        <v>113.7881</v>
      </c>
      <c r="K599" s="129">
        <v>113.7881</v>
      </c>
      <c r="L599" s="129">
        <v>114.8676</v>
      </c>
      <c r="M599" s="129">
        <v>114.8676</v>
      </c>
      <c r="N599" s="129">
        <v>114.8676</v>
      </c>
      <c r="O599" s="129">
        <v>114.8676</v>
      </c>
      <c r="P599" s="129">
        <v>114.8676</v>
      </c>
      <c r="Q599" s="129">
        <v>114.8676</v>
      </c>
      <c r="R599" s="129">
        <v>114.8676</v>
      </c>
    </row>
    <row r="600" spans="1:18" ht="15">
      <c r="A600" s="141"/>
      <c r="B600" s="141" t="s">
        <v>958</v>
      </c>
      <c r="C600" s="141"/>
      <c r="D600" s="141"/>
      <c r="E600" s="301"/>
      <c r="F600" s="299">
        <v>0.97482866300000004</v>
      </c>
      <c r="G600" s="129">
        <v>124.2822</v>
      </c>
      <c r="H600" s="129">
        <v>124.2822</v>
      </c>
      <c r="I600" s="129">
        <v>124.2822</v>
      </c>
      <c r="J600" s="129">
        <v>124.2822</v>
      </c>
      <c r="K600" s="129">
        <v>124.2822</v>
      </c>
      <c r="L600" s="129">
        <v>124.2822</v>
      </c>
      <c r="M600" s="129">
        <v>124.44670000000001</v>
      </c>
      <c r="N600" s="129">
        <v>124.44670000000001</v>
      </c>
      <c r="O600" s="129">
        <v>124.44670000000001</v>
      </c>
      <c r="P600" s="129">
        <v>124.44670000000001</v>
      </c>
      <c r="Q600" s="129">
        <v>124.44670000000001</v>
      </c>
      <c r="R600" s="129">
        <v>124.44670000000001</v>
      </c>
    </row>
    <row r="601" spans="1:18" ht="15">
      <c r="A601" s="141"/>
      <c r="B601" s="141"/>
      <c r="C601" s="141" t="s">
        <v>959</v>
      </c>
      <c r="D601" s="141"/>
      <c r="E601" s="301"/>
      <c r="F601" s="299">
        <v>0.35284890200000002</v>
      </c>
      <c r="G601" s="129">
        <v>163.2294</v>
      </c>
      <c r="H601" s="129">
        <v>163.2294</v>
      </c>
      <c r="I601" s="129">
        <v>163.2294</v>
      </c>
      <c r="J601" s="129">
        <v>163.2294</v>
      </c>
      <c r="K601" s="129">
        <v>163.2294</v>
      </c>
      <c r="L601" s="129">
        <v>163.2294</v>
      </c>
      <c r="M601" s="129">
        <v>163.2294</v>
      </c>
      <c r="N601" s="129">
        <v>163.2294</v>
      </c>
      <c r="O601" s="129">
        <v>163.2294</v>
      </c>
      <c r="P601" s="129">
        <v>163.2294</v>
      </c>
      <c r="Q601" s="129">
        <v>163.2294</v>
      </c>
      <c r="R601" s="129">
        <v>163.2294</v>
      </c>
    </row>
    <row r="602" spans="1:18" ht="15">
      <c r="A602" s="141"/>
      <c r="B602" s="141"/>
      <c r="C602" s="141"/>
      <c r="D602" s="141" t="s">
        <v>960</v>
      </c>
      <c r="E602" s="301"/>
      <c r="F602" s="299">
        <v>0.35284890200000002</v>
      </c>
      <c r="G602" s="129">
        <v>163.2294</v>
      </c>
      <c r="H602" s="129">
        <v>163.2294</v>
      </c>
      <c r="I602" s="129">
        <v>163.2294</v>
      </c>
      <c r="J602" s="129">
        <v>163.2294</v>
      </c>
      <c r="K602" s="129">
        <v>163.2294</v>
      </c>
      <c r="L602" s="129">
        <v>163.2294</v>
      </c>
      <c r="M602" s="129">
        <v>163.2294</v>
      </c>
      <c r="N602" s="129">
        <v>163.2294</v>
      </c>
      <c r="O602" s="129">
        <v>163.2294</v>
      </c>
      <c r="P602" s="129">
        <v>163.2294</v>
      </c>
      <c r="Q602" s="129">
        <v>163.2294</v>
      </c>
      <c r="R602" s="129">
        <v>163.2294</v>
      </c>
    </row>
    <row r="603" spans="1:18" ht="15">
      <c r="A603" s="141"/>
      <c r="B603" s="141"/>
      <c r="C603" s="141"/>
      <c r="D603" s="141"/>
      <c r="E603" s="301" t="s">
        <v>961</v>
      </c>
      <c r="F603" s="299">
        <v>0.35284890200000002</v>
      </c>
      <c r="G603" s="129">
        <v>163.2294</v>
      </c>
      <c r="H603" s="129">
        <v>163.2294</v>
      </c>
      <c r="I603" s="129">
        <v>163.2294</v>
      </c>
      <c r="J603" s="129">
        <v>163.2294</v>
      </c>
      <c r="K603" s="129">
        <v>163.2294</v>
      </c>
      <c r="L603" s="129">
        <v>163.2294</v>
      </c>
      <c r="M603" s="129">
        <v>163.2294</v>
      </c>
      <c r="N603" s="129">
        <v>163.2294</v>
      </c>
      <c r="O603" s="129">
        <v>163.2294</v>
      </c>
      <c r="P603" s="129">
        <v>163.2294</v>
      </c>
      <c r="Q603" s="129">
        <v>163.2294</v>
      </c>
      <c r="R603" s="129">
        <v>163.2294</v>
      </c>
    </row>
    <row r="604" spans="1:18" ht="15">
      <c r="A604" s="141"/>
      <c r="B604" s="141"/>
      <c r="C604" s="141" t="s">
        <v>962</v>
      </c>
      <c r="D604" s="141"/>
      <c r="E604" s="301"/>
      <c r="F604" s="299">
        <v>0.56943624000000004</v>
      </c>
      <c r="G604" s="129">
        <v>102.38939999999999</v>
      </c>
      <c r="H604" s="129">
        <v>102.38939999999999</v>
      </c>
      <c r="I604" s="129">
        <v>102.38939999999999</v>
      </c>
      <c r="J604" s="129">
        <v>102.38939999999999</v>
      </c>
      <c r="K604" s="129">
        <v>102.38939999999999</v>
      </c>
      <c r="L604" s="129">
        <v>102.38939999999999</v>
      </c>
      <c r="M604" s="129">
        <v>102.6709</v>
      </c>
      <c r="N604" s="129">
        <v>102.6709</v>
      </c>
      <c r="O604" s="129">
        <v>102.6709</v>
      </c>
      <c r="P604" s="129">
        <v>102.6709</v>
      </c>
      <c r="Q604" s="129">
        <v>102.6709</v>
      </c>
      <c r="R604" s="129">
        <v>102.6709</v>
      </c>
    </row>
    <row r="605" spans="1:18" ht="15">
      <c r="A605" s="141"/>
      <c r="B605" s="141"/>
      <c r="C605" s="141"/>
      <c r="D605" s="141" t="s">
        <v>963</v>
      </c>
      <c r="E605" s="301"/>
      <c r="F605" s="299">
        <v>0.56943624000000004</v>
      </c>
      <c r="G605" s="129">
        <v>102.38939999999999</v>
      </c>
      <c r="H605" s="129">
        <v>102.38939999999999</v>
      </c>
      <c r="I605" s="129">
        <v>102.38939999999999</v>
      </c>
      <c r="J605" s="129">
        <v>102.38939999999999</v>
      </c>
      <c r="K605" s="129">
        <v>102.38939999999999</v>
      </c>
      <c r="L605" s="129">
        <v>102.38939999999999</v>
      </c>
      <c r="M605" s="129">
        <v>102.6709</v>
      </c>
      <c r="N605" s="129">
        <v>102.6709</v>
      </c>
      <c r="O605" s="129">
        <v>102.6709</v>
      </c>
      <c r="P605" s="129">
        <v>102.6709</v>
      </c>
      <c r="Q605" s="129">
        <v>102.6709</v>
      </c>
      <c r="R605" s="129">
        <v>102.6709</v>
      </c>
    </row>
    <row r="606" spans="1:18" ht="15">
      <c r="A606" s="141"/>
      <c r="B606" s="141"/>
      <c r="C606" s="141"/>
      <c r="D606" s="141"/>
      <c r="E606" s="301" t="s">
        <v>964</v>
      </c>
      <c r="F606" s="299">
        <v>0.56943624000000004</v>
      </c>
      <c r="G606" s="129">
        <v>102.38939999999999</v>
      </c>
      <c r="H606" s="129">
        <v>102.38939999999999</v>
      </c>
      <c r="I606" s="129">
        <v>102.38939999999999</v>
      </c>
      <c r="J606" s="129">
        <v>102.38939999999999</v>
      </c>
      <c r="K606" s="129">
        <v>102.38939999999999</v>
      </c>
      <c r="L606" s="129">
        <v>102.38939999999999</v>
      </c>
      <c r="M606" s="129">
        <v>102.6709</v>
      </c>
      <c r="N606" s="129">
        <v>102.6709</v>
      </c>
      <c r="O606" s="129">
        <v>102.6709</v>
      </c>
      <c r="P606" s="129">
        <v>102.6709</v>
      </c>
      <c r="Q606" s="129">
        <v>102.6709</v>
      </c>
      <c r="R606" s="129">
        <v>102.6709</v>
      </c>
    </row>
    <row r="607" spans="1:18" ht="15">
      <c r="A607" s="141"/>
      <c r="B607" s="141"/>
      <c r="C607" s="141" t="s">
        <v>965</v>
      </c>
      <c r="D607" s="141"/>
      <c r="E607" s="301"/>
      <c r="F607" s="299">
        <v>5.2543522000000002E-2</v>
      </c>
      <c r="G607" s="129">
        <v>100</v>
      </c>
      <c r="H607" s="129">
        <v>100</v>
      </c>
      <c r="I607" s="129">
        <v>100</v>
      </c>
      <c r="J607" s="129">
        <v>100</v>
      </c>
      <c r="K607" s="129">
        <v>100</v>
      </c>
      <c r="L607" s="129">
        <v>100</v>
      </c>
      <c r="M607" s="129">
        <v>100</v>
      </c>
      <c r="N607" s="129">
        <v>100</v>
      </c>
      <c r="O607" s="129">
        <v>100</v>
      </c>
      <c r="P607" s="129">
        <v>100</v>
      </c>
      <c r="Q607" s="129">
        <v>100</v>
      </c>
      <c r="R607" s="129">
        <v>100</v>
      </c>
    </row>
    <row r="608" spans="1:18" ht="15">
      <c r="A608" s="141"/>
      <c r="B608" s="141"/>
      <c r="C608" s="141"/>
      <c r="D608" s="141" t="s">
        <v>966</v>
      </c>
      <c r="E608" s="301"/>
      <c r="F608" s="299">
        <v>5.2543522000000002E-2</v>
      </c>
      <c r="G608" s="129">
        <v>100</v>
      </c>
      <c r="H608" s="129">
        <v>100</v>
      </c>
      <c r="I608" s="129">
        <v>100</v>
      </c>
      <c r="J608" s="129">
        <v>100</v>
      </c>
      <c r="K608" s="129">
        <v>100</v>
      </c>
      <c r="L608" s="129">
        <v>100</v>
      </c>
      <c r="M608" s="129">
        <v>100</v>
      </c>
      <c r="N608" s="129">
        <v>100</v>
      </c>
      <c r="O608" s="129">
        <v>100</v>
      </c>
      <c r="P608" s="129">
        <v>100</v>
      </c>
      <c r="Q608" s="129">
        <v>100</v>
      </c>
      <c r="R608" s="129">
        <v>100</v>
      </c>
    </row>
    <row r="609" spans="1:18" ht="15">
      <c r="A609" s="141"/>
      <c r="B609" s="141"/>
      <c r="C609" s="141"/>
      <c r="D609" s="141"/>
      <c r="E609" s="301" t="s">
        <v>967</v>
      </c>
      <c r="F609" s="299">
        <v>5.2543522000000002E-2</v>
      </c>
      <c r="G609" s="129">
        <v>100</v>
      </c>
      <c r="H609" s="129">
        <v>100</v>
      </c>
      <c r="I609" s="129">
        <v>100</v>
      </c>
      <c r="J609" s="129">
        <v>100</v>
      </c>
      <c r="K609" s="129">
        <v>100</v>
      </c>
      <c r="L609" s="129">
        <v>100</v>
      </c>
      <c r="M609" s="129">
        <v>100</v>
      </c>
      <c r="N609" s="129">
        <v>100</v>
      </c>
      <c r="O609" s="129">
        <v>100</v>
      </c>
      <c r="P609" s="129">
        <v>100</v>
      </c>
      <c r="Q609" s="129">
        <v>100</v>
      </c>
      <c r="R609" s="129">
        <v>100</v>
      </c>
    </row>
    <row r="610" spans="1:18" ht="15">
      <c r="A610" s="141"/>
      <c r="B610" s="141" t="s">
        <v>968</v>
      </c>
      <c r="C610" s="141"/>
      <c r="D610" s="141"/>
      <c r="E610" s="301"/>
      <c r="F610" s="299">
        <v>0.37593274199999999</v>
      </c>
      <c r="G610" s="129">
        <v>133.53749999999999</v>
      </c>
      <c r="H610" s="129">
        <v>134.01730000000001</v>
      </c>
      <c r="I610" s="129">
        <v>134.63059999999999</v>
      </c>
      <c r="J610" s="129">
        <v>135.1266</v>
      </c>
      <c r="K610" s="129">
        <v>135.88550000000001</v>
      </c>
      <c r="L610" s="129">
        <v>136.51599999999999</v>
      </c>
      <c r="M610" s="129">
        <v>136.7456</v>
      </c>
      <c r="N610" s="129">
        <v>137.09479999999999</v>
      </c>
      <c r="O610" s="129">
        <v>137.56899999999999</v>
      </c>
      <c r="P610" s="129">
        <v>138.2182</v>
      </c>
      <c r="Q610" s="129">
        <v>138.83609999999999</v>
      </c>
      <c r="R610" s="129">
        <v>140.82320000000001</v>
      </c>
    </row>
    <row r="611" spans="1:18" ht="15">
      <c r="A611" s="141"/>
      <c r="B611" s="141"/>
      <c r="C611" s="141" t="s">
        <v>969</v>
      </c>
      <c r="D611" s="141"/>
      <c r="E611" s="301"/>
      <c r="F611" s="299">
        <v>0.37593274199999999</v>
      </c>
      <c r="G611" s="129">
        <v>133.53749999999999</v>
      </c>
      <c r="H611" s="129">
        <v>134.01730000000001</v>
      </c>
      <c r="I611" s="129">
        <v>134.63059999999999</v>
      </c>
      <c r="J611" s="129">
        <v>135.1266</v>
      </c>
      <c r="K611" s="129">
        <v>135.88550000000001</v>
      </c>
      <c r="L611" s="129">
        <v>136.51599999999999</v>
      </c>
      <c r="M611" s="129">
        <v>136.7456</v>
      </c>
      <c r="N611" s="129">
        <v>137.09479999999999</v>
      </c>
      <c r="O611" s="129">
        <v>137.56899999999999</v>
      </c>
      <c r="P611" s="129">
        <v>138.2182</v>
      </c>
      <c r="Q611" s="129">
        <v>138.83609999999999</v>
      </c>
      <c r="R611" s="129">
        <v>140.82320000000001</v>
      </c>
    </row>
    <row r="612" spans="1:18" ht="15">
      <c r="A612" s="141"/>
      <c r="B612" s="141"/>
      <c r="C612" s="141"/>
      <c r="D612" s="141" t="s">
        <v>970</v>
      </c>
      <c r="E612" s="301"/>
      <c r="F612" s="299">
        <v>0.37593274199999999</v>
      </c>
      <c r="G612" s="129">
        <v>133.53749999999999</v>
      </c>
      <c r="H612" s="129">
        <v>134.01730000000001</v>
      </c>
      <c r="I612" s="129">
        <v>134.63059999999999</v>
      </c>
      <c r="J612" s="129">
        <v>135.1266</v>
      </c>
      <c r="K612" s="129">
        <v>135.88550000000001</v>
      </c>
      <c r="L612" s="129">
        <v>136.51599999999999</v>
      </c>
      <c r="M612" s="129">
        <v>136.7456</v>
      </c>
      <c r="N612" s="129">
        <v>137.09479999999999</v>
      </c>
      <c r="O612" s="129">
        <v>137.56899999999999</v>
      </c>
      <c r="P612" s="129">
        <v>138.2182</v>
      </c>
      <c r="Q612" s="129">
        <v>138.83609999999999</v>
      </c>
      <c r="R612" s="129">
        <v>140.82320000000001</v>
      </c>
    </row>
    <row r="613" spans="1:18" ht="15">
      <c r="A613" s="141"/>
      <c r="B613" s="141"/>
      <c r="C613" s="141"/>
      <c r="D613" s="141"/>
      <c r="E613" s="301" t="s">
        <v>971</v>
      </c>
      <c r="F613" s="299">
        <v>0.12173856299999999</v>
      </c>
      <c r="G613" s="129">
        <v>137.88810000000001</v>
      </c>
      <c r="H613" s="129">
        <v>137.88810000000001</v>
      </c>
      <c r="I613" s="129">
        <v>137.88810000000001</v>
      </c>
      <c r="J613" s="129">
        <v>138.01560000000001</v>
      </c>
      <c r="K613" s="129">
        <v>138.01560000000001</v>
      </c>
      <c r="L613" s="129">
        <v>138.01560000000001</v>
      </c>
      <c r="M613" s="129">
        <v>138.48269999999999</v>
      </c>
      <c r="N613" s="129">
        <v>138.48269999999999</v>
      </c>
      <c r="O613" s="129">
        <v>138.48269999999999</v>
      </c>
      <c r="P613" s="129">
        <v>138.48269999999999</v>
      </c>
      <c r="Q613" s="129">
        <v>138.48269999999999</v>
      </c>
      <c r="R613" s="129">
        <v>144.04740000000001</v>
      </c>
    </row>
    <row r="614" spans="1:18" ht="15">
      <c r="A614" s="141"/>
      <c r="B614" s="141"/>
      <c r="C614" s="141"/>
      <c r="D614" s="141"/>
      <c r="E614" s="301" t="s">
        <v>972</v>
      </c>
      <c r="F614" s="299">
        <v>0.119108694</v>
      </c>
      <c r="G614" s="129">
        <v>127.0684</v>
      </c>
      <c r="H614" s="129">
        <v>127.6337</v>
      </c>
      <c r="I614" s="129">
        <v>128.66900000000001</v>
      </c>
      <c r="J614" s="129">
        <v>128.72450000000001</v>
      </c>
      <c r="K614" s="129">
        <v>129.488</v>
      </c>
      <c r="L614" s="129">
        <v>130.1849</v>
      </c>
      <c r="M614" s="129">
        <v>130.29689999999999</v>
      </c>
      <c r="N614" s="129">
        <v>130.83430000000001</v>
      </c>
      <c r="O614" s="129">
        <v>131.60599999999999</v>
      </c>
      <c r="P614" s="129">
        <v>133.3802</v>
      </c>
      <c r="Q614" s="129">
        <v>134.29939999999999</v>
      </c>
      <c r="R614" s="129">
        <v>134.76009999999999</v>
      </c>
    </row>
    <row r="615" spans="1:18" ht="15">
      <c r="A615" s="141"/>
      <c r="B615" s="141"/>
      <c r="C615" s="141"/>
      <c r="D615" s="141"/>
      <c r="E615" s="301" t="s">
        <v>973</v>
      </c>
      <c r="F615" s="299">
        <v>6.2752802999999996E-2</v>
      </c>
      <c r="G615" s="129">
        <v>143.95740000000001</v>
      </c>
      <c r="H615" s="129">
        <v>144.42150000000001</v>
      </c>
      <c r="I615" s="129">
        <v>145.05529999999999</v>
      </c>
      <c r="J615" s="129">
        <v>147.46430000000001</v>
      </c>
      <c r="K615" s="129">
        <v>149.90039999999999</v>
      </c>
      <c r="L615" s="129">
        <v>151.72020000000001</v>
      </c>
      <c r="M615" s="129">
        <v>151.63669999999999</v>
      </c>
      <c r="N615" s="129">
        <v>151.63669999999999</v>
      </c>
      <c r="O615" s="129">
        <v>152.65479999999999</v>
      </c>
      <c r="P615" s="129">
        <v>153.1764</v>
      </c>
      <c r="Q615" s="129">
        <v>153.2242</v>
      </c>
      <c r="R615" s="129">
        <v>153.4588</v>
      </c>
    </row>
    <row r="616" spans="1:18" ht="15">
      <c r="A616" s="141"/>
      <c r="B616" s="141"/>
      <c r="C616" s="141"/>
      <c r="D616" s="141"/>
      <c r="E616" s="301" t="s">
        <v>974</v>
      </c>
      <c r="F616" s="299">
        <v>4.5071275000000001E-2</v>
      </c>
      <c r="G616" s="129">
        <v>144.65950000000001</v>
      </c>
      <c r="H616" s="129">
        <v>146.5214</v>
      </c>
      <c r="I616" s="129">
        <v>148.0187</v>
      </c>
      <c r="J616" s="129">
        <v>148.31039999999999</v>
      </c>
      <c r="K616" s="129">
        <v>149.23099999999999</v>
      </c>
      <c r="L616" s="129">
        <v>150.11429999999999</v>
      </c>
      <c r="M616" s="129">
        <v>150.58789999999999</v>
      </c>
      <c r="N616" s="129">
        <v>152.08019999999999</v>
      </c>
      <c r="O616" s="129">
        <v>152.57929999999999</v>
      </c>
      <c r="P616" s="129">
        <v>152.57929999999999</v>
      </c>
      <c r="Q616" s="129">
        <v>155.23699999999999</v>
      </c>
      <c r="R616" s="129">
        <v>155.23699999999999</v>
      </c>
    </row>
    <row r="617" spans="1:18" ht="15">
      <c r="A617" s="141"/>
      <c r="B617" s="141"/>
      <c r="C617" s="141"/>
      <c r="D617" s="141"/>
      <c r="E617" s="301" t="s">
        <v>975</v>
      </c>
      <c r="F617" s="299">
        <v>2.7261408000000001E-2</v>
      </c>
      <c r="G617" s="129">
        <v>100</v>
      </c>
      <c r="H617" s="129">
        <v>100</v>
      </c>
      <c r="I617" s="129">
        <v>100</v>
      </c>
      <c r="J617" s="129">
        <v>100</v>
      </c>
      <c r="K617" s="129">
        <v>100</v>
      </c>
      <c r="L617" s="129">
        <v>100</v>
      </c>
      <c r="M617" s="129">
        <v>100</v>
      </c>
      <c r="N617" s="129">
        <v>100</v>
      </c>
      <c r="O617" s="129">
        <v>100</v>
      </c>
      <c r="P617" s="129">
        <v>100</v>
      </c>
      <c r="Q617" s="129">
        <v>100</v>
      </c>
      <c r="R617" s="129">
        <v>100</v>
      </c>
    </row>
    <row r="618" spans="1:18" ht="15">
      <c r="A618" s="297" t="s">
        <v>61</v>
      </c>
      <c r="B618" s="297"/>
      <c r="C618" s="297"/>
      <c r="D618" s="297"/>
      <c r="E618" s="302"/>
      <c r="F618" s="316">
        <v>100.00000138049801</v>
      </c>
      <c r="G618" s="294">
        <v>131.2004</v>
      </c>
      <c r="H618" s="294">
        <v>131.62440000000001</v>
      </c>
      <c r="I618" s="294">
        <v>132.03729999999999</v>
      </c>
      <c r="J618" s="295">
        <v>132.07040000000001</v>
      </c>
      <c r="K618" s="296">
        <v>132.1823</v>
      </c>
      <c r="L618" s="294">
        <v>132.45519999999999</v>
      </c>
      <c r="M618" s="294">
        <v>132.95480000000001</v>
      </c>
      <c r="N618" s="294">
        <v>133.8965</v>
      </c>
      <c r="O618" s="295">
        <v>134.34829999999999</v>
      </c>
      <c r="P618" s="294">
        <v>135.0898</v>
      </c>
      <c r="Q618" s="294">
        <v>136.05510000000001</v>
      </c>
      <c r="R618" s="294">
        <v>137.19550000000001</v>
      </c>
    </row>
    <row r="619" spans="1:18" ht="16.5" customHeight="1">
      <c r="A619" s="220" t="s">
        <v>308</v>
      </c>
      <c r="B619" s="220"/>
      <c r="C619" s="220"/>
      <c r="D619" s="220"/>
      <c r="E619" s="220"/>
    </row>
  </sheetData>
  <mergeCells count="11">
    <mergeCell ref="A1:R1"/>
    <mergeCell ref="A2:R2"/>
    <mergeCell ref="A3:R3"/>
    <mergeCell ref="A4:I4"/>
    <mergeCell ref="A5:A6"/>
    <mergeCell ref="F5:F6"/>
    <mergeCell ref="G5:R5"/>
    <mergeCell ref="E5:E6"/>
    <mergeCell ref="D5:D6"/>
    <mergeCell ref="C5:C6"/>
    <mergeCell ref="B5:B6"/>
  </mergeCells>
  <printOptions horizontalCentered="1"/>
  <pageMargins left="0.1" right="0.1" top="0.15748031496063" bottom="0.15748031496063" header="0.31496062992126" footer="0.23622047244094499"/>
  <pageSetup scale="52" orientation="portrait" r:id="rId1"/>
  <rowBreaks count="11" manualBreakCount="11">
    <brk id="57" max="13" man="1"/>
    <brk id="108" max="13" man="1"/>
    <brk id="159" max="13" man="1"/>
    <brk id="210" max="13" man="1"/>
    <brk id="261" max="13" man="1"/>
    <brk id="312" max="13" man="1"/>
    <brk id="363" max="13" man="1"/>
    <brk id="414" max="13" man="1"/>
    <brk id="465" max="13" man="1"/>
    <brk id="516" max="13" man="1"/>
    <brk id="567" max="13" man="1"/>
  </rowBreaks>
  <colBreaks count="2" manualBreakCount="2">
    <brk id="10" max="1048575" man="1"/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O617"/>
  <sheetViews>
    <sheetView showGridLines="0" view="pageBreakPreview" zoomScaleSheetLayoutView="100" workbookViewId="0">
      <selection activeCell="H9" sqref="H9"/>
    </sheetView>
  </sheetViews>
  <sheetFormatPr defaultRowHeight="14.25"/>
  <cols>
    <col min="1" max="1" width="8" style="146" customWidth="1"/>
    <col min="2" max="2" width="75.7109375" style="131" customWidth="1"/>
    <col min="3" max="8" width="12.7109375" style="64" customWidth="1"/>
    <col min="9" max="9" width="9.7109375" style="64" bestFit="1" customWidth="1"/>
    <col min="10" max="10" width="12.28515625" style="64" bestFit="1" customWidth="1"/>
    <col min="11" max="11" width="42.28515625" style="64" customWidth="1"/>
    <col min="12" max="12" width="9.140625" style="64"/>
    <col min="13" max="13" width="15.7109375" style="64" customWidth="1"/>
    <col min="14" max="14" width="15" style="64" bestFit="1" customWidth="1"/>
    <col min="15" max="15" width="14.5703125" style="64" customWidth="1"/>
    <col min="16" max="16384" width="9.140625" style="64"/>
  </cols>
  <sheetData>
    <row r="1" spans="1:15" ht="15.75" customHeight="1">
      <c r="A1" s="357" t="s">
        <v>165</v>
      </c>
      <c r="B1" s="357"/>
      <c r="C1" s="357"/>
      <c r="D1" s="357"/>
      <c r="E1" s="357"/>
      <c r="F1" s="357"/>
      <c r="G1" s="357"/>
      <c r="H1" s="357"/>
    </row>
    <row r="2" spans="1:15" ht="15.75" customHeight="1">
      <c r="A2" s="357" t="s">
        <v>989</v>
      </c>
      <c r="B2" s="357"/>
      <c r="C2" s="357"/>
      <c r="D2" s="357"/>
      <c r="E2" s="357"/>
      <c r="F2" s="357"/>
      <c r="G2" s="357"/>
      <c r="H2" s="357"/>
    </row>
    <row r="3" spans="1:15" ht="15.75" customHeight="1">
      <c r="A3" s="357" t="s">
        <v>281</v>
      </c>
      <c r="B3" s="357"/>
      <c r="C3" s="357"/>
      <c r="D3" s="357"/>
      <c r="E3" s="357"/>
      <c r="F3" s="357"/>
      <c r="G3" s="357"/>
      <c r="H3" s="357"/>
    </row>
    <row r="4" spans="1:15" ht="15.75" customHeight="1" thickBot="1">
      <c r="A4" s="348"/>
      <c r="B4" s="348"/>
      <c r="C4" s="348"/>
      <c r="D4" s="348"/>
      <c r="E4" s="348"/>
      <c r="F4" s="348"/>
      <c r="G4" s="348"/>
    </row>
    <row r="5" spans="1:15" ht="17.25" customHeight="1" thickTop="1" thickBot="1">
      <c r="A5" s="358" t="s">
        <v>53</v>
      </c>
      <c r="B5" s="359" t="s">
        <v>142</v>
      </c>
      <c r="C5" s="360" t="s">
        <v>54</v>
      </c>
      <c r="D5" s="361" t="s">
        <v>342</v>
      </c>
      <c r="E5" s="361" t="s">
        <v>987</v>
      </c>
      <c r="F5" s="136" t="s">
        <v>172</v>
      </c>
      <c r="G5" s="360" t="s">
        <v>161</v>
      </c>
      <c r="H5" s="356" t="s">
        <v>130</v>
      </c>
    </row>
    <row r="6" spans="1:15" s="137" customFormat="1" ht="31.5" customHeight="1" thickTop="1" thickBot="1">
      <c r="A6" s="358"/>
      <c r="B6" s="359"/>
      <c r="C6" s="360"/>
      <c r="D6" s="358"/>
      <c r="E6" s="358"/>
      <c r="F6" s="136" t="s">
        <v>988</v>
      </c>
      <c r="G6" s="360"/>
      <c r="H6" s="356"/>
      <c r="K6" s="138"/>
    </row>
    <row r="7" spans="1:15" s="137" customFormat="1" ht="15.75" customHeight="1" thickTop="1">
      <c r="A7" s="268">
        <v>0</v>
      </c>
      <c r="B7" s="269" t="s">
        <v>61</v>
      </c>
      <c r="C7" s="270">
        <v>100.00000138049801</v>
      </c>
      <c r="D7" s="127">
        <v>130.72200000000001</v>
      </c>
      <c r="E7" s="271">
        <v>132.03729999999999</v>
      </c>
      <c r="F7" s="271">
        <f>(E7/D7-1)*100</f>
        <v>1.0061810559813811</v>
      </c>
      <c r="G7" s="271">
        <f>SUM(G8,G22,G29,G36,G51,G67,G77,G89,G94,G112,G121,G126)</f>
        <v>1.0062180571183388</v>
      </c>
      <c r="H7" s="139">
        <f>SUM(H8,H22,H29,H36,H51,H67,H77,H89,H94,H112,H121,H126)</f>
        <v>99.999999999999986</v>
      </c>
      <c r="I7" s="140"/>
      <c r="J7" s="260"/>
      <c r="K7" s="159"/>
      <c r="L7" s="159"/>
      <c r="M7" s="159"/>
    </row>
    <row r="8" spans="1:15" ht="15.75" customHeight="1">
      <c r="A8" s="142">
        <v>1</v>
      </c>
      <c r="B8" s="143" t="s">
        <v>62</v>
      </c>
      <c r="C8" s="280">
        <v>23.835128000000001</v>
      </c>
      <c r="D8" s="145">
        <v>141.8382</v>
      </c>
      <c r="E8" s="144">
        <v>143.50489999999999</v>
      </c>
      <c r="F8" s="144">
        <f>(E8/D8-1)*100</f>
        <v>1.1750713136517543</v>
      </c>
      <c r="G8" s="144">
        <f>(E8-D8)/$D$7*C8</f>
        <v>0.30389687916035407</v>
      </c>
      <c r="H8" s="144">
        <f>(G8/$G$7)*100</f>
        <v>30.201890833749324</v>
      </c>
      <c r="I8" s="140"/>
      <c r="J8" s="260"/>
      <c r="K8" s="159"/>
      <c r="L8" s="159"/>
      <c r="M8" s="159"/>
      <c r="N8" s="70"/>
      <c r="O8" s="70"/>
    </row>
    <row r="9" spans="1:15" ht="15.75" customHeight="1">
      <c r="A9" s="142">
        <v>11</v>
      </c>
      <c r="B9" s="143" t="s">
        <v>63</v>
      </c>
      <c r="C9" s="280">
        <v>21.043777299999999</v>
      </c>
      <c r="D9" s="145">
        <v>142.31049999999999</v>
      </c>
      <c r="E9" s="144">
        <v>143.53479999999999</v>
      </c>
      <c r="F9" s="144">
        <f>(E9/D9-1)*100</f>
        <v>0.86030194539405969</v>
      </c>
      <c r="G9" s="144">
        <f>(E9-D9)/$D$7*C9</f>
        <v>0.19708921641644089</v>
      </c>
      <c r="H9" s="144">
        <f>(G9/$G$7)*100</f>
        <v>19.587127762433081</v>
      </c>
      <c r="I9" s="140"/>
      <c r="J9" s="260"/>
      <c r="K9" s="159"/>
      <c r="L9" s="159"/>
      <c r="M9" s="159"/>
      <c r="N9" s="70"/>
      <c r="O9" s="70"/>
    </row>
    <row r="10" spans="1:15" ht="15.75" customHeight="1">
      <c r="A10" s="142">
        <v>111</v>
      </c>
      <c r="B10" s="143" t="s">
        <v>174</v>
      </c>
      <c r="C10" s="280">
        <v>3.7578867599999999</v>
      </c>
      <c r="D10" s="145">
        <v>145.33279999999999</v>
      </c>
      <c r="E10" s="144">
        <v>146.66149999999999</v>
      </c>
      <c r="F10" s="144">
        <f t="shared" ref="F10:F71" si="0">(E10/D10-1)*100</f>
        <v>0.91424647429898531</v>
      </c>
      <c r="G10" s="144">
        <f t="shared" ref="G10:G72" si="1">(E10-D10)/$D$7*C10</f>
        <v>3.8196356680681075E-2</v>
      </c>
      <c r="H10" s="144">
        <f>(G10/$G$7)*100</f>
        <v>3.7960317259729814</v>
      </c>
      <c r="I10" s="140"/>
      <c r="J10" s="260"/>
      <c r="K10" s="159"/>
      <c r="L10" s="159"/>
      <c r="M10" s="159"/>
      <c r="N10" s="70"/>
      <c r="O10" s="70"/>
    </row>
    <row r="11" spans="1:15" ht="15.75" customHeight="1">
      <c r="A11" s="142">
        <v>112</v>
      </c>
      <c r="B11" s="143" t="s">
        <v>175</v>
      </c>
      <c r="C11" s="280">
        <v>5.2990781800000004</v>
      </c>
      <c r="D11" s="145">
        <v>146.1722</v>
      </c>
      <c r="E11" s="144">
        <v>147.37809999999999</v>
      </c>
      <c r="F11" s="144">
        <f t="shared" si="0"/>
        <v>0.824985872826689</v>
      </c>
      <c r="G11" s="144">
        <f t="shared" si="1"/>
        <v>4.888357259881216E-2</v>
      </c>
      <c r="H11" s="144">
        <f t="shared" ref="H11:H72" si="2">(G11/$G$7)*100</f>
        <v>4.8581490118362174</v>
      </c>
      <c r="I11" s="140"/>
      <c r="J11" s="260"/>
      <c r="K11" s="159"/>
      <c r="L11" s="159"/>
      <c r="M11" s="159"/>
      <c r="N11" s="70"/>
      <c r="O11" s="70"/>
    </row>
    <row r="12" spans="1:15" ht="15.75" customHeight="1">
      <c r="A12" s="142">
        <v>113</v>
      </c>
      <c r="B12" s="143" t="s">
        <v>176</v>
      </c>
      <c r="C12" s="280">
        <v>0.87925302500000002</v>
      </c>
      <c r="D12" s="145">
        <v>136.11680000000001</v>
      </c>
      <c r="E12" s="144">
        <v>141.13329999999999</v>
      </c>
      <c r="F12" s="144">
        <f t="shared" si="0"/>
        <v>3.6854378004772315</v>
      </c>
      <c r="G12" s="144">
        <f t="shared" si="1"/>
        <v>3.3741625739450755E-2</v>
      </c>
      <c r="H12" s="144">
        <f t="shared" si="2"/>
        <v>3.3533114915550049</v>
      </c>
      <c r="I12" s="140"/>
      <c r="J12" s="260"/>
      <c r="K12" s="159"/>
      <c r="L12" s="159"/>
      <c r="M12" s="159"/>
      <c r="N12" s="70"/>
      <c r="O12" s="70"/>
    </row>
    <row r="13" spans="1:15" ht="15.75" customHeight="1">
      <c r="A13" s="142">
        <v>114</v>
      </c>
      <c r="B13" s="143" t="s">
        <v>177</v>
      </c>
      <c r="C13" s="280">
        <v>2.9905282500000001</v>
      </c>
      <c r="D13" s="145">
        <v>136.5018</v>
      </c>
      <c r="E13" s="144">
        <v>138.52160000000001</v>
      </c>
      <c r="F13" s="144">
        <f t="shared" si="0"/>
        <v>1.4796874473450128</v>
      </c>
      <c r="G13" s="144">
        <f t="shared" si="1"/>
        <v>4.620698091637223E-2</v>
      </c>
      <c r="H13" s="144">
        <f t="shared" si="2"/>
        <v>4.5921438787038129</v>
      </c>
      <c r="I13" s="140"/>
      <c r="J13" s="260"/>
      <c r="K13" s="159"/>
      <c r="L13" s="159"/>
      <c r="M13" s="159"/>
      <c r="N13" s="70"/>
      <c r="O13" s="70"/>
    </row>
    <row r="14" spans="1:15" ht="15.75" customHeight="1">
      <c r="A14" s="142">
        <v>115</v>
      </c>
      <c r="B14" s="143" t="s">
        <v>178</v>
      </c>
      <c r="C14" s="280">
        <v>0.65911803199999996</v>
      </c>
      <c r="D14" s="145">
        <v>159.68969999999999</v>
      </c>
      <c r="E14" s="144">
        <v>159.67259999999999</v>
      </c>
      <c r="F14" s="144">
        <f t="shared" si="0"/>
        <v>-1.0708267345982403E-2</v>
      </c>
      <c r="G14" s="144">
        <f t="shared" si="1"/>
        <v>-8.6220516418043553E-5</v>
      </c>
      <c r="H14" s="144">
        <f t="shared" si="2"/>
        <v>-8.5687705371702925E-3</v>
      </c>
      <c r="I14" s="140"/>
      <c r="J14" s="260"/>
      <c r="K14" s="159"/>
      <c r="L14" s="159"/>
      <c r="M14" s="159"/>
      <c r="N14" s="70"/>
      <c r="O14" s="70"/>
    </row>
    <row r="15" spans="1:15" ht="15.75" customHeight="1">
      <c r="A15" s="142">
        <v>116</v>
      </c>
      <c r="B15" s="143" t="s">
        <v>179</v>
      </c>
      <c r="C15" s="280">
        <v>2.1186846799999999</v>
      </c>
      <c r="D15" s="145">
        <v>140.21340000000001</v>
      </c>
      <c r="E15" s="144">
        <v>147.9751</v>
      </c>
      <c r="F15" s="144">
        <f t="shared" si="0"/>
        <v>5.5356335414446844</v>
      </c>
      <c r="G15" s="144">
        <f t="shared" si="1"/>
        <v>0.12579821973926331</v>
      </c>
      <c r="H15" s="144">
        <f t="shared" si="2"/>
        <v>12.502083305832434</v>
      </c>
      <c r="I15" s="140"/>
      <c r="J15" s="260"/>
      <c r="K15" s="159"/>
      <c r="L15" s="159"/>
      <c r="M15" s="159"/>
      <c r="N15" s="70"/>
      <c r="O15" s="70"/>
    </row>
    <row r="16" spans="1:15" ht="15.75" customHeight="1">
      <c r="A16" s="142">
        <v>117</v>
      </c>
      <c r="B16" s="143" t="s">
        <v>180</v>
      </c>
      <c r="C16" s="280">
        <v>3.42007577</v>
      </c>
      <c r="D16" s="145">
        <v>138.6848</v>
      </c>
      <c r="E16" s="144">
        <v>133.96889999999999</v>
      </c>
      <c r="F16" s="144">
        <f t="shared" si="0"/>
        <v>-3.4004447495327605</v>
      </c>
      <c r="G16" s="144">
        <f t="shared" si="1"/>
        <v>-0.12338195042718911</v>
      </c>
      <c r="H16" s="144">
        <f t="shared" si="2"/>
        <v>-12.261949540096403</v>
      </c>
      <c r="I16" s="140"/>
      <c r="J16" s="260"/>
      <c r="K16" s="159"/>
      <c r="L16" s="159"/>
      <c r="M16" s="159"/>
      <c r="N16" s="70"/>
      <c r="O16" s="70"/>
    </row>
    <row r="17" spans="1:15" ht="15.75" customHeight="1">
      <c r="A17" s="142">
        <v>118</v>
      </c>
      <c r="B17" s="143" t="s">
        <v>181</v>
      </c>
      <c r="C17" s="280">
        <v>0.62855216700000005</v>
      </c>
      <c r="D17" s="145">
        <v>137.8107</v>
      </c>
      <c r="E17" s="144">
        <v>139.56479999999999</v>
      </c>
      <c r="F17" s="144">
        <f t="shared" si="0"/>
        <v>1.272832951287528</v>
      </c>
      <c r="G17" s="144">
        <f t="shared" si="1"/>
        <v>8.434260156168787E-3</v>
      </c>
      <c r="H17" s="144">
        <f t="shared" si="2"/>
        <v>0.83821395337738946</v>
      </c>
      <c r="I17" s="140"/>
      <c r="J17" s="260"/>
      <c r="K17" s="159"/>
      <c r="L17" s="159"/>
      <c r="M17" s="159"/>
      <c r="N17" s="70"/>
      <c r="O17" s="70"/>
    </row>
    <row r="18" spans="1:15" ht="15.75" customHeight="1">
      <c r="A18" s="142">
        <v>119</v>
      </c>
      <c r="B18" s="143" t="s">
        <v>64</v>
      </c>
      <c r="C18" s="280">
        <v>1.2906004</v>
      </c>
      <c r="D18" s="145">
        <v>141.69970000000001</v>
      </c>
      <c r="E18" s="144">
        <v>143.65479999999999</v>
      </c>
      <c r="F18" s="144">
        <f t="shared" si="0"/>
        <v>1.3797488632650401</v>
      </c>
      <c r="G18" s="144">
        <f t="shared" si="1"/>
        <v>1.9302434494882142E-2</v>
      </c>
      <c r="H18" s="144">
        <f t="shared" si="2"/>
        <v>1.9183152556575549</v>
      </c>
      <c r="I18" s="140"/>
      <c r="J18" s="260"/>
      <c r="K18" s="159"/>
      <c r="L18" s="159"/>
      <c r="M18" s="159"/>
      <c r="N18" s="70"/>
      <c r="O18" s="70"/>
    </row>
    <row r="19" spans="1:15" ht="15.75" customHeight="1">
      <c r="A19" s="142">
        <v>12</v>
      </c>
      <c r="B19" s="143" t="s">
        <v>65</v>
      </c>
      <c r="C19" s="280">
        <v>2.7913507399999999</v>
      </c>
      <c r="D19" s="145">
        <v>138.2782</v>
      </c>
      <c r="E19" s="144">
        <v>143.2799</v>
      </c>
      <c r="F19" s="144">
        <f t="shared" si="0"/>
        <v>3.6171283687522759</v>
      </c>
      <c r="G19" s="144">
        <f t="shared" si="1"/>
        <v>0.10680297881196736</v>
      </c>
      <c r="H19" s="144">
        <f t="shared" si="2"/>
        <v>10.614297572619146</v>
      </c>
      <c r="I19" s="140"/>
      <c r="J19" s="260"/>
      <c r="K19" s="159"/>
      <c r="L19" s="159"/>
      <c r="M19" s="159"/>
      <c r="N19" s="70"/>
      <c r="O19" s="70"/>
    </row>
    <row r="20" spans="1:15" ht="15.75" customHeight="1">
      <c r="A20" s="142">
        <v>121</v>
      </c>
      <c r="B20" s="143" t="s">
        <v>182</v>
      </c>
      <c r="C20" s="280">
        <v>0.57634590900000005</v>
      </c>
      <c r="D20" s="145">
        <v>139.79179999999999</v>
      </c>
      <c r="E20" s="144">
        <v>158.1985</v>
      </c>
      <c r="F20" s="144">
        <f t="shared" si="0"/>
        <v>13.167224400859002</v>
      </c>
      <c r="G20" s="144">
        <f t="shared" si="1"/>
        <v>8.1154099869878829E-2</v>
      </c>
      <c r="H20" s="144">
        <f t="shared" si="2"/>
        <v>8.0652597412425973</v>
      </c>
      <c r="I20" s="140"/>
      <c r="J20" s="260"/>
      <c r="K20" s="159"/>
      <c r="L20" s="159"/>
      <c r="M20" s="159"/>
      <c r="N20" s="70"/>
      <c r="O20" s="70"/>
    </row>
    <row r="21" spans="1:15" ht="15.75" customHeight="1">
      <c r="A21" s="128">
        <v>122</v>
      </c>
      <c r="B21" s="143" t="s">
        <v>66</v>
      </c>
      <c r="C21" s="280">
        <v>2.2150048299999998</v>
      </c>
      <c r="D21" s="145">
        <v>137.8844</v>
      </c>
      <c r="E21" s="144">
        <v>139.398</v>
      </c>
      <c r="F21" s="144">
        <f t="shared" si="0"/>
        <v>1.0977311428994163</v>
      </c>
      <c r="G21" s="144">
        <f t="shared" si="1"/>
        <v>2.5647031950918681E-2</v>
      </c>
      <c r="H21" s="144">
        <f t="shared" si="2"/>
        <v>2.5488542736321018</v>
      </c>
      <c r="I21" s="140"/>
      <c r="J21" s="260"/>
      <c r="K21" s="159"/>
      <c r="L21" s="159"/>
      <c r="M21" s="159"/>
      <c r="N21" s="70"/>
      <c r="O21" s="70"/>
    </row>
    <row r="22" spans="1:15" ht="15.75" customHeight="1">
      <c r="A22" s="142">
        <v>2</v>
      </c>
      <c r="B22" s="143" t="s">
        <v>67</v>
      </c>
      <c r="C22" s="280">
        <v>2.3590851499999999</v>
      </c>
      <c r="D22" s="145">
        <v>133.221</v>
      </c>
      <c r="E22" s="144">
        <v>134.05779999999999</v>
      </c>
      <c r="F22" s="144">
        <f t="shared" si="0"/>
        <v>0.62812919885002483</v>
      </c>
      <c r="G22" s="144">
        <f t="shared" si="1"/>
        <v>1.5101378907299141E-2</v>
      </c>
      <c r="H22" s="144">
        <f t="shared" si="2"/>
        <v>1.5008057945757085</v>
      </c>
      <c r="I22" s="140"/>
      <c r="J22" s="260"/>
      <c r="K22" s="159"/>
      <c r="L22" s="159"/>
      <c r="M22" s="159"/>
      <c r="N22" s="70"/>
      <c r="O22" s="70"/>
    </row>
    <row r="23" spans="1:15" ht="15.75" customHeight="1">
      <c r="A23" s="142">
        <v>21</v>
      </c>
      <c r="B23" s="143" t="s">
        <v>15</v>
      </c>
      <c r="C23" s="280">
        <v>2.13972074</v>
      </c>
      <c r="D23" s="145">
        <v>133.8732</v>
      </c>
      <c r="E23" s="144">
        <v>134.52330000000001</v>
      </c>
      <c r="F23" s="144">
        <f t="shared" si="0"/>
        <v>0.4856087700899181</v>
      </c>
      <c r="G23" s="144">
        <f t="shared" si="1"/>
        <v>1.0641150327213621E-2</v>
      </c>
      <c r="H23" s="144">
        <f t="shared" si="2"/>
        <v>1.0575391936106093</v>
      </c>
      <c r="I23" s="140"/>
      <c r="J23" s="260"/>
      <c r="K23" s="159"/>
      <c r="L23" s="159"/>
      <c r="M23" s="159"/>
      <c r="N23" s="70"/>
      <c r="O23" s="70"/>
    </row>
    <row r="24" spans="1:15" ht="15.75" customHeight="1">
      <c r="A24" s="142">
        <v>211</v>
      </c>
      <c r="B24" s="143" t="s">
        <v>68</v>
      </c>
      <c r="C24" s="280">
        <v>0.49473110799999998</v>
      </c>
      <c r="D24" s="145">
        <v>132.60310000000001</v>
      </c>
      <c r="E24" s="144">
        <v>133.5839</v>
      </c>
      <c r="F24" s="144">
        <f t="shared" si="0"/>
        <v>0.73965088297331949</v>
      </c>
      <c r="G24" s="144">
        <f t="shared" si="1"/>
        <v>3.7119403828459936E-3</v>
      </c>
      <c r="H24" s="144">
        <f t="shared" si="2"/>
        <v>0.36890019579617239</v>
      </c>
      <c r="I24" s="140"/>
      <c r="J24" s="260"/>
      <c r="K24" s="159"/>
      <c r="L24" s="159"/>
      <c r="M24" s="159"/>
      <c r="N24" s="70"/>
      <c r="O24" s="70"/>
    </row>
    <row r="25" spans="1:15" ht="15.75" customHeight="1">
      <c r="A25" s="142">
        <v>212</v>
      </c>
      <c r="B25" s="143" t="s">
        <v>69</v>
      </c>
      <c r="C25" s="280">
        <v>0.121235303</v>
      </c>
      <c r="D25" s="145">
        <v>128.31370000000001</v>
      </c>
      <c r="E25" s="144">
        <v>129.68870000000001</v>
      </c>
      <c r="F25" s="144">
        <f t="shared" si="0"/>
        <v>1.0715925111659974</v>
      </c>
      <c r="G25" s="144">
        <f t="shared" si="1"/>
        <v>1.275214130941999E-3</v>
      </c>
      <c r="H25" s="144">
        <f t="shared" si="2"/>
        <v>0.12673337771278181</v>
      </c>
      <c r="I25" s="140"/>
      <c r="J25" s="260"/>
      <c r="K25" s="159"/>
      <c r="L25" s="159"/>
      <c r="M25" s="159"/>
      <c r="N25" s="70"/>
      <c r="O25" s="70"/>
    </row>
    <row r="26" spans="1:15" ht="15.75" customHeight="1">
      <c r="A26" s="142">
        <v>213</v>
      </c>
      <c r="B26" s="143" t="s">
        <v>70</v>
      </c>
      <c r="C26" s="280">
        <v>1.52375433</v>
      </c>
      <c r="D26" s="145">
        <v>134.72790000000001</v>
      </c>
      <c r="E26" s="144">
        <v>135.21299999999999</v>
      </c>
      <c r="F26" s="144">
        <f t="shared" si="0"/>
        <v>0.3600590523566316</v>
      </c>
      <c r="G26" s="144">
        <f t="shared" si="1"/>
        <v>5.6545434240830349E-3</v>
      </c>
      <c r="H26" s="144">
        <f t="shared" si="2"/>
        <v>0.56196004276417177</v>
      </c>
      <c r="I26" s="140"/>
      <c r="J26" s="260"/>
      <c r="K26" s="159"/>
      <c r="L26" s="159"/>
      <c r="M26" s="159"/>
      <c r="N26" s="70"/>
      <c r="O26" s="70"/>
    </row>
    <row r="27" spans="1:15" ht="15.75" customHeight="1">
      <c r="A27" s="142">
        <v>22</v>
      </c>
      <c r="B27" s="143" t="s">
        <v>71</v>
      </c>
      <c r="C27" s="280">
        <v>0.21936440700000001</v>
      </c>
      <c r="D27" s="145">
        <v>126.8591</v>
      </c>
      <c r="E27" s="144">
        <v>129.51689999999999</v>
      </c>
      <c r="F27" s="144">
        <f t="shared" si="0"/>
        <v>2.0950802898648924</v>
      </c>
      <c r="G27" s="144">
        <f t="shared" si="1"/>
        <v>4.460050495896626E-3</v>
      </c>
      <c r="H27" s="144">
        <f t="shared" si="2"/>
        <v>0.44324890259568167</v>
      </c>
      <c r="I27" s="140"/>
      <c r="J27" s="260"/>
      <c r="K27" s="159"/>
      <c r="L27" s="159"/>
      <c r="M27" s="159"/>
      <c r="N27" s="70"/>
      <c r="O27" s="70"/>
    </row>
    <row r="28" spans="1:15" ht="15.75" customHeight="1">
      <c r="A28" s="142">
        <v>221</v>
      </c>
      <c r="B28" s="143" t="s">
        <v>71</v>
      </c>
      <c r="C28" s="280">
        <v>0.21936440700000001</v>
      </c>
      <c r="D28" s="145">
        <v>126.8591</v>
      </c>
      <c r="E28" s="144">
        <v>129.51689999999999</v>
      </c>
      <c r="F28" s="144">
        <f t="shared" si="0"/>
        <v>2.0950802898648924</v>
      </c>
      <c r="G28" s="144">
        <f t="shared" si="1"/>
        <v>4.460050495896626E-3</v>
      </c>
      <c r="H28" s="144">
        <f t="shared" si="2"/>
        <v>0.44324890259568167</v>
      </c>
      <c r="I28" s="140"/>
      <c r="J28" s="260"/>
      <c r="K28" s="159"/>
      <c r="L28" s="159"/>
      <c r="M28" s="159"/>
      <c r="N28" s="70"/>
      <c r="O28" s="70"/>
    </row>
    <row r="29" spans="1:15" ht="15.75" customHeight="1">
      <c r="A29" s="142">
        <v>3</v>
      </c>
      <c r="B29" s="143" t="s">
        <v>72</v>
      </c>
      <c r="C29" s="280">
        <v>4.1869516899999999</v>
      </c>
      <c r="D29" s="145">
        <v>98.392099999999999</v>
      </c>
      <c r="E29" s="144">
        <v>97.799499999999995</v>
      </c>
      <c r="F29" s="144">
        <f t="shared" si="0"/>
        <v>-0.60228412646951002</v>
      </c>
      <c r="G29" s="144">
        <f t="shared" si="1"/>
        <v>-1.8980642672954962E-2</v>
      </c>
      <c r="H29" s="144">
        <f t="shared" si="2"/>
        <v>-1.8863349289628875</v>
      </c>
      <c r="I29" s="140"/>
      <c r="J29" s="260"/>
      <c r="K29" s="159"/>
      <c r="L29" s="159"/>
      <c r="M29" s="159"/>
      <c r="N29" s="70"/>
      <c r="O29" s="70"/>
    </row>
    <row r="30" spans="1:15" ht="15.75" customHeight="1">
      <c r="A30" s="142">
        <v>31</v>
      </c>
      <c r="B30" s="143" t="s">
        <v>183</v>
      </c>
      <c r="C30" s="280">
        <v>2.9123703299999999</v>
      </c>
      <c r="D30" s="145">
        <v>101.87860000000001</v>
      </c>
      <c r="E30" s="144">
        <v>101.6242</v>
      </c>
      <c r="F30" s="144">
        <f t="shared" si="0"/>
        <v>-0.24970896733956804</v>
      </c>
      <c r="G30" s="144">
        <f t="shared" si="1"/>
        <v>-5.6678065815395371E-3</v>
      </c>
      <c r="H30" s="144">
        <f t="shared" si="2"/>
        <v>-0.5632781623668438</v>
      </c>
      <c r="I30" s="140"/>
      <c r="J30" s="260"/>
      <c r="K30" s="159"/>
      <c r="L30" s="159"/>
      <c r="M30" s="159"/>
      <c r="N30" s="70"/>
      <c r="O30" s="70"/>
    </row>
    <row r="31" spans="1:15" ht="15.75" customHeight="1">
      <c r="A31" s="142">
        <v>312</v>
      </c>
      <c r="B31" s="143" t="s">
        <v>184</v>
      </c>
      <c r="C31" s="280">
        <v>2.6880314799999998</v>
      </c>
      <c r="D31" s="145">
        <v>100.49469999999999</v>
      </c>
      <c r="E31" s="144">
        <v>100.12909999999999</v>
      </c>
      <c r="F31" s="144">
        <f t="shared" si="0"/>
        <v>-0.36380028001476994</v>
      </c>
      <c r="G31" s="144">
        <f t="shared" si="1"/>
        <v>-7.5178187993451863E-3</v>
      </c>
      <c r="H31" s="144">
        <f t="shared" si="2"/>
        <v>-0.7471361447115269</v>
      </c>
      <c r="I31" s="140"/>
      <c r="J31" s="260"/>
      <c r="K31" s="159"/>
      <c r="L31" s="159"/>
      <c r="M31" s="159"/>
      <c r="N31" s="70"/>
      <c r="O31" s="70"/>
    </row>
    <row r="32" spans="1:15" ht="15.75" customHeight="1">
      <c r="A32" s="142">
        <v>313</v>
      </c>
      <c r="B32" s="143" t="s">
        <v>185</v>
      </c>
      <c r="C32" s="280">
        <v>8.1715649000000001E-2</v>
      </c>
      <c r="D32" s="145">
        <v>106.73690000000001</v>
      </c>
      <c r="E32" s="144">
        <v>106.9041</v>
      </c>
      <c r="F32" s="144">
        <f t="shared" si="0"/>
        <v>0.15664685783454146</v>
      </c>
      <c r="G32" s="144">
        <f t="shared" si="1"/>
        <v>1.0451841704379914E-4</v>
      </c>
      <c r="H32" s="144">
        <f t="shared" si="2"/>
        <v>1.0387253170860856E-2</v>
      </c>
      <c r="I32" s="140"/>
      <c r="J32" s="260"/>
      <c r="K32" s="159"/>
      <c r="L32" s="159"/>
      <c r="M32" s="159"/>
      <c r="N32" s="70"/>
      <c r="O32" s="70"/>
    </row>
    <row r="33" spans="1:15" ht="15.75" customHeight="1">
      <c r="A33" s="128">
        <v>314</v>
      </c>
      <c r="B33" s="143" t="s">
        <v>186</v>
      </c>
      <c r="C33" s="280">
        <v>0.14262319900000001</v>
      </c>
      <c r="D33" s="145">
        <v>125.17829999999999</v>
      </c>
      <c r="E33" s="144">
        <v>126.7786</v>
      </c>
      <c r="F33" s="144">
        <f t="shared" si="0"/>
        <v>1.2784164667518194</v>
      </c>
      <c r="G33" s="144">
        <f t="shared" si="1"/>
        <v>1.7459945943276618E-3</v>
      </c>
      <c r="H33" s="144">
        <f t="shared" si="2"/>
        <v>0.17352049905841826</v>
      </c>
      <c r="I33" s="140"/>
      <c r="J33" s="260"/>
      <c r="K33" s="159"/>
      <c r="L33" s="159"/>
      <c r="M33" s="159"/>
      <c r="N33" s="70"/>
      <c r="O33" s="70"/>
    </row>
    <row r="34" spans="1:15" ht="15.75" customHeight="1">
      <c r="A34" s="142">
        <v>32</v>
      </c>
      <c r="B34" s="143" t="s">
        <v>73</v>
      </c>
      <c r="C34" s="280">
        <v>1.27458136</v>
      </c>
      <c r="D34" s="145">
        <v>90.4255</v>
      </c>
      <c r="E34" s="144">
        <v>89.060199999999995</v>
      </c>
      <c r="F34" s="144">
        <f t="shared" si="0"/>
        <v>-1.5098617093629585</v>
      </c>
      <c r="G34" s="144">
        <f t="shared" si="1"/>
        <v>-1.3312112198467022E-2</v>
      </c>
      <c r="H34" s="144">
        <f t="shared" si="2"/>
        <v>-1.3229848246403928</v>
      </c>
      <c r="I34" s="140"/>
      <c r="J34" s="260"/>
      <c r="K34" s="159"/>
      <c r="L34" s="159"/>
      <c r="M34" s="159"/>
      <c r="N34" s="70"/>
      <c r="O34" s="70"/>
    </row>
    <row r="35" spans="1:15" ht="15.75" customHeight="1">
      <c r="A35" s="142">
        <v>321</v>
      </c>
      <c r="B35" s="143" t="s">
        <v>187</v>
      </c>
      <c r="C35" s="280">
        <v>1.27458136</v>
      </c>
      <c r="D35" s="145">
        <v>90.4255</v>
      </c>
      <c r="E35" s="144">
        <v>89.060199999999995</v>
      </c>
      <c r="F35" s="144">
        <f t="shared" si="0"/>
        <v>-1.5098617093629585</v>
      </c>
      <c r="G35" s="144">
        <f t="shared" si="1"/>
        <v>-1.3312112198467022E-2</v>
      </c>
      <c r="H35" s="144">
        <f t="shared" si="2"/>
        <v>-1.3229848246403928</v>
      </c>
      <c r="I35" s="140"/>
      <c r="J35" s="260"/>
      <c r="K35" s="159"/>
      <c r="L35" s="159"/>
      <c r="M35" s="159"/>
      <c r="N35" s="70"/>
      <c r="O35" s="70"/>
    </row>
    <row r="36" spans="1:15" ht="15.75" customHeight="1">
      <c r="A36" s="142">
        <v>4</v>
      </c>
      <c r="B36" s="143" t="s">
        <v>16</v>
      </c>
      <c r="C36" s="280">
        <v>12.9784343</v>
      </c>
      <c r="D36" s="145">
        <v>123.2454</v>
      </c>
      <c r="E36" s="144">
        <v>124.0239</v>
      </c>
      <c r="F36" s="144">
        <f t="shared" si="0"/>
        <v>0.63166657741384746</v>
      </c>
      <c r="G36" s="144">
        <f t="shared" si="1"/>
        <v>7.729158904048225E-2</v>
      </c>
      <c r="H36" s="144">
        <f t="shared" si="2"/>
        <v>7.6813955477835538</v>
      </c>
      <c r="I36" s="140"/>
      <c r="J36" s="260"/>
      <c r="K36" s="159"/>
      <c r="L36" s="159"/>
      <c r="M36" s="159"/>
      <c r="N36" s="70"/>
      <c r="O36" s="70"/>
    </row>
    <row r="37" spans="1:15" ht="15.75" customHeight="1">
      <c r="A37" s="142">
        <v>41</v>
      </c>
      <c r="B37" s="143" t="s">
        <v>74</v>
      </c>
      <c r="C37" s="280">
        <v>6.3978329399999998</v>
      </c>
      <c r="D37" s="145">
        <v>114.9542</v>
      </c>
      <c r="E37" s="144">
        <v>115.72150000000001</v>
      </c>
      <c r="F37" s="144">
        <f t="shared" si="0"/>
        <v>0.66748322375347335</v>
      </c>
      <c r="G37" s="144">
        <f t="shared" si="1"/>
        <v>3.7553412699178695E-2</v>
      </c>
      <c r="H37" s="144">
        <f t="shared" si="2"/>
        <v>3.7321346435310625</v>
      </c>
      <c r="I37" s="140"/>
      <c r="J37" s="260"/>
      <c r="K37" s="159"/>
      <c r="L37" s="159"/>
      <c r="M37" s="159"/>
      <c r="N37" s="70"/>
      <c r="O37" s="70"/>
    </row>
    <row r="38" spans="1:15" ht="15.75" customHeight="1">
      <c r="A38" s="142">
        <v>411</v>
      </c>
      <c r="B38" s="143" t="s">
        <v>188</v>
      </c>
      <c r="C38" s="280">
        <v>6.3978329399999998</v>
      </c>
      <c r="D38" s="145">
        <v>114.9542</v>
      </c>
      <c r="E38" s="144">
        <v>115.72150000000001</v>
      </c>
      <c r="F38" s="144">
        <f t="shared" si="0"/>
        <v>0.66748322375347335</v>
      </c>
      <c r="G38" s="144">
        <f t="shared" si="1"/>
        <v>3.7553412699178695E-2</v>
      </c>
      <c r="H38" s="144">
        <f t="shared" si="2"/>
        <v>3.7321346435310625</v>
      </c>
      <c r="I38" s="140"/>
      <c r="J38" s="260"/>
      <c r="K38" s="159"/>
      <c r="L38" s="159"/>
      <c r="M38" s="159"/>
      <c r="N38" s="70"/>
      <c r="O38" s="70"/>
    </row>
    <row r="39" spans="1:15" ht="15.75" customHeight="1">
      <c r="A39" s="142">
        <v>43</v>
      </c>
      <c r="B39" s="143" t="s">
        <v>75</v>
      </c>
      <c r="C39" s="280">
        <v>0.96549262499999999</v>
      </c>
      <c r="D39" s="145">
        <v>136.56399999999999</v>
      </c>
      <c r="E39" s="144">
        <v>140.0804</v>
      </c>
      <c r="F39" s="144">
        <f t="shared" si="0"/>
        <v>2.5749099323394198</v>
      </c>
      <c r="G39" s="144">
        <f t="shared" si="1"/>
        <v>2.5971590601046528E-2</v>
      </c>
      <c r="H39" s="144">
        <f t="shared" si="2"/>
        <v>2.5811095733488782</v>
      </c>
      <c r="I39" s="140"/>
      <c r="J39" s="260"/>
      <c r="K39" s="159"/>
      <c r="L39" s="159"/>
      <c r="M39" s="159"/>
      <c r="N39" s="70"/>
      <c r="O39" s="70"/>
    </row>
    <row r="40" spans="1:15" ht="15.75" customHeight="1">
      <c r="A40" s="142">
        <v>431</v>
      </c>
      <c r="B40" s="143" t="s">
        <v>189</v>
      </c>
      <c r="C40" s="280">
        <v>0.33477081199999997</v>
      </c>
      <c r="D40" s="145">
        <v>135.63560000000001</v>
      </c>
      <c r="E40" s="144">
        <v>138.68430000000001</v>
      </c>
      <c r="F40" s="144">
        <f t="shared" si="0"/>
        <v>2.2477137270745962</v>
      </c>
      <c r="G40" s="144">
        <f t="shared" si="1"/>
        <v>7.807528759844546E-3</v>
      </c>
      <c r="H40" s="144">
        <f t="shared" si="2"/>
        <v>0.77592811067256784</v>
      </c>
      <c r="I40" s="140"/>
      <c r="J40" s="260"/>
      <c r="K40" s="159"/>
      <c r="L40" s="159"/>
      <c r="M40" s="159"/>
      <c r="N40" s="70"/>
      <c r="O40" s="70"/>
    </row>
    <row r="41" spans="1:15" ht="15.75" customHeight="1">
      <c r="A41" s="128">
        <v>432</v>
      </c>
      <c r="B41" s="143" t="s">
        <v>190</v>
      </c>
      <c r="C41" s="280">
        <v>0.63072181299999996</v>
      </c>
      <c r="D41" s="145">
        <v>137.05680000000001</v>
      </c>
      <c r="E41" s="144">
        <v>140.82140000000001</v>
      </c>
      <c r="F41" s="144">
        <f t="shared" si="0"/>
        <v>2.7467444154540388</v>
      </c>
      <c r="G41" s="144">
        <f t="shared" si="1"/>
        <v>1.8163854111930666E-2</v>
      </c>
      <c r="H41" s="144">
        <f t="shared" si="2"/>
        <v>1.8051608181182206</v>
      </c>
      <c r="I41" s="140"/>
      <c r="J41" s="260"/>
      <c r="K41" s="159"/>
      <c r="L41" s="159"/>
      <c r="M41" s="159"/>
      <c r="N41" s="70"/>
      <c r="O41" s="70"/>
    </row>
    <row r="42" spans="1:15" ht="15.75" customHeight="1">
      <c r="A42" s="128">
        <v>44</v>
      </c>
      <c r="B42" s="143" t="s">
        <v>76</v>
      </c>
      <c r="C42" s="282">
        <v>0.82742868800000002</v>
      </c>
      <c r="D42" s="145">
        <v>117.4744</v>
      </c>
      <c r="E42" s="144">
        <v>119.10290000000001</v>
      </c>
      <c r="F42" s="144">
        <f t="shared" si="0"/>
        <v>1.3862594744046275</v>
      </c>
      <c r="G42" s="144">
        <f t="shared" si="1"/>
        <v>1.0307887107051621E-2</v>
      </c>
      <c r="H42" s="144">
        <f t="shared" si="2"/>
        <v>1.0244188159942091</v>
      </c>
      <c r="I42" s="140"/>
      <c r="J42" s="260"/>
      <c r="K42" s="159"/>
      <c r="L42" s="159"/>
      <c r="M42" s="159"/>
      <c r="N42" s="70"/>
      <c r="O42" s="70"/>
    </row>
    <row r="43" spans="1:15" ht="15.75" customHeight="1">
      <c r="A43" s="128">
        <v>441</v>
      </c>
      <c r="B43" s="143" t="s">
        <v>77</v>
      </c>
      <c r="C43" s="280">
        <v>0.38879435499999998</v>
      </c>
      <c r="D43" s="145">
        <v>118.8349</v>
      </c>
      <c r="E43" s="144">
        <v>118.8349</v>
      </c>
      <c r="F43" s="144">
        <f t="shared" si="0"/>
        <v>0</v>
      </c>
      <c r="G43" s="144">
        <f t="shared" si="1"/>
        <v>0</v>
      </c>
      <c r="H43" s="144">
        <f t="shared" si="2"/>
        <v>0</v>
      </c>
      <c r="I43" s="140"/>
      <c r="J43" s="260"/>
      <c r="K43" s="159"/>
      <c r="L43" s="159"/>
      <c r="M43" s="159"/>
      <c r="N43" s="70"/>
      <c r="O43" s="70"/>
    </row>
    <row r="44" spans="1:15" ht="15.75" customHeight="1">
      <c r="A44" s="142">
        <v>442</v>
      </c>
      <c r="B44" s="143" t="s">
        <v>78</v>
      </c>
      <c r="C44" s="280">
        <v>0.106279659</v>
      </c>
      <c r="D44" s="145">
        <v>144.4539</v>
      </c>
      <c r="E44" s="144">
        <v>148.92310000000001</v>
      </c>
      <c r="F44" s="144">
        <f t="shared" si="0"/>
        <v>3.0938590096909913</v>
      </c>
      <c r="G44" s="144">
        <f t="shared" si="1"/>
        <v>3.6335509860834451E-3</v>
      </c>
      <c r="H44" s="144">
        <f t="shared" si="2"/>
        <v>0.36110969788093483</v>
      </c>
      <c r="I44" s="140"/>
      <c r="J44" s="260"/>
      <c r="K44" s="159"/>
      <c r="L44" s="159"/>
      <c r="M44" s="159"/>
      <c r="N44" s="70"/>
      <c r="O44" s="70"/>
    </row>
    <row r="45" spans="1:15" ht="15.75" customHeight="1">
      <c r="A45" s="142">
        <v>443</v>
      </c>
      <c r="B45" s="143" t="s">
        <v>191</v>
      </c>
      <c r="C45" s="280">
        <v>0.33235467400000002</v>
      </c>
      <c r="D45" s="145">
        <v>107.25539999999999</v>
      </c>
      <c r="E45" s="144">
        <v>109.8806</v>
      </c>
      <c r="F45" s="144">
        <f t="shared" si="0"/>
        <v>2.4476156911446889</v>
      </c>
      <c r="G45" s="144">
        <f t="shared" si="1"/>
        <v>6.6744502852220909E-3</v>
      </c>
      <c r="H45" s="144">
        <f t="shared" si="2"/>
        <v>0.66332046398936029</v>
      </c>
      <c r="I45" s="140"/>
      <c r="J45" s="260"/>
      <c r="K45" s="159"/>
      <c r="L45" s="159"/>
      <c r="M45" s="159"/>
      <c r="N45" s="70"/>
      <c r="O45" s="70"/>
    </row>
    <row r="46" spans="1:15" ht="15.75" customHeight="1">
      <c r="A46" s="147">
        <v>45</v>
      </c>
      <c r="B46" s="147" t="s">
        <v>79</v>
      </c>
      <c r="C46" s="283">
        <v>4.7876800299999998</v>
      </c>
      <c r="D46" s="148">
        <v>132.63659999999999</v>
      </c>
      <c r="E46" s="148">
        <v>132.7311</v>
      </c>
      <c r="F46" s="148">
        <f t="shared" si="0"/>
        <v>7.1247302780697019E-2</v>
      </c>
      <c r="G46" s="148">
        <f t="shared" si="1"/>
        <v>3.4610529431545653E-3</v>
      </c>
      <c r="H46" s="148">
        <f t="shared" si="2"/>
        <v>0.34396649102745325</v>
      </c>
      <c r="I46" s="140"/>
      <c r="J46" s="260"/>
      <c r="K46" s="159"/>
      <c r="L46" s="159"/>
      <c r="M46" s="159"/>
      <c r="N46" s="70"/>
      <c r="O46" s="70"/>
    </row>
    <row r="47" spans="1:15" ht="15.75" customHeight="1">
      <c r="A47" s="142">
        <v>451</v>
      </c>
      <c r="B47" s="143" t="s">
        <v>80</v>
      </c>
      <c r="C47" s="280">
        <v>2.57638408</v>
      </c>
      <c r="D47" s="145">
        <v>131.59399999999999</v>
      </c>
      <c r="E47" s="144">
        <v>131.59399999999999</v>
      </c>
      <c r="F47" s="144">
        <f t="shared" si="0"/>
        <v>0</v>
      </c>
      <c r="G47" s="144">
        <f t="shared" si="1"/>
        <v>0</v>
      </c>
      <c r="H47" s="144">
        <f t="shared" si="2"/>
        <v>0</v>
      </c>
      <c r="I47" s="140"/>
      <c r="J47" s="260"/>
      <c r="K47" s="159"/>
      <c r="L47" s="159"/>
      <c r="M47" s="159"/>
      <c r="N47" s="70"/>
      <c r="O47" s="70"/>
    </row>
    <row r="48" spans="1:15" ht="15.75" customHeight="1">
      <c r="A48" s="142">
        <v>452</v>
      </c>
      <c r="B48" s="143" t="s">
        <v>81</v>
      </c>
      <c r="C48" s="280">
        <v>2.0601282599999999</v>
      </c>
      <c r="D48" s="145">
        <v>133.4727</v>
      </c>
      <c r="E48" s="144">
        <v>133.4727</v>
      </c>
      <c r="F48" s="144">
        <f t="shared" si="0"/>
        <v>0</v>
      </c>
      <c r="G48" s="144">
        <f t="shared" si="1"/>
        <v>0</v>
      </c>
      <c r="H48" s="144">
        <f t="shared" si="2"/>
        <v>0</v>
      </c>
      <c r="I48" s="140"/>
      <c r="J48" s="260"/>
      <c r="K48" s="159"/>
      <c r="L48" s="159"/>
      <c r="M48" s="159"/>
      <c r="N48" s="70"/>
      <c r="O48" s="70"/>
    </row>
    <row r="49" spans="1:15" ht="15.75" customHeight="1">
      <c r="A49" s="142">
        <v>453</v>
      </c>
      <c r="B49" s="143" t="s">
        <v>192</v>
      </c>
      <c r="C49" s="280">
        <v>2.5658726999999999E-2</v>
      </c>
      <c r="D49" s="145">
        <v>144.49469999999999</v>
      </c>
      <c r="E49" s="144">
        <v>146.3288</v>
      </c>
      <c r="F49" s="144">
        <f t="shared" si="0"/>
        <v>1.2693199127718824</v>
      </c>
      <c r="G49" s="144">
        <f t="shared" si="1"/>
        <v>3.6000574647496338E-4</v>
      </c>
      <c r="H49" s="144">
        <f t="shared" si="2"/>
        <v>3.5778104351055585E-2</v>
      </c>
      <c r="I49" s="140"/>
      <c r="J49" s="260"/>
      <c r="K49" s="159"/>
      <c r="L49" s="159"/>
      <c r="M49" s="159"/>
      <c r="N49" s="70"/>
      <c r="O49" s="70"/>
    </row>
    <row r="50" spans="1:15" ht="15.75" customHeight="1">
      <c r="A50" s="142">
        <v>454</v>
      </c>
      <c r="B50" s="143" t="s">
        <v>193</v>
      </c>
      <c r="C50" s="280">
        <v>0.125508962</v>
      </c>
      <c r="D50" s="145">
        <v>137.88900000000001</v>
      </c>
      <c r="E50" s="144">
        <v>141.12100000000001</v>
      </c>
      <c r="F50" s="144">
        <f t="shared" si="0"/>
        <v>2.3439143078853197</v>
      </c>
      <c r="G50" s="144">
        <f t="shared" si="1"/>
        <v>3.1031116811554285E-3</v>
      </c>
      <c r="H50" s="144">
        <f t="shared" si="2"/>
        <v>0.30839355934858553</v>
      </c>
      <c r="I50" s="140"/>
      <c r="J50" s="260"/>
      <c r="K50" s="159"/>
      <c r="L50" s="159"/>
      <c r="M50" s="159"/>
      <c r="N50" s="70"/>
      <c r="O50" s="70"/>
    </row>
    <row r="51" spans="1:15" ht="15.75" customHeight="1">
      <c r="A51" s="142">
        <v>5</v>
      </c>
      <c r="B51" s="143" t="s">
        <v>82</v>
      </c>
      <c r="C51" s="280">
        <v>5.1732337099999999</v>
      </c>
      <c r="D51" s="145">
        <v>122.59610000000001</v>
      </c>
      <c r="E51" s="144">
        <v>123.4777</v>
      </c>
      <c r="F51" s="144">
        <f t="shared" si="0"/>
        <v>0.71910933545193956</v>
      </c>
      <c r="G51" s="144">
        <f t="shared" si="1"/>
        <v>3.4888716809228414E-2</v>
      </c>
      <c r="H51" s="144">
        <f t="shared" si="2"/>
        <v>3.4673117384858494</v>
      </c>
      <c r="I51" s="140"/>
      <c r="J51" s="260"/>
      <c r="K51" s="159"/>
      <c r="L51" s="159"/>
      <c r="M51" s="159"/>
      <c r="N51" s="70"/>
      <c r="O51" s="70"/>
    </row>
    <row r="52" spans="1:15" ht="15.75" customHeight="1">
      <c r="A52" s="142">
        <v>51</v>
      </c>
      <c r="B52" s="143" t="s">
        <v>83</v>
      </c>
      <c r="C52" s="280">
        <v>0.49294528100000001</v>
      </c>
      <c r="D52" s="145">
        <v>139.3561</v>
      </c>
      <c r="E52" s="144">
        <v>140.2294</v>
      </c>
      <c r="F52" s="144">
        <f t="shared" si="0"/>
        <v>0.62666793918602082</v>
      </c>
      <c r="G52" s="144">
        <f t="shared" si="1"/>
        <v>3.2931649905700664E-3</v>
      </c>
      <c r="H52" s="144">
        <f t="shared" si="2"/>
        <v>0.32728144434231377</v>
      </c>
      <c r="I52" s="140"/>
      <c r="J52" s="260"/>
      <c r="K52" s="159"/>
      <c r="L52" s="159"/>
      <c r="M52" s="159"/>
      <c r="N52" s="70"/>
      <c r="O52" s="70"/>
    </row>
    <row r="53" spans="1:15" ht="15.75" customHeight="1">
      <c r="A53" s="142">
        <v>511</v>
      </c>
      <c r="B53" s="143" t="s">
        <v>84</v>
      </c>
      <c r="C53" s="280">
        <v>0.43024714200000003</v>
      </c>
      <c r="D53" s="145">
        <v>126.53740000000001</v>
      </c>
      <c r="E53" s="144">
        <v>126.4123</v>
      </c>
      <c r="F53" s="144">
        <f t="shared" si="0"/>
        <v>-9.8864051260738606E-2</v>
      </c>
      <c r="G53" s="144">
        <f t="shared" si="1"/>
        <v>-4.1174337498050385E-4</v>
      </c>
      <c r="H53" s="144">
        <f t="shared" si="2"/>
        <v>-4.0919895252096411E-2</v>
      </c>
      <c r="I53" s="140"/>
      <c r="J53" s="260"/>
      <c r="K53" s="159"/>
      <c r="L53" s="159"/>
      <c r="M53" s="159"/>
      <c r="N53" s="70"/>
      <c r="O53" s="70"/>
    </row>
    <row r="54" spans="1:15" ht="15.75" customHeight="1">
      <c r="A54" s="142">
        <v>513</v>
      </c>
      <c r="B54" s="143" t="s">
        <v>85</v>
      </c>
      <c r="C54" s="280">
        <v>6.2698139E-2</v>
      </c>
      <c r="D54" s="145">
        <v>227.32069999999999</v>
      </c>
      <c r="E54" s="144">
        <v>235.04480000000001</v>
      </c>
      <c r="F54" s="144">
        <f t="shared" si="0"/>
        <v>3.397886774059744</v>
      </c>
      <c r="G54" s="144">
        <f t="shared" si="1"/>
        <v>3.7047069005209628E-3</v>
      </c>
      <c r="H54" s="144">
        <f t="shared" si="2"/>
        <v>0.36818131758942002</v>
      </c>
      <c r="I54" s="140"/>
      <c r="J54" s="260"/>
      <c r="K54" s="159"/>
      <c r="L54" s="159"/>
      <c r="M54" s="159"/>
      <c r="N54" s="70"/>
      <c r="O54" s="70"/>
    </row>
    <row r="55" spans="1:15" ht="15.75" customHeight="1">
      <c r="A55" s="142">
        <v>52</v>
      </c>
      <c r="B55" s="143" t="s">
        <v>86</v>
      </c>
      <c r="C55" s="280">
        <v>0.276162403</v>
      </c>
      <c r="D55" s="145">
        <v>106.7953</v>
      </c>
      <c r="E55" s="144">
        <v>106.6194</v>
      </c>
      <c r="F55" s="144">
        <f t="shared" si="0"/>
        <v>-0.16470762290100582</v>
      </c>
      <c r="G55" s="144">
        <f t="shared" si="1"/>
        <v>-3.7160513676121553E-4</v>
      </c>
      <c r="H55" s="144">
        <f t="shared" si="2"/>
        <v>-3.6930875383556348E-2</v>
      </c>
      <c r="I55" s="140"/>
      <c r="J55" s="260"/>
      <c r="K55" s="159"/>
      <c r="L55" s="159"/>
      <c r="M55" s="159"/>
      <c r="N55" s="70"/>
      <c r="O55" s="70"/>
    </row>
    <row r="56" spans="1:15" ht="15.75" customHeight="1">
      <c r="A56" s="142">
        <v>521</v>
      </c>
      <c r="B56" s="143" t="s">
        <v>87</v>
      </c>
      <c r="C56" s="280">
        <v>0.276162403</v>
      </c>
      <c r="D56" s="145">
        <v>106.7953</v>
      </c>
      <c r="E56" s="144">
        <v>106.6194</v>
      </c>
      <c r="F56" s="144">
        <f t="shared" si="0"/>
        <v>-0.16470762290100582</v>
      </c>
      <c r="G56" s="144">
        <f t="shared" si="1"/>
        <v>-3.7160513676121553E-4</v>
      </c>
      <c r="H56" s="144">
        <f t="shared" si="2"/>
        <v>-3.6930875383556348E-2</v>
      </c>
      <c r="I56" s="140"/>
      <c r="J56" s="260"/>
      <c r="K56" s="159"/>
      <c r="L56" s="159"/>
      <c r="M56" s="159"/>
      <c r="N56" s="70"/>
      <c r="O56" s="70"/>
    </row>
    <row r="57" spans="1:15" ht="15.75" customHeight="1">
      <c r="A57" s="142">
        <v>53</v>
      </c>
      <c r="B57" s="143" t="s">
        <v>88</v>
      </c>
      <c r="C57" s="280">
        <v>0.71722896300000005</v>
      </c>
      <c r="D57" s="145">
        <v>114.7907</v>
      </c>
      <c r="E57" s="144">
        <v>113.9761</v>
      </c>
      <c r="F57" s="144">
        <f t="shared" si="0"/>
        <v>-0.7096393697398784</v>
      </c>
      <c r="G57" s="144">
        <f t="shared" si="1"/>
        <v>-4.4694444183825139E-3</v>
      </c>
      <c r="H57" s="144">
        <f t="shared" si="2"/>
        <v>-0.44418248974604457</v>
      </c>
      <c r="I57" s="140"/>
      <c r="J57" s="260"/>
      <c r="K57" s="159"/>
      <c r="L57" s="159"/>
      <c r="M57" s="159"/>
      <c r="N57" s="70"/>
      <c r="O57" s="70"/>
    </row>
    <row r="58" spans="1:15" ht="15.75" customHeight="1">
      <c r="A58" s="142">
        <v>531</v>
      </c>
      <c r="B58" s="143" t="s">
        <v>194</v>
      </c>
      <c r="C58" s="280">
        <v>0.63290397799999998</v>
      </c>
      <c r="D58" s="145">
        <v>114.1228</v>
      </c>
      <c r="E58" s="144">
        <v>113.2607</v>
      </c>
      <c r="F58" s="144">
        <f t="shared" si="0"/>
        <v>-0.75541434314615463</v>
      </c>
      <c r="G58" s="144">
        <f t="shared" si="1"/>
        <v>-4.1739456207355967E-3</v>
      </c>
      <c r="H58" s="144">
        <f t="shared" si="2"/>
        <v>-0.4148152173584686</v>
      </c>
      <c r="I58" s="140"/>
      <c r="J58" s="260"/>
      <c r="K58" s="159"/>
      <c r="L58" s="159"/>
      <c r="M58" s="159"/>
      <c r="N58" s="70"/>
      <c r="O58" s="70"/>
    </row>
    <row r="59" spans="1:15" ht="15.75" customHeight="1">
      <c r="A59" s="142">
        <v>532</v>
      </c>
      <c r="B59" s="143" t="s">
        <v>195</v>
      </c>
      <c r="C59" s="280">
        <v>8.4324985000000005E-2</v>
      </c>
      <c r="D59" s="145">
        <v>119.8035</v>
      </c>
      <c r="E59" s="144">
        <v>119.34610000000001</v>
      </c>
      <c r="F59" s="144">
        <f t="shared" si="0"/>
        <v>-0.38179185082237721</v>
      </c>
      <c r="G59" s="144">
        <f t="shared" si="1"/>
        <v>-2.9505552346964845E-4</v>
      </c>
      <c r="H59" s="144">
        <f t="shared" si="2"/>
        <v>-2.9323218896969937E-2</v>
      </c>
      <c r="I59" s="140"/>
      <c r="J59" s="260"/>
      <c r="K59" s="159"/>
      <c r="L59" s="159"/>
      <c r="M59" s="159"/>
      <c r="N59" s="70"/>
      <c r="O59" s="70"/>
    </row>
    <row r="60" spans="1:15" ht="15.75" customHeight="1">
      <c r="A60" s="142">
        <v>54</v>
      </c>
      <c r="B60" s="143" t="s">
        <v>89</v>
      </c>
      <c r="C60" s="280">
        <v>7.8511948999999998E-2</v>
      </c>
      <c r="D60" s="145">
        <v>115.9781</v>
      </c>
      <c r="E60" s="144">
        <v>115.3921</v>
      </c>
      <c r="F60" s="144">
        <f t="shared" si="0"/>
        <v>-0.50526780487005762</v>
      </c>
      <c r="G60" s="144">
        <f t="shared" si="1"/>
        <v>-3.5195301566683405E-4</v>
      </c>
      <c r="H60" s="144">
        <f t="shared" si="2"/>
        <v>-3.4977807561392404E-2</v>
      </c>
      <c r="I60" s="140"/>
      <c r="J60" s="260"/>
      <c r="K60" s="159"/>
      <c r="L60" s="159"/>
      <c r="M60" s="159"/>
      <c r="N60" s="70"/>
      <c r="O60" s="70"/>
    </row>
    <row r="61" spans="1:15" ht="15.75" customHeight="1">
      <c r="A61" s="142">
        <v>541</v>
      </c>
      <c r="B61" s="143" t="s">
        <v>196</v>
      </c>
      <c r="C61" s="280">
        <v>7.8511948999999998E-2</v>
      </c>
      <c r="D61" s="145">
        <v>115.9781</v>
      </c>
      <c r="E61" s="144">
        <v>115.3921</v>
      </c>
      <c r="F61" s="144">
        <f t="shared" si="0"/>
        <v>-0.50526780487005762</v>
      </c>
      <c r="G61" s="144">
        <f t="shared" si="1"/>
        <v>-3.5195301566683405E-4</v>
      </c>
      <c r="H61" s="144">
        <f t="shared" si="2"/>
        <v>-3.4977807561392404E-2</v>
      </c>
      <c r="I61" s="140"/>
      <c r="J61" s="260"/>
      <c r="K61" s="159"/>
      <c r="L61" s="159"/>
      <c r="M61" s="159"/>
      <c r="N61" s="70"/>
      <c r="O61" s="70"/>
    </row>
    <row r="62" spans="1:15" ht="15.75" customHeight="1">
      <c r="A62" s="142">
        <v>55</v>
      </c>
      <c r="B62" s="143" t="s">
        <v>197</v>
      </c>
      <c r="C62" s="280">
        <v>6.0344713000000001E-2</v>
      </c>
      <c r="D62" s="145">
        <v>117.8053</v>
      </c>
      <c r="E62" s="144">
        <v>117.9496</v>
      </c>
      <c r="F62" s="144">
        <f t="shared" si="0"/>
        <v>0.12249024449664248</v>
      </c>
      <c r="G62" s="144">
        <f t="shared" si="1"/>
        <v>6.6612674881810815E-5</v>
      </c>
      <c r="H62" s="144">
        <f t="shared" si="2"/>
        <v>6.6201033076845953E-3</v>
      </c>
      <c r="I62" s="140"/>
      <c r="J62" s="260"/>
      <c r="K62" s="159"/>
      <c r="L62" s="159"/>
      <c r="M62" s="159"/>
      <c r="N62" s="70"/>
      <c r="O62" s="70"/>
    </row>
    <row r="63" spans="1:15" ht="15.75" customHeight="1">
      <c r="A63" s="142">
        <v>552</v>
      </c>
      <c r="B63" s="143" t="s">
        <v>198</v>
      </c>
      <c r="C63" s="280">
        <v>6.0344713000000001E-2</v>
      </c>
      <c r="D63" s="145">
        <v>117.8053</v>
      </c>
      <c r="E63" s="144">
        <v>117.9496</v>
      </c>
      <c r="F63" s="144">
        <f t="shared" si="0"/>
        <v>0.12249024449664248</v>
      </c>
      <c r="G63" s="144">
        <f t="shared" si="1"/>
        <v>6.6612674881810815E-5</v>
      </c>
      <c r="H63" s="144">
        <f t="shared" si="2"/>
        <v>6.6201033076845953E-3</v>
      </c>
      <c r="I63" s="140"/>
      <c r="J63" s="260"/>
      <c r="K63" s="159"/>
      <c r="L63" s="159"/>
      <c r="M63" s="159"/>
      <c r="N63" s="70"/>
      <c r="O63" s="70"/>
    </row>
    <row r="64" spans="1:15" ht="15.75" customHeight="1">
      <c r="A64" s="142">
        <v>56</v>
      </c>
      <c r="B64" s="143" t="s">
        <v>90</v>
      </c>
      <c r="C64" s="280">
        <v>3.5480404000000001</v>
      </c>
      <c r="D64" s="145">
        <v>123.3032</v>
      </c>
      <c r="E64" s="144">
        <v>124.6561</v>
      </c>
      <c r="F64" s="144">
        <f t="shared" si="0"/>
        <v>1.0972140220204984</v>
      </c>
      <c r="G64" s="144">
        <f t="shared" si="1"/>
        <v>3.672024492556699E-2</v>
      </c>
      <c r="H64" s="144">
        <f t="shared" si="2"/>
        <v>3.649332733177975</v>
      </c>
      <c r="I64" s="140"/>
      <c r="J64" s="260"/>
      <c r="K64" s="159"/>
      <c r="L64" s="159"/>
      <c r="M64" s="159"/>
      <c r="N64" s="70"/>
      <c r="O64" s="70"/>
    </row>
    <row r="65" spans="1:15" ht="15.75" customHeight="1">
      <c r="A65" s="142">
        <v>561</v>
      </c>
      <c r="B65" s="143" t="s">
        <v>199</v>
      </c>
      <c r="C65" s="280">
        <v>1.81724252</v>
      </c>
      <c r="D65" s="145">
        <v>133.22409999999999</v>
      </c>
      <c r="E65" s="144">
        <v>135.45840000000001</v>
      </c>
      <c r="F65" s="144">
        <f t="shared" si="0"/>
        <v>1.6770989633257294</v>
      </c>
      <c r="G65" s="144">
        <f t="shared" si="1"/>
        <v>3.1060303257569758E-2</v>
      </c>
      <c r="H65" s="144">
        <f t="shared" si="2"/>
        <v>3.0868362019383673</v>
      </c>
      <c r="I65" s="140"/>
      <c r="J65" s="260"/>
      <c r="K65" s="159"/>
      <c r="L65" s="159"/>
      <c r="M65" s="159"/>
      <c r="N65" s="70"/>
      <c r="O65" s="70"/>
    </row>
    <row r="66" spans="1:15" ht="15.75" customHeight="1">
      <c r="A66" s="142">
        <v>562</v>
      </c>
      <c r="B66" s="143" t="s">
        <v>200</v>
      </c>
      <c r="C66" s="280">
        <v>1.7307978799999999</v>
      </c>
      <c r="D66" s="145">
        <v>112.88679999999999</v>
      </c>
      <c r="E66" s="144">
        <v>113.3142</v>
      </c>
      <c r="F66" s="144">
        <f t="shared" si="0"/>
        <v>0.37860936796862976</v>
      </c>
      <c r="G66" s="144">
        <f t="shared" si="1"/>
        <v>5.6589022040055229E-3</v>
      </c>
      <c r="H66" s="144">
        <f t="shared" si="2"/>
        <v>0.56239322719091234</v>
      </c>
      <c r="I66" s="140"/>
      <c r="J66" s="260"/>
      <c r="K66" s="159"/>
      <c r="L66" s="159"/>
      <c r="M66" s="159"/>
      <c r="N66" s="70"/>
      <c r="O66" s="70"/>
    </row>
    <row r="67" spans="1:15" ht="15.75" customHeight="1">
      <c r="A67" s="142">
        <v>6</v>
      </c>
      <c r="B67" s="143" t="s">
        <v>17</v>
      </c>
      <c r="C67" s="280">
        <v>4.7407437400000001</v>
      </c>
      <c r="D67" s="145">
        <v>127.5579</v>
      </c>
      <c r="E67" s="144">
        <v>129.39240000000001</v>
      </c>
      <c r="F67" s="144">
        <f t="shared" si="0"/>
        <v>1.438170430839647</v>
      </c>
      <c r="G67" s="144">
        <f t="shared" si="1"/>
        <v>6.6529691949557282E-2</v>
      </c>
      <c r="H67" s="144">
        <f t="shared" si="2"/>
        <v>6.6118562948560653</v>
      </c>
      <c r="I67" s="140"/>
      <c r="J67" s="260"/>
      <c r="K67" s="159"/>
      <c r="L67" s="159"/>
      <c r="M67" s="159"/>
      <c r="N67" s="70"/>
      <c r="O67" s="70"/>
    </row>
    <row r="68" spans="1:15" ht="15.75" customHeight="1">
      <c r="A68" s="142">
        <v>61</v>
      </c>
      <c r="B68" s="143" t="s">
        <v>91</v>
      </c>
      <c r="C68" s="280">
        <v>3.3125024700000001</v>
      </c>
      <c r="D68" s="145">
        <v>126.66849999999999</v>
      </c>
      <c r="E68" s="144">
        <v>128.64760000000001</v>
      </c>
      <c r="F68" s="144">
        <f t="shared" si="0"/>
        <v>1.5624247543785774</v>
      </c>
      <c r="G68" s="144">
        <f t="shared" si="1"/>
        <v>5.0150499826938505E-2</v>
      </c>
      <c r="H68" s="144">
        <f t="shared" si="2"/>
        <v>4.9840588202682623</v>
      </c>
      <c r="I68" s="140"/>
      <c r="J68" s="260"/>
      <c r="K68" s="159"/>
      <c r="L68" s="159"/>
      <c r="M68" s="159"/>
      <c r="N68" s="70"/>
      <c r="O68" s="70"/>
    </row>
    <row r="69" spans="1:15" ht="15.75" customHeight="1">
      <c r="A69" s="142">
        <v>611</v>
      </c>
      <c r="B69" s="143" t="s">
        <v>201</v>
      </c>
      <c r="C69" s="280">
        <v>3.2116952200000002</v>
      </c>
      <c r="D69" s="145">
        <v>127.1799</v>
      </c>
      <c r="E69" s="144">
        <v>129.19560000000001</v>
      </c>
      <c r="F69" s="144">
        <f t="shared" si="0"/>
        <v>1.5849202586257771</v>
      </c>
      <c r="G69" s="144">
        <f t="shared" si="1"/>
        <v>4.9523523622297935E-2</v>
      </c>
      <c r="H69" s="144">
        <f t="shared" si="2"/>
        <v>4.9217486480143338</v>
      </c>
      <c r="I69" s="140"/>
      <c r="J69" s="260"/>
      <c r="K69" s="159"/>
      <c r="L69" s="159"/>
      <c r="M69" s="159"/>
      <c r="N69" s="70"/>
      <c r="O69" s="70"/>
    </row>
    <row r="70" spans="1:15" ht="15.75" customHeight="1">
      <c r="A70" s="142">
        <v>613</v>
      </c>
      <c r="B70" s="143" t="s">
        <v>92</v>
      </c>
      <c r="C70" s="280">
        <v>0.10080725</v>
      </c>
      <c r="D70" s="145">
        <v>110.3728</v>
      </c>
      <c r="E70" s="144">
        <v>111.191</v>
      </c>
      <c r="F70" s="144">
        <f t="shared" si="0"/>
        <v>0.74130582897236064</v>
      </c>
      <c r="G70" s="144">
        <f t="shared" si="1"/>
        <v>6.3096106202475825E-4</v>
      </c>
      <c r="H70" s="144">
        <f t="shared" si="2"/>
        <v>6.2706195497200523E-2</v>
      </c>
      <c r="I70" s="140"/>
      <c r="J70" s="260"/>
      <c r="K70" s="159"/>
      <c r="L70" s="159"/>
      <c r="M70" s="159"/>
      <c r="N70" s="70"/>
      <c r="O70" s="70"/>
    </row>
    <row r="71" spans="1:15" ht="15.75" customHeight="1">
      <c r="A71" s="142">
        <v>62</v>
      </c>
      <c r="B71" s="143" t="s">
        <v>93</v>
      </c>
      <c r="C71" s="280">
        <v>0.91730788100000005</v>
      </c>
      <c r="D71" s="145">
        <v>135.37190000000001</v>
      </c>
      <c r="E71" s="144">
        <v>137.07409999999999</v>
      </c>
      <c r="F71" s="144">
        <f t="shared" si="0"/>
        <v>1.2574249161014794</v>
      </c>
      <c r="G71" s="144">
        <f t="shared" si="1"/>
        <v>1.194474897139103E-2</v>
      </c>
      <c r="H71" s="144">
        <f t="shared" si="2"/>
        <v>1.1870934820628287</v>
      </c>
      <c r="I71" s="140"/>
      <c r="J71" s="260"/>
      <c r="K71" s="159"/>
      <c r="L71" s="159"/>
      <c r="M71" s="159"/>
      <c r="N71" s="70"/>
      <c r="O71" s="70"/>
    </row>
    <row r="72" spans="1:15" ht="15.75" customHeight="1">
      <c r="A72" s="142">
        <v>621</v>
      </c>
      <c r="B72" s="143" t="s">
        <v>94</v>
      </c>
      <c r="C72" s="280">
        <v>0.37477136700000002</v>
      </c>
      <c r="D72" s="145">
        <v>143.91120000000001</v>
      </c>
      <c r="E72" s="144">
        <v>146.45179999999999</v>
      </c>
      <c r="F72" s="144">
        <f t="shared" ref="F72:F135" si="3">(E72/D72-1)*100</f>
        <v>1.7653942153216695</v>
      </c>
      <c r="G72" s="144">
        <f t="shared" si="1"/>
        <v>7.2837329217744053E-3</v>
      </c>
      <c r="H72" s="144">
        <f t="shared" si="2"/>
        <v>0.72387221340809071</v>
      </c>
      <c r="I72" s="140"/>
      <c r="J72" s="260"/>
      <c r="K72" s="159"/>
      <c r="L72" s="159"/>
      <c r="M72" s="159"/>
      <c r="N72" s="70"/>
      <c r="O72" s="70"/>
    </row>
    <row r="73" spans="1:15" ht="15.75" customHeight="1">
      <c r="A73" s="142">
        <v>622</v>
      </c>
      <c r="B73" s="143" t="s">
        <v>95</v>
      </c>
      <c r="C73" s="280">
        <v>9.1662175999999998E-2</v>
      </c>
      <c r="D73" s="145">
        <v>135.72929999999999</v>
      </c>
      <c r="E73" s="144">
        <v>137.3853</v>
      </c>
      <c r="F73" s="144">
        <f t="shared" si="3"/>
        <v>1.2200755474315539</v>
      </c>
      <c r="G73" s="144">
        <f t="shared" ref="G73:G136" si="4">(E73-D73)/$D$7*C73</f>
        <v>1.1611860548033271E-3</v>
      </c>
      <c r="H73" s="144">
        <f t="shared" ref="H73:H136" si="5">(G73/$G$7)*100</f>
        <v>0.11540103525162269</v>
      </c>
      <c r="I73" s="140"/>
      <c r="J73" s="260"/>
      <c r="K73" s="159"/>
      <c r="L73" s="159"/>
      <c r="M73" s="159"/>
      <c r="N73" s="70"/>
      <c r="O73" s="70"/>
    </row>
    <row r="74" spans="1:15" ht="15.75" customHeight="1">
      <c r="A74" s="142">
        <v>623</v>
      </c>
      <c r="B74" s="143" t="s">
        <v>202</v>
      </c>
      <c r="C74" s="280">
        <v>0.45087433900000001</v>
      </c>
      <c r="D74" s="145">
        <v>128.2013</v>
      </c>
      <c r="E74" s="144">
        <v>129.21610000000001</v>
      </c>
      <c r="F74" s="144">
        <f t="shared" si="3"/>
        <v>0.79156763620962245</v>
      </c>
      <c r="G74" s="144">
        <f t="shared" si="4"/>
        <v>3.5001551323970231E-3</v>
      </c>
      <c r="H74" s="144">
        <f t="shared" si="5"/>
        <v>0.34785254623843215</v>
      </c>
      <c r="I74" s="140"/>
      <c r="J74" s="260"/>
      <c r="K74" s="159"/>
      <c r="L74" s="159"/>
      <c r="M74" s="159"/>
      <c r="N74" s="70"/>
      <c r="O74" s="70"/>
    </row>
    <row r="75" spans="1:15" ht="15.75" customHeight="1">
      <c r="A75" s="142">
        <v>63</v>
      </c>
      <c r="B75" s="143" t="s">
        <v>96</v>
      </c>
      <c r="C75" s="280">
        <v>0.51093338600000004</v>
      </c>
      <c r="D75" s="145">
        <v>119.2953</v>
      </c>
      <c r="E75" s="144">
        <v>120.4293</v>
      </c>
      <c r="F75" s="144">
        <f t="shared" si="3"/>
        <v>0.95058229452460452</v>
      </c>
      <c r="G75" s="144">
        <f t="shared" si="4"/>
        <v>4.4322949444163965E-3</v>
      </c>
      <c r="H75" s="144">
        <f t="shared" si="5"/>
        <v>0.44049049935655504</v>
      </c>
      <c r="I75" s="140"/>
      <c r="J75" s="260"/>
      <c r="K75" s="159"/>
      <c r="L75" s="159"/>
      <c r="M75" s="159"/>
      <c r="N75" s="70"/>
      <c r="O75" s="70"/>
    </row>
    <row r="76" spans="1:15" ht="15.75" customHeight="1">
      <c r="A76" s="142">
        <v>631</v>
      </c>
      <c r="B76" s="143" t="s">
        <v>97</v>
      </c>
      <c r="C76" s="280">
        <v>0.51093338600000004</v>
      </c>
      <c r="D76" s="145">
        <v>119.2953</v>
      </c>
      <c r="E76" s="144">
        <v>120.4293</v>
      </c>
      <c r="F76" s="144">
        <f t="shared" si="3"/>
        <v>0.95058229452460452</v>
      </c>
      <c r="G76" s="144">
        <f t="shared" si="4"/>
        <v>4.4322949444163965E-3</v>
      </c>
      <c r="H76" s="144">
        <f t="shared" si="5"/>
        <v>0.44049049935655504</v>
      </c>
      <c r="I76" s="140"/>
      <c r="J76" s="260"/>
      <c r="K76" s="159"/>
      <c r="L76" s="159"/>
      <c r="M76" s="159"/>
      <c r="N76" s="70"/>
      <c r="O76" s="70"/>
    </row>
    <row r="77" spans="1:15" ht="15.75" customHeight="1">
      <c r="A77" s="142">
        <v>7</v>
      </c>
      <c r="B77" s="142" t="s">
        <v>18</v>
      </c>
      <c r="C77" s="280">
        <v>16.646278200000001</v>
      </c>
      <c r="D77" s="145">
        <v>135.9691</v>
      </c>
      <c r="E77" s="144">
        <v>137.06950000000001</v>
      </c>
      <c r="F77" s="144">
        <f t="shared" si="3"/>
        <v>0.80930152512592723</v>
      </c>
      <c r="G77" s="144">
        <f t="shared" si="4"/>
        <v>0.14012610372607617</v>
      </c>
      <c r="H77" s="144">
        <f t="shared" si="5"/>
        <v>13.926017599741433</v>
      </c>
      <c r="I77" s="140"/>
      <c r="J77" s="260"/>
      <c r="K77" s="159"/>
      <c r="L77" s="159"/>
      <c r="M77" s="159"/>
      <c r="N77" s="70"/>
      <c r="O77" s="70"/>
    </row>
    <row r="78" spans="1:15" ht="15.75" customHeight="1">
      <c r="A78" s="142">
        <v>71</v>
      </c>
      <c r="B78" s="143" t="s">
        <v>98</v>
      </c>
      <c r="C78" s="280">
        <v>3.0807926700000001</v>
      </c>
      <c r="D78" s="145">
        <v>121.8768</v>
      </c>
      <c r="E78" s="144">
        <v>125.7842</v>
      </c>
      <c r="F78" s="144">
        <f t="shared" si="3"/>
        <v>3.2060244443569141</v>
      </c>
      <c r="G78" s="144">
        <f t="shared" si="4"/>
        <v>9.2087707338917593E-2</v>
      </c>
      <c r="H78" s="144">
        <f t="shared" si="5"/>
        <v>9.1518639212899142</v>
      </c>
      <c r="I78" s="140"/>
      <c r="J78" s="260"/>
      <c r="K78" s="159"/>
      <c r="L78" s="159"/>
      <c r="M78" s="159"/>
      <c r="N78" s="70"/>
      <c r="O78" s="70"/>
    </row>
    <row r="79" spans="1:15" ht="15.75" customHeight="1">
      <c r="A79" s="142">
        <v>711</v>
      </c>
      <c r="B79" s="143" t="s">
        <v>203</v>
      </c>
      <c r="C79" s="280">
        <v>2.88743076</v>
      </c>
      <c r="D79" s="145">
        <v>120.2246</v>
      </c>
      <c r="E79" s="144">
        <v>124.3463</v>
      </c>
      <c r="F79" s="144">
        <f t="shared" si="3"/>
        <v>3.4283333028348739</v>
      </c>
      <c r="G79" s="144">
        <f t="shared" si="4"/>
        <v>9.1041472464405457E-2</v>
      </c>
      <c r="H79" s="144">
        <f t="shared" si="5"/>
        <v>9.0478869684703245</v>
      </c>
      <c r="I79" s="140"/>
      <c r="J79" s="260"/>
      <c r="K79" s="159"/>
      <c r="L79" s="159"/>
      <c r="M79" s="159"/>
      <c r="N79" s="70"/>
      <c r="O79" s="70"/>
    </row>
    <row r="80" spans="1:15" ht="15.75" customHeight="1">
      <c r="A80" s="128">
        <v>712</v>
      </c>
      <c r="B80" s="143" t="s">
        <v>99</v>
      </c>
      <c r="C80" s="280">
        <v>0.193361908</v>
      </c>
      <c r="D80" s="145">
        <v>146.54849999999999</v>
      </c>
      <c r="E80" s="144">
        <v>147.25540000000001</v>
      </c>
      <c r="F80" s="144">
        <f t="shared" si="3"/>
        <v>0.48236590616759223</v>
      </c>
      <c r="G80" s="144">
        <f t="shared" si="4"/>
        <v>1.0456352623521947E-3</v>
      </c>
      <c r="H80" s="144">
        <f t="shared" si="5"/>
        <v>0.10391736214183445</v>
      </c>
      <c r="I80" s="140"/>
      <c r="J80" s="260"/>
      <c r="K80" s="159"/>
      <c r="L80" s="159"/>
      <c r="M80" s="159"/>
      <c r="N80" s="70"/>
      <c r="O80" s="70"/>
    </row>
    <row r="81" spans="1:15" ht="15.75" customHeight="1">
      <c r="A81" s="128">
        <v>72</v>
      </c>
      <c r="B81" s="143" t="s">
        <v>204</v>
      </c>
      <c r="C81" s="280">
        <v>8.4404824699999992</v>
      </c>
      <c r="D81" s="145">
        <v>140.6028</v>
      </c>
      <c r="E81" s="144">
        <v>141.4633</v>
      </c>
      <c r="F81" s="144">
        <f t="shared" si="3"/>
        <v>0.61200772673091208</v>
      </c>
      <c r="G81" s="144">
        <f t="shared" si="4"/>
        <v>5.5560924446038266E-2</v>
      </c>
      <c r="H81" s="144">
        <f t="shared" si="5"/>
        <v>5.5217578389674919</v>
      </c>
      <c r="I81" s="140"/>
      <c r="J81" s="260"/>
      <c r="K81" s="159"/>
      <c r="L81" s="159"/>
      <c r="M81" s="159"/>
      <c r="N81" s="70"/>
      <c r="O81" s="70"/>
    </row>
    <row r="82" spans="1:15" ht="15.75" customHeight="1">
      <c r="A82" s="128">
        <v>721</v>
      </c>
      <c r="B82" s="143" t="s">
        <v>205</v>
      </c>
      <c r="C82" s="280">
        <v>0.53260233000000001</v>
      </c>
      <c r="D82" s="145">
        <v>138.6463</v>
      </c>
      <c r="E82" s="144">
        <v>143.31890000000001</v>
      </c>
      <c r="F82" s="144">
        <f t="shared" si="3"/>
        <v>3.3701584535613449</v>
      </c>
      <c r="G82" s="144">
        <f t="shared" si="4"/>
        <v>1.9037634423876692E-2</v>
      </c>
      <c r="H82" s="144">
        <f t="shared" si="5"/>
        <v>1.891998885251343</v>
      </c>
      <c r="I82" s="140"/>
      <c r="J82" s="260"/>
      <c r="K82" s="159"/>
      <c r="L82" s="159"/>
      <c r="M82" s="159"/>
      <c r="N82" s="70"/>
      <c r="O82" s="70"/>
    </row>
    <row r="83" spans="1:15" ht="15.75" customHeight="1">
      <c r="A83" s="128">
        <v>722</v>
      </c>
      <c r="B83" s="143" t="s">
        <v>206</v>
      </c>
      <c r="C83" s="280">
        <v>6.94065201</v>
      </c>
      <c r="D83" s="145">
        <v>139.04390000000001</v>
      </c>
      <c r="E83" s="144">
        <v>139.0634</v>
      </c>
      <c r="F83" s="144">
        <f t="shared" si="3"/>
        <v>1.4024347706009799E-2</v>
      </c>
      <c r="G83" s="144">
        <f t="shared" si="4"/>
        <v>1.0353476399914E-3</v>
      </c>
      <c r="H83" s="144">
        <f t="shared" si="5"/>
        <v>0.10289495727759887</v>
      </c>
      <c r="I83" s="140"/>
      <c r="J83" s="260"/>
      <c r="K83" s="159"/>
      <c r="L83" s="159"/>
      <c r="M83" s="159"/>
      <c r="N83" s="70"/>
      <c r="O83" s="70"/>
    </row>
    <row r="84" spans="1:15" ht="15.75" customHeight="1">
      <c r="A84" s="142">
        <v>723</v>
      </c>
      <c r="B84" s="143" t="s">
        <v>207</v>
      </c>
      <c r="C84" s="280">
        <v>0.87730871399999999</v>
      </c>
      <c r="D84" s="145">
        <v>155.8032</v>
      </c>
      <c r="E84" s="144">
        <v>159.59110000000001</v>
      </c>
      <c r="F84" s="144">
        <f t="shared" si="3"/>
        <v>2.431208088152248</v>
      </c>
      <c r="G84" s="144">
        <f t="shared" si="4"/>
        <v>2.542156391242948E-2</v>
      </c>
      <c r="H84" s="144">
        <f t="shared" si="5"/>
        <v>2.5264468007295671</v>
      </c>
      <c r="I84" s="140"/>
      <c r="J84" s="260"/>
      <c r="K84" s="159"/>
      <c r="L84" s="159"/>
      <c r="M84" s="159"/>
      <c r="N84" s="70"/>
      <c r="O84" s="70"/>
    </row>
    <row r="85" spans="1:15" ht="15.75" customHeight="1">
      <c r="A85" s="142">
        <v>724</v>
      </c>
      <c r="B85" s="143" t="s">
        <v>208</v>
      </c>
      <c r="C85" s="280">
        <v>8.9919413000000004E-2</v>
      </c>
      <c r="D85" s="145">
        <v>124.21980000000001</v>
      </c>
      <c r="E85" s="144">
        <v>138.85319999999999</v>
      </c>
      <c r="F85" s="144">
        <f t="shared" si="3"/>
        <v>11.780247593378812</v>
      </c>
      <c r="G85" s="144">
        <f t="shared" si="4"/>
        <v>1.006584001311331E-2</v>
      </c>
      <c r="H85" s="144">
        <f t="shared" si="5"/>
        <v>1.0003636827926148</v>
      </c>
      <c r="I85" s="140"/>
      <c r="J85" s="260"/>
      <c r="K85" s="159"/>
      <c r="L85" s="159"/>
      <c r="M85" s="159"/>
      <c r="N85" s="70"/>
      <c r="O85" s="70"/>
    </row>
    <row r="86" spans="1:15" ht="15.75" customHeight="1">
      <c r="A86" s="147">
        <v>73</v>
      </c>
      <c r="B86" s="147" t="s">
        <v>101</v>
      </c>
      <c r="C86" s="283">
        <v>5.1250031099999998</v>
      </c>
      <c r="D86" s="148">
        <v>136.8091</v>
      </c>
      <c r="E86" s="148">
        <v>136.61699999999999</v>
      </c>
      <c r="F86" s="148">
        <f t="shared" si="3"/>
        <v>-0.14041463616090155</v>
      </c>
      <c r="G86" s="148">
        <f t="shared" si="4"/>
        <v>-7.5313497148992081E-3</v>
      </c>
      <c r="H86" s="148">
        <f t="shared" si="5"/>
        <v>-0.74848087465930513</v>
      </c>
      <c r="I86" s="140"/>
      <c r="J86" s="260"/>
      <c r="K86" s="159"/>
      <c r="L86" s="159"/>
      <c r="M86" s="159"/>
      <c r="N86" s="70"/>
      <c r="O86" s="70"/>
    </row>
    <row r="87" spans="1:15" ht="15.75" customHeight="1">
      <c r="A87" s="142">
        <v>732</v>
      </c>
      <c r="B87" s="143" t="s">
        <v>209</v>
      </c>
      <c r="C87" s="280">
        <v>4.8476457000000002</v>
      </c>
      <c r="D87" s="145">
        <v>135.62719999999999</v>
      </c>
      <c r="E87" s="144">
        <v>136.6275</v>
      </c>
      <c r="F87" s="144">
        <f t="shared" si="3"/>
        <v>0.73753642337230918</v>
      </c>
      <c r="G87" s="144">
        <f t="shared" si="4"/>
        <v>3.7094750644191862E-2</v>
      </c>
      <c r="H87" s="144">
        <f t="shared" si="5"/>
        <v>3.6865518742951005</v>
      </c>
      <c r="I87" s="140"/>
      <c r="J87" s="260"/>
      <c r="K87" s="159"/>
      <c r="L87" s="159"/>
      <c r="M87" s="159"/>
      <c r="N87" s="70"/>
      <c r="O87" s="70"/>
    </row>
    <row r="88" spans="1:15" ht="15.75" customHeight="1">
      <c r="A88" s="142">
        <v>733</v>
      </c>
      <c r="B88" s="143" t="s">
        <v>210</v>
      </c>
      <c r="C88" s="280">
        <v>0.27735740599999997</v>
      </c>
      <c r="D88" s="145">
        <v>157.46610000000001</v>
      </c>
      <c r="E88" s="144">
        <v>136.43350000000001</v>
      </c>
      <c r="F88" s="144">
        <f t="shared" si="3"/>
        <v>-13.356906661179767</v>
      </c>
      <c r="G88" s="144">
        <f t="shared" si="4"/>
        <v>-4.4625597660956834E-2</v>
      </c>
      <c r="H88" s="144">
        <f t="shared" si="5"/>
        <v>-4.4349827897899203</v>
      </c>
      <c r="I88" s="140"/>
      <c r="J88" s="260"/>
      <c r="K88" s="159"/>
      <c r="L88" s="159"/>
      <c r="M88" s="159"/>
      <c r="N88" s="70"/>
      <c r="O88" s="70"/>
    </row>
    <row r="89" spans="1:15" ht="15.75" customHeight="1">
      <c r="A89" s="142">
        <v>8</v>
      </c>
      <c r="B89" s="143" t="s">
        <v>19</v>
      </c>
      <c r="C89" s="280">
        <v>5.0611789700000003</v>
      </c>
      <c r="D89" s="145">
        <v>97.522300000000001</v>
      </c>
      <c r="E89" s="144">
        <v>99.201599999999999</v>
      </c>
      <c r="F89" s="144">
        <f t="shared" si="3"/>
        <v>1.7219651300266703</v>
      </c>
      <c r="G89" s="144">
        <f t="shared" si="4"/>
        <v>6.5017654597703436E-2</v>
      </c>
      <c r="H89" s="144">
        <f t="shared" si="5"/>
        <v>6.4615869430831401</v>
      </c>
      <c r="I89" s="140"/>
      <c r="J89" s="260"/>
      <c r="K89" s="159"/>
      <c r="L89" s="159"/>
      <c r="M89" s="159"/>
      <c r="N89" s="70"/>
      <c r="O89" s="70"/>
    </row>
    <row r="90" spans="1:15" ht="15.75" customHeight="1">
      <c r="A90" s="142">
        <v>82</v>
      </c>
      <c r="B90" s="143" t="s">
        <v>211</v>
      </c>
      <c r="C90" s="280">
        <v>0.221632303</v>
      </c>
      <c r="D90" s="145">
        <v>91.410499999999999</v>
      </c>
      <c r="E90" s="144">
        <v>93.238699999999994</v>
      </c>
      <c r="F90" s="144">
        <f t="shared" si="3"/>
        <v>1.9999890603376924</v>
      </c>
      <c r="G90" s="144">
        <f t="shared" si="4"/>
        <v>3.0996173279524406E-3</v>
      </c>
      <c r="H90" s="144">
        <f t="shared" si="5"/>
        <v>0.30804628340990925</v>
      </c>
      <c r="I90" s="140"/>
      <c r="J90" s="260"/>
      <c r="K90" s="159"/>
      <c r="L90" s="159"/>
      <c r="M90" s="159"/>
      <c r="N90" s="70"/>
      <c r="O90" s="70"/>
    </row>
    <row r="91" spans="1:15" ht="15.75" customHeight="1">
      <c r="A91" s="142">
        <v>821</v>
      </c>
      <c r="B91" s="143" t="s">
        <v>211</v>
      </c>
      <c r="C91" s="280">
        <v>0.221632303</v>
      </c>
      <c r="D91" s="145">
        <v>91.410499999999999</v>
      </c>
      <c r="E91" s="144">
        <v>93.238699999999994</v>
      </c>
      <c r="F91" s="144">
        <f t="shared" si="3"/>
        <v>1.9999890603376924</v>
      </c>
      <c r="G91" s="144">
        <f t="shared" si="4"/>
        <v>3.0996173279524406E-3</v>
      </c>
      <c r="H91" s="144">
        <f t="shared" si="5"/>
        <v>0.30804628340990925</v>
      </c>
      <c r="I91" s="140"/>
      <c r="J91" s="260"/>
      <c r="K91" s="159"/>
      <c r="L91" s="159"/>
      <c r="M91" s="159"/>
      <c r="N91" s="70"/>
      <c r="O91" s="70"/>
    </row>
    <row r="92" spans="1:15" ht="15.75" customHeight="1">
      <c r="A92" s="142">
        <v>83</v>
      </c>
      <c r="B92" s="143" t="s">
        <v>212</v>
      </c>
      <c r="C92" s="280">
        <v>4.8395466599999999</v>
      </c>
      <c r="D92" s="145">
        <v>97.802199999999999</v>
      </c>
      <c r="E92" s="144">
        <v>99.474599999999995</v>
      </c>
      <c r="F92" s="144">
        <f t="shared" si="3"/>
        <v>1.7099819840453501</v>
      </c>
      <c r="G92" s="144">
        <f t="shared" si="4"/>
        <v>6.1915039811079854E-2</v>
      </c>
      <c r="H92" s="144">
        <f t="shared" si="5"/>
        <v>6.1532427661252136</v>
      </c>
      <c r="I92" s="140"/>
      <c r="J92" s="260"/>
      <c r="K92" s="159"/>
      <c r="L92" s="159"/>
      <c r="M92" s="159"/>
      <c r="N92" s="70"/>
      <c r="O92" s="70"/>
    </row>
    <row r="93" spans="1:15" ht="15.75" customHeight="1">
      <c r="A93" s="142">
        <v>831</v>
      </c>
      <c r="B93" s="143" t="s">
        <v>213</v>
      </c>
      <c r="C93" s="280">
        <v>4.8395466599999999</v>
      </c>
      <c r="D93" s="145">
        <v>97.802199999999999</v>
      </c>
      <c r="E93" s="144">
        <v>99.474599999999995</v>
      </c>
      <c r="F93" s="144">
        <f t="shared" si="3"/>
        <v>1.7099819840453501</v>
      </c>
      <c r="G93" s="144">
        <f t="shared" si="4"/>
        <v>6.1915039811079854E-2</v>
      </c>
      <c r="H93" s="144">
        <f t="shared" si="5"/>
        <v>6.1532427661252136</v>
      </c>
      <c r="I93" s="140"/>
      <c r="J93" s="260"/>
      <c r="K93" s="159"/>
      <c r="L93" s="159"/>
      <c r="M93" s="159"/>
      <c r="N93" s="70"/>
      <c r="O93" s="70"/>
    </row>
    <row r="94" spans="1:15" ht="15.75" customHeight="1">
      <c r="A94" s="142">
        <v>9</v>
      </c>
      <c r="B94" s="143" t="s">
        <v>102</v>
      </c>
      <c r="C94" s="280">
        <v>3.0303016</v>
      </c>
      <c r="D94" s="145">
        <v>118.20140000000001</v>
      </c>
      <c r="E94" s="144">
        <v>119.72110000000001</v>
      </c>
      <c r="F94" s="144">
        <f t="shared" si="3"/>
        <v>1.2856869715587083</v>
      </c>
      <c r="G94" s="144">
        <f t="shared" si="4"/>
        <v>3.5228571636908866E-2</v>
      </c>
      <c r="H94" s="144">
        <f t="shared" si="5"/>
        <v>3.5010872034833418</v>
      </c>
      <c r="I94" s="140"/>
      <c r="J94" s="260"/>
      <c r="K94" s="159"/>
      <c r="L94" s="159"/>
      <c r="M94" s="159"/>
      <c r="N94" s="70"/>
      <c r="O94" s="70"/>
    </row>
    <row r="95" spans="1:15" ht="15.75" customHeight="1">
      <c r="A95" s="142">
        <v>91</v>
      </c>
      <c r="B95" s="143" t="s">
        <v>103</v>
      </c>
      <c r="C95" s="280">
        <v>0.320875994</v>
      </c>
      <c r="D95" s="145">
        <v>101.0067</v>
      </c>
      <c r="E95" s="144">
        <v>101.3103</v>
      </c>
      <c r="F95" s="144">
        <f t="shared" si="3"/>
        <v>0.30057412033064335</v>
      </c>
      <c r="G95" s="144">
        <f t="shared" si="4"/>
        <v>7.452299672465304E-4</v>
      </c>
      <c r="H95" s="144">
        <f t="shared" si="5"/>
        <v>7.4062472043163283E-2</v>
      </c>
      <c r="I95" s="140"/>
      <c r="J95" s="260"/>
      <c r="K95" s="159"/>
      <c r="L95" s="159"/>
      <c r="M95" s="159"/>
      <c r="N95" s="70"/>
      <c r="O95" s="70"/>
    </row>
    <row r="96" spans="1:15" ht="15.75" customHeight="1">
      <c r="A96" s="142">
        <v>911</v>
      </c>
      <c r="B96" s="143" t="s">
        <v>214</v>
      </c>
      <c r="C96" s="280">
        <v>0.23513193199999999</v>
      </c>
      <c r="D96" s="149">
        <v>97.586699999999993</v>
      </c>
      <c r="E96" s="144">
        <v>97.433300000000003</v>
      </c>
      <c r="F96" s="144">
        <f t="shared" si="3"/>
        <v>-0.1571935519901646</v>
      </c>
      <c r="G96" s="144">
        <f t="shared" si="4"/>
        <v>-2.7592324450970607E-4</v>
      </c>
      <c r="H96" s="144">
        <f t="shared" si="5"/>
        <v>-2.7421814044950643E-2</v>
      </c>
      <c r="I96" s="140"/>
      <c r="J96" s="260"/>
      <c r="K96" s="159"/>
      <c r="L96" s="159"/>
      <c r="M96" s="159"/>
      <c r="N96" s="70"/>
      <c r="O96" s="70"/>
    </row>
    <row r="97" spans="1:15" ht="15.75" customHeight="1">
      <c r="A97" s="142">
        <v>913</v>
      </c>
      <c r="B97" s="143" t="s">
        <v>215</v>
      </c>
      <c r="C97" s="280">
        <v>8.5744061999999996E-2</v>
      </c>
      <c r="D97" s="149">
        <v>110.3853</v>
      </c>
      <c r="E97" s="144">
        <v>111.9419</v>
      </c>
      <c r="F97" s="144">
        <f t="shared" si="3"/>
        <v>1.4101515328580838</v>
      </c>
      <c r="G97" s="144">
        <f t="shared" si="4"/>
        <v>1.0210156431908956E-3</v>
      </c>
      <c r="H97" s="144">
        <f t="shared" si="5"/>
        <v>0.10147061424388815</v>
      </c>
      <c r="I97" s="140"/>
      <c r="J97" s="260"/>
      <c r="K97" s="159"/>
      <c r="L97" s="159"/>
      <c r="M97" s="159"/>
      <c r="N97" s="70"/>
      <c r="O97" s="70"/>
    </row>
    <row r="98" spans="1:15" ht="15.75" customHeight="1">
      <c r="A98" s="142">
        <v>93</v>
      </c>
      <c r="B98" s="143" t="s">
        <v>104</v>
      </c>
      <c r="C98" s="280">
        <v>0.234422204</v>
      </c>
      <c r="D98" s="149">
        <v>124.3085</v>
      </c>
      <c r="E98" s="144">
        <v>125.44240000000001</v>
      </c>
      <c r="F98" s="144">
        <f t="shared" si="3"/>
        <v>0.91216610288114008</v>
      </c>
      <c r="G98" s="144">
        <f t="shared" si="4"/>
        <v>2.0334093504964933E-3</v>
      </c>
      <c r="H98" s="144">
        <f t="shared" si="5"/>
        <v>0.20208436293817664</v>
      </c>
      <c r="I98" s="140"/>
      <c r="J98" s="260"/>
      <c r="K98" s="159"/>
      <c r="L98" s="159"/>
      <c r="M98" s="159"/>
      <c r="N98" s="70"/>
      <c r="O98" s="70"/>
    </row>
    <row r="99" spans="1:15" ht="15.75" customHeight="1">
      <c r="A99" s="142">
        <v>931</v>
      </c>
      <c r="B99" s="143" t="s">
        <v>106</v>
      </c>
      <c r="C99" s="280">
        <v>8.3218986999999994E-2</v>
      </c>
      <c r="D99" s="149">
        <v>102.94499999999999</v>
      </c>
      <c r="E99" s="144">
        <v>102.9123</v>
      </c>
      <c r="F99" s="144">
        <f t="shared" si="3"/>
        <v>-3.1764534460143601E-2</v>
      </c>
      <c r="G99" s="144">
        <f t="shared" si="4"/>
        <v>-2.0817160653136235E-5</v>
      </c>
      <c r="H99" s="144">
        <f t="shared" si="5"/>
        <v>-2.068851826487147E-3</v>
      </c>
      <c r="I99" s="140"/>
      <c r="J99" s="260"/>
      <c r="K99" s="159"/>
      <c r="L99" s="159"/>
      <c r="M99" s="159"/>
      <c r="N99" s="70"/>
      <c r="O99" s="70"/>
    </row>
    <row r="100" spans="1:15" ht="15.75" customHeight="1">
      <c r="A100" s="142">
        <v>932</v>
      </c>
      <c r="B100" s="143" t="s">
        <v>105</v>
      </c>
      <c r="C100" s="280">
        <v>1.7544493000000001E-2</v>
      </c>
      <c r="D100" s="149">
        <v>109.959</v>
      </c>
      <c r="E100" s="144">
        <v>110.0964</v>
      </c>
      <c r="F100" s="144">
        <f t="shared" si="3"/>
        <v>0.12495566529342472</v>
      </c>
      <c r="G100" s="144">
        <f t="shared" si="4"/>
        <v>1.8440762367466773E-5</v>
      </c>
      <c r="H100" s="144">
        <f t="shared" si="5"/>
        <v>1.8326805245652636E-3</v>
      </c>
      <c r="I100" s="140"/>
      <c r="J100" s="260"/>
      <c r="K100" s="159"/>
      <c r="L100" s="159"/>
      <c r="M100" s="159"/>
      <c r="N100" s="70"/>
      <c r="O100" s="70"/>
    </row>
    <row r="101" spans="1:15" ht="15.75" customHeight="1">
      <c r="A101" s="142">
        <v>934</v>
      </c>
      <c r="B101" s="143" t="s">
        <v>216</v>
      </c>
      <c r="C101" s="280">
        <v>8.0524990000000005E-2</v>
      </c>
      <c r="D101" s="149">
        <v>141.8092</v>
      </c>
      <c r="E101" s="144">
        <v>143.81479999999999</v>
      </c>
      <c r="F101" s="144">
        <f t="shared" si="3"/>
        <v>1.4142947002028006</v>
      </c>
      <c r="G101" s="144">
        <f t="shared" si="4"/>
        <v>1.2354532515108318E-3</v>
      </c>
      <c r="H101" s="144">
        <f t="shared" si="5"/>
        <v>0.12278186052921661</v>
      </c>
      <c r="I101" s="140"/>
      <c r="J101" s="260"/>
      <c r="K101" s="159"/>
      <c r="L101" s="159"/>
      <c r="M101" s="159"/>
      <c r="N101" s="70"/>
      <c r="O101" s="70"/>
    </row>
    <row r="102" spans="1:15" ht="15.75" customHeight="1">
      <c r="A102" s="142">
        <v>935</v>
      </c>
      <c r="B102" s="143" t="s">
        <v>217</v>
      </c>
      <c r="C102" s="280">
        <v>5.3133734000000002E-2</v>
      </c>
      <c r="D102" s="149">
        <v>135.9837</v>
      </c>
      <c r="E102" s="144">
        <v>137.953</v>
      </c>
      <c r="F102" s="144">
        <f t="shared" si="3"/>
        <v>1.4481882755065456</v>
      </c>
      <c r="G102" s="144">
        <f t="shared" si="4"/>
        <v>8.0044875664540176E-4</v>
      </c>
      <c r="H102" s="144">
        <f t="shared" si="5"/>
        <v>7.9550227804276313E-2</v>
      </c>
      <c r="I102" s="140"/>
      <c r="J102" s="260"/>
      <c r="K102" s="159"/>
      <c r="L102" s="159"/>
      <c r="M102" s="159"/>
      <c r="N102" s="70"/>
      <c r="O102" s="70"/>
    </row>
    <row r="103" spans="1:15" ht="15.75" customHeight="1">
      <c r="A103" s="142">
        <v>94</v>
      </c>
      <c r="B103" s="143" t="s">
        <v>107</v>
      </c>
      <c r="C103" s="280">
        <v>1.63590277</v>
      </c>
      <c r="D103" s="149">
        <v>113.3477</v>
      </c>
      <c r="E103" s="144">
        <v>114.0471</v>
      </c>
      <c r="F103" s="144">
        <f t="shared" si="3"/>
        <v>0.61703942823718716</v>
      </c>
      <c r="G103" s="144">
        <f t="shared" si="4"/>
        <v>8.7525466052997599E-3</v>
      </c>
      <c r="H103" s="144">
        <f t="shared" si="5"/>
        <v>0.86984590898376168</v>
      </c>
      <c r="I103" s="140"/>
      <c r="J103" s="260"/>
      <c r="K103" s="159"/>
      <c r="L103" s="159"/>
      <c r="M103" s="159"/>
      <c r="N103" s="70"/>
      <c r="O103" s="70"/>
    </row>
    <row r="104" spans="1:15" ht="15.75" customHeight="1">
      <c r="A104" s="142">
        <v>941</v>
      </c>
      <c r="B104" s="143" t="s">
        <v>218</v>
      </c>
      <c r="C104" s="280">
        <v>0.21271047800000001</v>
      </c>
      <c r="D104" s="149">
        <v>117.9841</v>
      </c>
      <c r="E104" s="144">
        <v>122.8845</v>
      </c>
      <c r="F104" s="144">
        <f t="shared" si="3"/>
        <v>4.1534410145095846</v>
      </c>
      <c r="G104" s="144">
        <f t="shared" si="4"/>
        <v>7.9739173696179756E-3</v>
      </c>
      <c r="H104" s="144">
        <f t="shared" si="5"/>
        <v>0.79246414961525402</v>
      </c>
      <c r="I104" s="140"/>
      <c r="J104" s="260"/>
      <c r="K104" s="159"/>
      <c r="L104" s="159"/>
      <c r="M104" s="159"/>
      <c r="N104" s="70"/>
      <c r="O104" s="70"/>
    </row>
    <row r="105" spans="1:15" ht="15.75" customHeight="1">
      <c r="A105" s="142">
        <v>942</v>
      </c>
      <c r="B105" s="143" t="s">
        <v>219</v>
      </c>
      <c r="C105" s="280">
        <v>0.631497635</v>
      </c>
      <c r="D105" s="149">
        <v>110.96810000000001</v>
      </c>
      <c r="E105" s="144">
        <v>111.12949999999999</v>
      </c>
      <c r="F105" s="144">
        <f t="shared" si="3"/>
        <v>0.14544720509765963</v>
      </c>
      <c r="G105" s="144">
        <f t="shared" si="4"/>
        <v>7.7969827794090738E-4</v>
      </c>
      <c r="H105" s="144">
        <f t="shared" si="5"/>
        <v>7.7488002965664229E-2</v>
      </c>
      <c r="I105" s="140"/>
      <c r="J105" s="260"/>
      <c r="K105" s="159"/>
      <c r="L105" s="159"/>
      <c r="M105" s="159"/>
      <c r="N105" s="70"/>
      <c r="O105" s="70"/>
    </row>
    <row r="106" spans="1:15" ht="15.75" customHeight="1">
      <c r="A106" s="142">
        <v>943</v>
      </c>
      <c r="B106" s="143" t="s">
        <v>108</v>
      </c>
      <c r="C106" s="280">
        <v>0.791694652</v>
      </c>
      <c r="D106" s="149">
        <v>114</v>
      </c>
      <c r="E106" s="144">
        <v>114</v>
      </c>
      <c r="F106" s="144">
        <f t="shared" si="3"/>
        <v>0</v>
      </c>
      <c r="G106" s="144">
        <f t="shared" si="4"/>
        <v>0</v>
      </c>
      <c r="H106" s="144">
        <f t="shared" si="5"/>
        <v>0</v>
      </c>
      <c r="I106" s="140"/>
      <c r="J106" s="260"/>
      <c r="K106" s="159"/>
      <c r="L106" s="159"/>
      <c r="M106" s="159"/>
      <c r="N106" s="70"/>
      <c r="O106" s="70"/>
    </row>
    <row r="107" spans="1:15" ht="15.75" customHeight="1">
      <c r="A107" s="142">
        <v>95</v>
      </c>
      <c r="B107" s="143" t="s">
        <v>109</v>
      </c>
      <c r="C107" s="280">
        <v>0.59547164399999997</v>
      </c>
      <c r="D107" s="149">
        <v>125.2972</v>
      </c>
      <c r="E107" s="144">
        <v>125.7692</v>
      </c>
      <c r="F107" s="144">
        <f t="shared" si="3"/>
        <v>0.3767043477427956</v>
      </c>
      <c r="G107" s="144">
        <f t="shared" si="4"/>
        <v>2.1500789153164465E-3</v>
      </c>
      <c r="H107" s="144">
        <f t="shared" si="5"/>
        <v>0.21367922192471459</v>
      </c>
      <c r="I107" s="140"/>
      <c r="J107" s="260"/>
      <c r="K107" s="159"/>
      <c r="L107" s="159"/>
      <c r="M107" s="159"/>
      <c r="N107" s="70"/>
      <c r="O107" s="70"/>
    </row>
    <row r="108" spans="1:15" ht="15.75" customHeight="1">
      <c r="A108" s="142">
        <v>951</v>
      </c>
      <c r="B108" s="143" t="s">
        <v>110</v>
      </c>
      <c r="C108" s="280">
        <v>0.37345707</v>
      </c>
      <c r="D108" s="149">
        <v>122.765</v>
      </c>
      <c r="E108" s="144">
        <v>123.1176</v>
      </c>
      <c r="F108" s="144">
        <f t="shared" si="3"/>
        <v>0.28721541155867225</v>
      </c>
      <c r="G108" s="144">
        <f t="shared" si="4"/>
        <v>1.0073358951209303E-3</v>
      </c>
      <c r="H108" s="144">
        <f t="shared" si="5"/>
        <v>0.1001110930175307</v>
      </c>
      <c r="I108" s="140"/>
      <c r="J108" s="260"/>
      <c r="K108" s="159"/>
      <c r="L108" s="159"/>
      <c r="M108" s="159"/>
      <c r="N108" s="70"/>
      <c r="O108" s="70"/>
    </row>
    <row r="109" spans="1:15" ht="15.75" customHeight="1">
      <c r="A109" s="142">
        <v>954</v>
      </c>
      <c r="B109" s="143" t="s">
        <v>111</v>
      </c>
      <c r="C109" s="280">
        <v>0.22201457399999999</v>
      </c>
      <c r="D109" s="149">
        <v>129.55670000000001</v>
      </c>
      <c r="E109" s="144">
        <v>130.2295</v>
      </c>
      <c r="F109" s="144">
        <f t="shared" si="3"/>
        <v>0.51930930627284155</v>
      </c>
      <c r="G109" s="144">
        <f t="shared" si="4"/>
        <v>1.1426646271262596E-3</v>
      </c>
      <c r="H109" s="144">
        <f t="shared" si="5"/>
        <v>0.11356033804428871</v>
      </c>
      <c r="I109" s="140"/>
      <c r="J109" s="260"/>
      <c r="K109" s="159"/>
      <c r="L109" s="159"/>
      <c r="M109" s="159"/>
      <c r="N109" s="70"/>
      <c r="O109" s="70"/>
    </row>
    <row r="110" spans="1:15" ht="15.75" customHeight="1">
      <c r="A110" s="142">
        <v>96</v>
      </c>
      <c r="B110" s="143" t="s">
        <v>112</v>
      </c>
      <c r="C110" s="280">
        <v>0.24362898999999999</v>
      </c>
      <c r="D110" s="149">
        <v>150.22</v>
      </c>
      <c r="E110" s="144">
        <v>161.78059999999999</v>
      </c>
      <c r="F110" s="144">
        <f t="shared" si="3"/>
        <v>7.6957795233657311</v>
      </c>
      <c r="G110" s="144">
        <f t="shared" si="4"/>
        <v>2.1545702343859472E-2</v>
      </c>
      <c r="H110" s="144">
        <f t="shared" si="5"/>
        <v>2.1412557836184347</v>
      </c>
      <c r="I110" s="140"/>
      <c r="J110" s="260"/>
      <c r="K110" s="159"/>
      <c r="L110" s="159"/>
      <c r="M110" s="159"/>
      <c r="N110" s="70"/>
      <c r="O110" s="70"/>
    </row>
    <row r="111" spans="1:15" ht="15.75" customHeight="1">
      <c r="A111" s="142">
        <v>961</v>
      </c>
      <c r="B111" s="143" t="s">
        <v>113</v>
      </c>
      <c r="C111" s="280">
        <v>0.24362898999999999</v>
      </c>
      <c r="D111" s="149">
        <v>150.22</v>
      </c>
      <c r="E111" s="144">
        <v>161.78059999999999</v>
      </c>
      <c r="F111" s="144">
        <f t="shared" si="3"/>
        <v>7.6957795233657311</v>
      </c>
      <c r="G111" s="144">
        <f t="shared" si="4"/>
        <v>2.1545702343859472E-2</v>
      </c>
      <c r="H111" s="144">
        <f t="shared" si="5"/>
        <v>2.1412557836184347</v>
      </c>
      <c r="I111" s="140"/>
      <c r="J111" s="260"/>
      <c r="K111" s="159"/>
      <c r="L111" s="159"/>
      <c r="M111" s="159"/>
      <c r="N111" s="70"/>
      <c r="O111" s="70"/>
    </row>
    <row r="112" spans="1:15" ht="15.75" customHeight="1">
      <c r="A112" s="142">
        <v>10</v>
      </c>
      <c r="B112" s="143" t="s">
        <v>20</v>
      </c>
      <c r="C112" s="280">
        <v>3.06259931</v>
      </c>
      <c r="D112" s="149">
        <v>123.1768</v>
      </c>
      <c r="E112" s="144">
        <v>123.8616</v>
      </c>
      <c r="F112" s="144">
        <f t="shared" si="3"/>
        <v>0.55594884751024587</v>
      </c>
      <c r="G112" s="144">
        <f t="shared" si="4"/>
        <v>1.6043726438457081E-2</v>
      </c>
      <c r="H112" s="144">
        <f t="shared" si="5"/>
        <v>1.5944582116130936</v>
      </c>
      <c r="I112" s="140"/>
      <c r="J112" s="260"/>
      <c r="K112" s="159"/>
      <c r="L112" s="159"/>
      <c r="M112" s="159"/>
      <c r="N112" s="70"/>
      <c r="O112" s="70"/>
    </row>
    <row r="113" spans="1:15" ht="15.75" customHeight="1">
      <c r="A113" s="142">
        <v>101</v>
      </c>
      <c r="B113" s="143" t="s">
        <v>114</v>
      </c>
      <c r="C113" s="280">
        <v>1.06848023</v>
      </c>
      <c r="D113" s="149">
        <v>124.5376</v>
      </c>
      <c r="E113" s="144">
        <v>124.5376</v>
      </c>
      <c r="F113" s="144">
        <f t="shared" si="3"/>
        <v>0</v>
      </c>
      <c r="G113" s="144">
        <f t="shared" si="4"/>
        <v>0</v>
      </c>
      <c r="H113" s="144">
        <f t="shared" si="5"/>
        <v>0</v>
      </c>
      <c r="I113" s="140"/>
      <c r="J113" s="260"/>
      <c r="K113" s="159"/>
      <c r="L113" s="159"/>
      <c r="M113" s="159"/>
      <c r="N113" s="70"/>
      <c r="O113" s="70"/>
    </row>
    <row r="114" spans="1:15" ht="15.75" customHeight="1">
      <c r="A114" s="142">
        <v>1011</v>
      </c>
      <c r="B114" s="143" t="s">
        <v>220</v>
      </c>
      <c r="C114" s="280">
        <v>1.06848023</v>
      </c>
      <c r="D114" s="149">
        <v>124.5376</v>
      </c>
      <c r="E114" s="144">
        <v>124.5376</v>
      </c>
      <c r="F114" s="144">
        <f t="shared" si="3"/>
        <v>0</v>
      </c>
      <c r="G114" s="144">
        <f t="shared" si="4"/>
        <v>0</v>
      </c>
      <c r="H114" s="144">
        <f t="shared" si="5"/>
        <v>0</v>
      </c>
      <c r="I114" s="140"/>
      <c r="J114" s="260"/>
      <c r="K114" s="159"/>
      <c r="L114" s="159"/>
      <c r="M114" s="159"/>
      <c r="N114" s="70"/>
      <c r="O114" s="70"/>
    </row>
    <row r="115" spans="1:15" ht="15.75" customHeight="1">
      <c r="A115" s="128">
        <v>102</v>
      </c>
      <c r="B115" s="143" t="s">
        <v>115</v>
      </c>
      <c r="C115" s="280">
        <v>0.42618938899999997</v>
      </c>
      <c r="D115" s="149">
        <v>123.6858</v>
      </c>
      <c r="E115" s="144">
        <v>123.6858</v>
      </c>
      <c r="F115" s="144">
        <f t="shared" si="3"/>
        <v>0</v>
      </c>
      <c r="G115" s="144">
        <f t="shared" si="4"/>
        <v>0</v>
      </c>
      <c r="H115" s="144">
        <f t="shared" si="5"/>
        <v>0</v>
      </c>
      <c r="I115" s="140"/>
      <c r="J115" s="260"/>
      <c r="K115" s="159"/>
      <c r="L115" s="159"/>
      <c r="M115" s="159"/>
      <c r="N115" s="70"/>
      <c r="O115" s="70"/>
    </row>
    <row r="116" spans="1:15" ht="15.75" customHeight="1">
      <c r="A116" s="142">
        <v>1021</v>
      </c>
      <c r="B116" s="143" t="s">
        <v>116</v>
      </c>
      <c r="C116" s="280">
        <v>0.42618938899999997</v>
      </c>
      <c r="D116" s="149">
        <v>123.6858</v>
      </c>
      <c r="E116" s="144">
        <v>123.6858</v>
      </c>
      <c r="F116" s="144">
        <f t="shared" si="3"/>
        <v>0</v>
      </c>
      <c r="G116" s="144">
        <f t="shared" si="4"/>
        <v>0</v>
      </c>
      <c r="H116" s="144">
        <f t="shared" si="5"/>
        <v>0</v>
      </c>
      <c r="I116" s="140"/>
      <c r="J116" s="260"/>
      <c r="K116" s="159"/>
      <c r="L116" s="159"/>
      <c r="M116" s="159"/>
      <c r="N116" s="70"/>
      <c r="O116" s="70"/>
    </row>
    <row r="117" spans="1:15" s="152" customFormat="1" ht="15.75" customHeight="1">
      <c r="A117" s="142">
        <v>104</v>
      </c>
      <c r="B117" s="150" t="s">
        <v>117</v>
      </c>
      <c r="C117" s="284">
        <v>1.34465119</v>
      </c>
      <c r="D117" s="149">
        <v>121.7863</v>
      </c>
      <c r="E117" s="151">
        <v>123.0042</v>
      </c>
      <c r="F117" s="151">
        <f t="shared" si="3"/>
        <v>1.0000303810855593</v>
      </c>
      <c r="G117" s="151">
        <f t="shared" si="4"/>
        <v>1.252773583865761E-2</v>
      </c>
      <c r="H117" s="151">
        <f t="shared" si="5"/>
        <v>1.2450319043702327</v>
      </c>
      <c r="I117" s="140"/>
      <c r="J117" s="260"/>
      <c r="K117" s="159"/>
      <c r="L117" s="159"/>
      <c r="M117" s="159"/>
      <c r="N117" s="252"/>
      <c r="O117" s="153"/>
    </row>
    <row r="118" spans="1:15" ht="15.75" customHeight="1">
      <c r="A118" s="142">
        <v>1041</v>
      </c>
      <c r="B118" s="143" t="s">
        <v>221</v>
      </c>
      <c r="C118" s="280">
        <v>1.34465119</v>
      </c>
      <c r="D118" s="149">
        <v>121.7863</v>
      </c>
      <c r="E118" s="144">
        <v>123.0042</v>
      </c>
      <c r="F118" s="144">
        <f t="shared" si="3"/>
        <v>1.0000303810855593</v>
      </c>
      <c r="G118" s="144">
        <f t="shared" si="4"/>
        <v>1.252773583865761E-2</v>
      </c>
      <c r="H118" s="144">
        <f t="shared" si="5"/>
        <v>1.2450319043702327</v>
      </c>
      <c r="I118" s="140"/>
      <c r="J118" s="260"/>
      <c r="K118" s="159"/>
      <c r="L118" s="159"/>
      <c r="M118" s="159"/>
      <c r="N118" s="70"/>
      <c r="O118" s="70"/>
    </row>
    <row r="119" spans="1:15" ht="15.75" customHeight="1">
      <c r="A119" s="142">
        <v>105</v>
      </c>
      <c r="B119" s="143" t="s">
        <v>118</v>
      </c>
      <c r="C119" s="280">
        <v>0.22327849699999999</v>
      </c>
      <c r="D119" s="145">
        <v>124.0669</v>
      </c>
      <c r="E119" s="144">
        <v>126.1254</v>
      </c>
      <c r="F119" s="144">
        <f t="shared" si="3"/>
        <v>1.6591854878295509</v>
      </c>
      <c r="G119" s="144">
        <f t="shared" si="4"/>
        <v>3.5160017906281952E-3</v>
      </c>
      <c r="H119" s="144">
        <f t="shared" si="5"/>
        <v>0.3494274194102131</v>
      </c>
      <c r="I119" s="140"/>
      <c r="J119" s="260"/>
      <c r="K119" s="159"/>
      <c r="L119" s="159"/>
      <c r="M119" s="159"/>
      <c r="N119" s="70"/>
      <c r="O119" s="70"/>
    </row>
    <row r="120" spans="1:15" ht="15.75" customHeight="1">
      <c r="A120" s="142">
        <v>1051</v>
      </c>
      <c r="B120" s="143" t="s">
        <v>119</v>
      </c>
      <c r="C120" s="280">
        <v>0.22327849699999999</v>
      </c>
      <c r="D120" s="145">
        <v>124.0669</v>
      </c>
      <c r="E120" s="144">
        <v>126.1254</v>
      </c>
      <c r="F120" s="144">
        <f t="shared" si="3"/>
        <v>1.6591854878295509</v>
      </c>
      <c r="G120" s="144">
        <f t="shared" si="4"/>
        <v>3.5160017906281952E-3</v>
      </c>
      <c r="H120" s="144">
        <f t="shared" si="5"/>
        <v>0.3494274194102131</v>
      </c>
      <c r="I120" s="140"/>
      <c r="J120" s="260"/>
      <c r="K120" s="159"/>
      <c r="L120" s="159"/>
      <c r="M120" s="159"/>
      <c r="N120" s="70"/>
      <c r="O120" s="70"/>
    </row>
    <row r="121" spans="1:15" ht="15.75" customHeight="1">
      <c r="A121" s="146">
        <v>11</v>
      </c>
      <c r="B121" s="143" t="s">
        <v>120</v>
      </c>
      <c r="C121" s="280">
        <v>8.6166370699999995</v>
      </c>
      <c r="D121" s="145">
        <v>140.69470000000001</v>
      </c>
      <c r="E121" s="144">
        <v>142.92259999999999</v>
      </c>
      <c r="F121" s="144">
        <f t="shared" si="3"/>
        <v>1.5834995916690353</v>
      </c>
      <c r="G121" s="144">
        <f t="shared" si="4"/>
        <v>0.14685367213057329</v>
      </c>
      <c r="H121" s="144">
        <f t="shared" si="5"/>
        <v>14.594617050616316</v>
      </c>
      <c r="I121" s="140"/>
      <c r="J121" s="260"/>
      <c r="K121" s="159"/>
      <c r="L121" s="159"/>
      <c r="M121" s="159"/>
      <c r="N121" s="70"/>
      <c r="O121" s="70"/>
    </row>
    <row r="122" spans="1:15" ht="15.75" customHeight="1">
      <c r="A122" s="64">
        <v>111</v>
      </c>
      <c r="B122" s="154" t="s">
        <v>121</v>
      </c>
      <c r="C122" s="280">
        <v>8.5719378099999997</v>
      </c>
      <c r="D122" s="145">
        <v>140.75919999999999</v>
      </c>
      <c r="E122" s="144">
        <v>142.98220000000001</v>
      </c>
      <c r="F122" s="144">
        <f t="shared" si="3"/>
        <v>1.5792928632728964</v>
      </c>
      <c r="G122" s="144">
        <f t="shared" si="4"/>
        <v>0.14577054934617059</v>
      </c>
      <c r="H122" s="144">
        <f t="shared" si="5"/>
        <v>14.486974102177822</v>
      </c>
      <c r="I122" s="140"/>
      <c r="J122" s="260"/>
      <c r="K122" s="159"/>
      <c r="L122" s="159"/>
      <c r="M122" s="159"/>
      <c r="N122" s="70"/>
      <c r="O122" s="70"/>
    </row>
    <row r="123" spans="1:15" ht="15.75" customHeight="1">
      <c r="A123" s="64">
        <v>1111</v>
      </c>
      <c r="B123" s="131" t="s">
        <v>222</v>
      </c>
      <c r="C123" s="280">
        <v>8.5719378099999997</v>
      </c>
      <c r="D123" s="145">
        <v>140.75919999999999</v>
      </c>
      <c r="E123" s="144">
        <v>142.98220000000001</v>
      </c>
      <c r="F123" s="144">
        <f t="shared" si="3"/>
        <v>1.5792928632728964</v>
      </c>
      <c r="G123" s="144">
        <f t="shared" si="4"/>
        <v>0.14577054934617059</v>
      </c>
      <c r="H123" s="144">
        <f t="shared" si="5"/>
        <v>14.486974102177822</v>
      </c>
      <c r="I123" s="140"/>
      <c r="J123" s="260"/>
      <c r="K123" s="159"/>
      <c r="L123" s="159"/>
      <c r="M123" s="159"/>
      <c r="N123" s="70"/>
      <c r="O123" s="70"/>
    </row>
    <row r="124" spans="1:15" ht="15.75" customHeight="1">
      <c r="A124" s="64">
        <v>112</v>
      </c>
      <c r="B124" s="154" t="s">
        <v>122</v>
      </c>
      <c r="C124" s="280">
        <v>4.4699265000000002E-2</v>
      </c>
      <c r="D124" s="145">
        <v>128.34020000000001</v>
      </c>
      <c r="E124" s="144">
        <v>131.49789999999999</v>
      </c>
      <c r="F124" s="144">
        <f t="shared" si="3"/>
        <v>2.4604138064300729</v>
      </c>
      <c r="G124" s="144">
        <f t="shared" si="4"/>
        <v>1.0797483904048206E-3</v>
      </c>
      <c r="H124" s="144">
        <f t="shared" si="5"/>
        <v>0.10730759428995559</v>
      </c>
      <c r="I124" s="140"/>
      <c r="J124" s="260"/>
      <c r="K124" s="159"/>
      <c r="L124" s="159"/>
      <c r="M124" s="159"/>
      <c r="N124" s="70"/>
      <c r="O124" s="70"/>
    </row>
    <row r="125" spans="1:15" ht="15.75" customHeight="1">
      <c r="A125" s="64">
        <v>1121</v>
      </c>
      <c r="B125" s="154" t="s">
        <v>123</v>
      </c>
      <c r="C125" s="280">
        <v>4.4699265000000002E-2</v>
      </c>
      <c r="D125" s="145">
        <v>128.34020000000001</v>
      </c>
      <c r="E125" s="144">
        <v>131.49789999999999</v>
      </c>
      <c r="F125" s="144">
        <f t="shared" si="3"/>
        <v>2.4604138064300729</v>
      </c>
      <c r="G125" s="144">
        <f t="shared" si="4"/>
        <v>1.0797483904048206E-3</v>
      </c>
      <c r="H125" s="144">
        <f t="shared" si="5"/>
        <v>0.10730759428995559</v>
      </c>
      <c r="I125" s="140"/>
      <c r="J125" s="260"/>
      <c r="K125" s="159"/>
      <c r="L125" s="159"/>
      <c r="M125" s="159"/>
      <c r="N125" s="70"/>
      <c r="O125" s="70"/>
    </row>
    <row r="126" spans="1:15" ht="15.75" customHeight="1">
      <c r="A126" s="262">
        <v>12</v>
      </c>
      <c r="B126" s="263" t="s">
        <v>124</v>
      </c>
      <c r="C126" s="280">
        <v>10.309428199999999</v>
      </c>
      <c r="D126" s="145">
        <v>137.93690000000001</v>
      </c>
      <c r="E126" s="144">
        <v>139.512</v>
      </c>
      <c r="F126" s="144">
        <f t="shared" si="3"/>
        <v>1.1418989407475433</v>
      </c>
      <c r="G126" s="144">
        <f t="shared" si="4"/>
        <v>0.12422071539465367</v>
      </c>
      <c r="H126" s="144">
        <f t="shared" si="5"/>
        <v>12.345307710975055</v>
      </c>
      <c r="J126" s="261"/>
      <c r="L126" s="159"/>
      <c r="M126" s="159"/>
      <c r="N126" s="70"/>
      <c r="O126" s="70"/>
    </row>
    <row r="127" spans="1:15" ht="15.75" customHeight="1">
      <c r="A127" s="267">
        <v>121</v>
      </c>
      <c r="B127" s="263" t="s">
        <v>125</v>
      </c>
      <c r="C127" s="280">
        <v>8.6317942700000003</v>
      </c>
      <c r="D127" s="145">
        <v>140.7176</v>
      </c>
      <c r="E127" s="144">
        <v>142.5086</v>
      </c>
      <c r="F127" s="144">
        <f t="shared" si="3"/>
        <v>1.2727619004303525</v>
      </c>
      <c r="G127" s="144">
        <f t="shared" si="4"/>
        <v>0.1182627525402761</v>
      </c>
      <c r="H127" s="144">
        <f t="shared" si="5"/>
        <v>11.753193227217897</v>
      </c>
      <c r="J127" s="267"/>
      <c r="L127" s="159"/>
      <c r="M127" s="159"/>
      <c r="N127" s="70"/>
      <c r="O127" s="70"/>
    </row>
    <row r="128" spans="1:15" ht="15.75" customHeight="1">
      <c r="A128" s="262">
        <v>1211</v>
      </c>
      <c r="B128" s="263" t="s">
        <v>223</v>
      </c>
      <c r="C128" s="280">
        <v>3.52017968</v>
      </c>
      <c r="D128" s="145">
        <v>155.02969999999999</v>
      </c>
      <c r="E128" s="144">
        <v>158.59370000000001</v>
      </c>
      <c r="F128" s="144">
        <f t="shared" si="3"/>
        <v>2.2989143370593101</v>
      </c>
      <c r="G128" s="144">
        <f t="shared" si="4"/>
        <v>9.5974054707853876E-2</v>
      </c>
      <c r="H128" s="144">
        <f t="shared" si="5"/>
        <v>9.5380970385991208</v>
      </c>
      <c r="J128" s="261"/>
      <c r="L128" s="159"/>
      <c r="M128" s="159"/>
      <c r="N128" s="70"/>
      <c r="O128" s="70"/>
    </row>
    <row r="129" spans="1:15" ht="15.75" customHeight="1">
      <c r="A129" s="262">
        <v>1213</v>
      </c>
      <c r="B129" s="263" t="s">
        <v>224</v>
      </c>
      <c r="C129" s="280">
        <v>5.1116145900000003</v>
      </c>
      <c r="D129" s="145">
        <v>130.8614</v>
      </c>
      <c r="E129" s="144">
        <v>131.43129999999999</v>
      </c>
      <c r="F129" s="144">
        <f t="shared" si="3"/>
        <v>0.43549893245831139</v>
      </c>
      <c r="G129" s="144">
        <f t="shared" si="4"/>
        <v>2.2284765799490125E-2</v>
      </c>
      <c r="H129" s="144">
        <f t="shared" si="5"/>
        <v>2.2147054151771468</v>
      </c>
      <c r="J129" s="261"/>
      <c r="L129" s="159"/>
      <c r="M129" s="159"/>
      <c r="N129" s="70"/>
      <c r="O129" s="70"/>
    </row>
    <row r="130" spans="1:15" ht="15.75" customHeight="1">
      <c r="A130" s="262">
        <v>123</v>
      </c>
      <c r="B130" s="263" t="s">
        <v>225</v>
      </c>
      <c r="C130" s="280">
        <v>0.165576482</v>
      </c>
      <c r="D130" s="145">
        <v>108.812</v>
      </c>
      <c r="E130" s="144">
        <v>109.1035</v>
      </c>
      <c r="F130" s="144">
        <f t="shared" si="3"/>
        <v>0.26789324706832929</v>
      </c>
      <c r="G130" s="144">
        <f t="shared" si="4"/>
        <v>3.6922281255641641E-4</v>
      </c>
      <c r="H130" s="144">
        <f t="shared" si="5"/>
        <v>3.6694115151721336E-2</v>
      </c>
      <c r="J130" s="261"/>
      <c r="L130" s="159"/>
      <c r="M130" s="159"/>
      <c r="N130" s="70"/>
      <c r="O130" s="70"/>
    </row>
    <row r="131" spans="1:15" ht="15.75" customHeight="1">
      <c r="A131" s="262">
        <v>1231</v>
      </c>
      <c r="B131" s="263" t="s">
        <v>226</v>
      </c>
      <c r="C131" s="280">
        <v>4.7365668999999999E-2</v>
      </c>
      <c r="D131" s="145">
        <v>126.8556</v>
      </c>
      <c r="E131" s="144">
        <v>128.66890000000001</v>
      </c>
      <c r="F131" s="144">
        <f t="shared" si="3"/>
        <v>1.42942053799755</v>
      </c>
      <c r="G131" s="144">
        <f t="shared" si="4"/>
        <v>6.5702917334267057E-4</v>
      </c>
      <c r="H131" s="144">
        <f t="shared" si="5"/>
        <v>6.5296897495986689E-2</v>
      </c>
      <c r="J131" s="261"/>
      <c r="L131" s="159"/>
      <c r="M131" s="159"/>
      <c r="N131" s="70"/>
      <c r="O131" s="70"/>
    </row>
    <row r="132" spans="1:15" ht="15.75" customHeight="1">
      <c r="A132" s="262">
        <v>1232</v>
      </c>
      <c r="B132" s="263" t="s">
        <v>126</v>
      </c>
      <c r="C132" s="280">
        <v>0.118210813</v>
      </c>
      <c r="D132" s="145">
        <v>101.5821</v>
      </c>
      <c r="E132" s="144">
        <v>101.26390000000001</v>
      </c>
      <c r="F132" s="144">
        <f t="shared" si="3"/>
        <v>-0.31324416408008426</v>
      </c>
      <c r="G132" s="144">
        <f t="shared" si="4"/>
        <v>-2.8774560285643464E-4</v>
      </c>
      <c r="H132" s="144">
        <f t="shared" si="5"/>
        <v>-2.859674409744702E-2</v>
      </c>
      <c r="J132" s="261"/>
      <c r="L132" s="159"/>
      <c r="M132" s="159"/>
      <c r="N132" s="70"/>
      <c r="O132" s="70"/>
    </row>
    <row r="133" spans="1:15" ht="15.75" customHeight="1">
      <c r="A133" s="262">
        <v>124</v>
      </c>
      <c r="B133" s="263" t="s">
        <v>227</v>
      </c>
      <c r="C133" s="280">
        <v>0.16129607700000001</v>
      </c>
      <c r="D133" s="145">
        <v>112.4772</v>
      </c>
      <c r="E133" s="144">
        <v>113.7881</v>
      </c>
      <c r="F133" s="144">
        <f t="shared" si="3"/>
        <v>1.1654806485225544</v>
      </c>
      <c r="G133" s="144">
        <f t="shared" si="4"/>
        <v>1.617501471361367E-3</v>
      </c>
      <c r="H133" s="144">
        <f t="shared" si="5"/>
        <v>0.16075059078085463</v>
      </c>
      <c r="J133" s="261"/>
      <c r="L133" s="159"/>
      <c r="M133" s="159"/>
      <c r="N133" s="70"/>
      <c r="O133" s="70"/>
    </row>
    <row r="134" spans="1:15" ht="15.75" customHeight="1">
      <c r="A134" s="262">
        <v>1241</v>
      </c>
      <c r="B134" s="263" t="s">
        <v>227</v>
      </c>
      <c r="C134" s="280">
        <v>0.16129607700000001</v>
      </c>
      <c r="D134" s="145">
        <v>112.4772</v>
      </c>
      <c r="E134" s="144">
        <v>113.7881</v>
      </c>
      <c r="F134" s="144">
        <f t="shared" si="3"/>
        <v>1.1654806485225544</v>
      </c>
      <c r="G134" s="144">
        <f t="shared" si="4"/>
        <v>1.617501471361367E-3</v>
      </c>
      <c r="H134" s="144">
        <f t="shared" si="5"/>
        <v>0.16075059078085463</v>
      </c>
      <c r="J134" s="261"/>
      <c r="L134" s="159"/>
      <c r="M134" s="159"/>
      <c r="N134" s="70"/>
      <c r="O134" s="70"/>
    </row>
    <row r="135" spans="1:15" ht="15.75" customHeight="1">
      <c r="A135" s="262">
        <v>125</v>
      </c>
      <c r="B135" s="263" t="s">
        <v>127</v>
      </c>
      <c r="C135" s="280">
        <v>0.97482866300000004</v>
      </c>
      <c r="D135" s="145">
        <v>124.4803</v>
      </c>
      <c r="E135" s="144">
        <v>124.2822</v>
      </c>
      <c r="F135" s="144">
        <f t="shared" si="3"/>
        <v>-0.15914164731286595</v>
      </c>
      <c r="G135" s="144">
        <f t="shared" si="4"/>
        <v>-1.4772842990491018E-3</v>
      </c>
      <c r="H135" s="144">
        <f t="shared" si="5"/>
        <v>-0.14681552259952754</v>
      </c>
      <c r="J135" s="261"/>
      <c r="L135" s="159"/>
      <c r="M135" s="159"/>
      <c r="N135" s="70"/>
      <c r="O135" s="70"/>
    </row>
    <row r="136" spans="1:15" ht="15.75" customHeight="1">
      <c r="A136" s="262">
        <v>1253</v>
      </c>
      <c r="B136" s="263" t="s">
        <v>228</v>
      </c>
      <c r="C136" s="280">
        <v>0.35284890200000002</v>
      </c>
      <c r="D136" s="145">
        <v>163.2294</v>
      </c>
      <c r="E136" s="144">
        <v>163.2294</v>
      </c>
      <c r="F136" s="144">
        <f t="shared" ref="F136:F140" si="6">(E136/D136-1)*100</f>
        <v>0</v>
      </c>
      <c r="G136" s="144">
        <f t="shared" si="4"/>
        <v>0</v>
      </c>
      <c r="H136" s="144">
        <f t="shared" si="5"/>
        <v>0</v>
      </c>
      <c r="J136" s="261"/>
      <c r="L136" s="159"/>
      <c r="M136" s="159"/>
      <c r="N136" s="70"/>
      <c r="O136" s="70"/>
    </row>
    <row r="137" spans="1:15" ht="15.75" customHeight="1">
      <c r="A137" s="262">
        <v>1254</v>
      </c>
      <c r="B137" s="263" t="s">
        <v>128</v>
      </c>
      <c r="C137" s="280">
        <v>0.56943624000000004</v>
      </c>
      <c r="D137" s="145">
        <v>102.7285</v>
      </c>
      <c r="E137" s="144">
        <v>102.38939999999999</v>
      </c>
      <c r="F137" s="144">
        <f t="shared" si="6"/>
        <v>-0.33009340153901112</v>
      </c>
      <c r="G137" s="144">
        <f t="shared" ref="G137:G140" si="7">(E137-D137)/$D$7*C137</f>
        <v>-1.4771486741635006E-3</v>
      </c>
      <c r="H137" s="144">
        <f t="shared" ref="H137:H140" si="8">(G137/$G$7)*100</f>
        <v>-0.14680204392215324</v>
      </c>
      <c r="J137" s="261"/>
      <c r="L137" s="159"/>
      <c r="M137" s="159"/>
      <c r="N137" s="70"/>
      <c r="O137" s="70"/>
    </row>
    <row r="138" spans="1:15" ht="15.75" customHeight="1">
      <c r="A138" s="262">
        <v>1255</v>
      </c>
      <c r="B138" s="263" t="s">
        <v>229</v>
      </c>
      <c r="C138" s="280">
        <v>5.2543522000000002E-2</v>
      </c>
      <c r="D138" s="145">
        <v>100</v>
      </c>
      <c r="E138" s="144">
        <v>100</v>
      </c>
      <c r="F138" s="144">
        <f t="shared" si="6"/>
        <v>0</v>
      </c>
      <c r="G138" s="144">
        <f t="shared" si="7"/>
        <v>0</v>
      </c>
      <c r="H138" s="144">
        <f t="shared" si="8"/>
        <v>0</v>
      </c>
      <c r="J138" s="261"/>
      <c r="L138" s="159"/>
      <c r="M138" s="159"/>
      <c r="N138" s="70"/>
      <c r="O138" s="70"/>
    </row>
    <row r="139" spans="1:15" ht="15.75" customHeight="1">
      <c r="A139" s="262">
        <v>127</v>
      </c>
      <c r="B139" s="263" t="s">
        <v>230</v>
      </c>
      <c r="C139" s="280">
        <v>0.37593274199999999</v>
      </c>
      <c r="D139" s="145">
        <v>132.73519999999999</v>
      </c>
      <c r="E139" s="144">
        <v>134.63059999999999</v>
      </c>
      <c r="F139" s="144">
        <f t="shared" si="6"/>
        <v>1.4279558097625822</v>
      </c>
      <c r="G139" s="144">
        <f t="shared" si="7"/>
        <v>5.4508263275255741E-3</v>
      </c>
      <c r="H139" s="144">
        <f t="shared" si="8"/>
        <v>0.54171422277353498</v>
      </c>
      <c r="J139" s="261"/>
      <c r="L139" s="159"/>
      <c r="M139" s="159"/>
      <c r="N139" s="70"/>
      <c r="O139" s="70"/>
    </row>
    <row r="140" spans="1:15" ht="15.75" customHeight="1">
      <c r="A140" s="264">
        <v>1271</v>
      </c>
      <c r="B140" s="265" t="s">
        <v>129</v>
      </c>
      <c r="C140" s="285">
        <v>0.37593274199999999</v>
      </c>
      <c r="D140" s="266">
        <v>132.73519999999999</v>
      </c>
      <c r="E140" s="155">
        <v>134.63059999999999</v>
      </c>
      <c r="F140" s="155">
        <f t="shared" si="6"/>
        <v>1.4279558097625822</v>
      </c>
      <c r="G140" s="155">
        <f t="shared" si="7"/>
        <v>5.4508263275255741E-3</v>
      </c>
      <c r="H140" s="155">
        <f t="shared" si="8"/>
        <v>0.54171422277353498</v>
      </c>
      <c r="J140" s="261"/>
      <c r="L140" s="159"/>
      <c r="M140" s="159"/>
      <c r="N140" s="70"/>
      <c r="O140" s="70"/>
    </row>
    <row r="141" spans="1:15" ht="15.75" customHeight="1">
      <c r="A141" s="220" t="s">
        <v>308</v>
      </c>
      <c r="D141" s="156"/>
      <c r="E141" s="156"/>
      <c r="F141" s="156"/>
      <c r="L141" s="78"/>
      <c r="M141" s="70"/>
      <c r="N141" s="70"/>
      <c r="O141" s="70"/>
    </row>
    <row r="142" spans="1:15">
      <c r="D142" s="156"/>
      <c r="E142" s="156"/>
      <c r="F142" s="156"/>
      <c r="L142" s="78"/>
      <c r="M142" s="70"/>
      <c r="N142" s="70"/>
      <c r="O142" s="70"/>
    </row>
    <row r="143" spans="1:15">
      <c r="D143" s="156"/>
      <c r="E143" s="156"/>
      <c r="F143" s="156"/>
      <c r="L143" s="78"/>
      <c r="M143" s="70"/>
      <c r="N143" s="70"/>
      <c r="O143" s="70"/>
    </row>
    <row r="144" spans="1:15">
      <c r="L144" s="78"/>
      <c r="M144" s="70"/>
      <c r="N144" s="70"/>
      <c r="O144" s="70"/>
    </row>
    <row r="145" spans="12:15">
      <c r="L145" s="78"/>
      <c r="M145" s="70"/>
      <c r="N145" s="70"/>
      <c r="O145" s="70"/>
    </row>
    <row r="146" spans="12:15">
      <c r="L146" s="78"/>
      <c r="M146" s="70"/>
      <c r="N146" s="70"/>
      <c r="O146" s="70"/>
    </row>
    <row r="147" spans="12:15">
      <c r="L147" s="78"/>
      <c r="M147" s="70"/>
      <c r="N147" s="70"/>
      <c r="O147" s="70"/>
    </row>
    <row r="148" spans="12:15">
      <c r="L148" s="78"/>
      <c r="M148" s="70"/>
      <c r="N148" s="70"/>
      <c r="O148" s="70"/>
    </row>
    <row r="149" spans="12:15">
      <c r="L149" s="78"/>
      <c r="M149" s="70"/>
      <c r="N149" s="70"/>
      <c r="O149" s="70"/>
    </row>
    <row r="150" spans="12:15">
      <c r="L150" s="78"/>
      <c r="M150" s="70"/>
      <c r="N150" s="70"/>
      <c r="O150" s="70"/>
    </row>
    <row r="151" spans="12:15">
      <c r="L151" s="78"/>
      <c r="M151" s="70"/>
      <c r="N151" s="70"/>
      <c r="O151" s="70"/>
    </row>
    <row r="152" spans="12:15">
      <c r="L152" s="78"/>
      <c r="M152" s="70"/>
      <c r="N152" s="70"/>
      <c r="O152" s="70"/>
    </row>
    <row r="153" spans="12:15">
      <c r="L153" s="78"/>
      <c r="M153" s="70"/>
      <c r="N153" s="70"/>
      <c r="O153" s="70"/>
    </row>
    <row r="154" spans="12:15">
      <c r="L154" s="78"/>
      <c r="M154" s="70"/>
      <c r="N154" s="70"/>
      <c r="O154" s="70"/>
    </row>
    <row r="155" spans="12:15">
      <c r="L155" s="78"/>
      <c r="M155" s="70"/>
      <c r="N155" s="70"/>
      <c r="O155" s="70"/>
    </row>
    <row r="156" spans="12:15">
      <c r="L156" s="78"/>
      <c r="M156" s="70"/>
      <c r="N156" s="70"/>
      <c r="O156" s="70"/>
    </row>
    <row r="157" spans="12:15">
      <c r="L157" s="78"/>
      <c r="M157" s="70"/>
      <c r="N157" s="70"/>
      <c r="O157" s="70"/>
    </row>
    <row r="158" spans="12:15">
      <c r="L158" s="78"/>
      <c r="M158" s="70"/>
      <c r="N158" s="70"/>
      <c r="O158" s="70"/>
    </row>
    <row r="159" spans="12:15">
      <c r="L159" s="78"/>
      <c r="M159" s="70"/>
      <c r="N159" s="70"/>
      <c r="O159" s="70"/>
    </row>
    <row r="160" spans="12:15">
      <c r="L160" s="78"/>
      <c r="M160" s="70"/>
      <c r="N160" s="70"/>
      <c r="O160" s="70"/>
    </row>
    <row r="161" spans="12:15">
      <c r="L161" s="78"/>
      <c r="M161" s="70"/>
      <c r="N161" s="70"/>
      <c r="O161" s="70"/>
    </row>
    <row r="162" spans="12:15">
      <c r="L162" s="78"/>
      <c r="M162" s="70"/>
      <c r="N162" s="70"/>
      <c r="O162" s="70"/>
    </row>
    <row r="163" spans="12:15">
      <c r="L163" s="78"/>
      <c r="M163" s="70"/>
      <c r="N163" s="70"/>
      <c r="O163" s="70"/>
    </row>
    <row r="164" spans="12:15">
      <c r="L164" s="78"/>
      <c r="M164" s="70"/>
      <c r="N164" s="70"/>
      <c r="O164" s="70"/>
    </row>
    <row r="165" spans="12:15">
      <c r="L165" s="78"/>
      <c r="M165" s="70"/>
      <c r="N165" s="70"/>
      <c r="O165" s="70"/>
    </row>
    <row r="166" spans="12:15">
      <c r="L166" s="78"/>
      <c r="M166" s="70"/>
      <c r="N166" s="70"/>
      <c r="O166" s="70"/>
    </row>
    <row r="167" spans="12:15">
      <c r="L167" s="78"/>
      <c r="M167" s="70"/>
      <c r="N167" s="70"/>
      <c r="O167" s="70"/>
    </row>
    <row r="168" spans="12:15">
      <c r="L168" s="78"/>
      <c r="M168" s="70"/>
      <c r="N168" s="70"/>
      <c r="O168" s="70"/>
    </row>
    <row r="169" spans="12:15">
      <c r="L169" s="78"/>
      <c r="M169" s="70"/>
      <c r="N169" s="70"/>
      <c r="O169" s="70"/>
    </row>
    <row r="170" spans="12:15">
      <c r="L170" s="78"/>
      <c r="M170" s="70"/>
      <c r="N170" s="70"/>
      <c r="O170" s="70"/>
    </row>
    <row r="171" spans="12:15">
      <c r="L171" s="78"/>
      <c r="M171" s="70"/>
      <c r="N171" s="70"/>
      <c r="O171" s="70"/>
    </row>
    <row r="172" spans="12:15">
      <c r="L172" s="78"/>
      <c r="M172" s="70"/>
      <c r="N172" s="70"/>
      <c r="O172" s="70"/>
    </row>
    <row r="173" spans="12:15">
      <c r="L173" s="78"/>
      <c r="M173" s="70"/>
      <c r="N173" s="70"/>
      <c r="O173" s="70"/>
    </row>
    <row r="174" spans="12:15">
      <c r="L174" s="78"/>
      <c r="M174" s="70"/>
      <c r="N174" s="70"/>
      <c r="O174" s="70"/>
    </row>
    <row r="175" spans="12:15">
      <c r="L175" s="78"/>
      <c r="M175" s="70"/>
      <c r="N175" s="70"/>
      <c r="O175" s="70"/>
    </row>
    <row r="176" spans="12:15">
      <c r="L176" s="78"/>
      <c r="M176" s="70"/>
      <c r="N176" s="70"/>
      <c r="O176" s="70"/>
    </row>
    <row r="177" spans="12:15">
      <c r="L177" s="78"/>
      <c r="M177" s="70"/>
      <c r="N177" s="70"/>
      <c r="O177" s="70"/>
    </row>
    <row r="178" spans="12:15">
      <c r="L178" s="78"/>
      <c r="M178" s="70"/>
      <c r="N178" s="70"/>
      <c r="O178" s="70"/>
    </row>
    <row r="179" spans="12:15">
      <c r="L179" s="78"/>
      <c r="M179" s="70"/>
      <c r="N179" s="70"/>
      <c r="O179" s="70"/>
    </row>
    <row r="180" spans="12:15">
      <c r="L180" s="78"/>
      <c r="M180" s="70"/>
      <c r="N180" s="70"/>
      <c r="O180" s="70"/>
    </row>
    <row r="181" spans="12:15">
      <c r="L181" s="78"/>
      <c r="M181" s="70"/>
      <c r="N181" s="70"/>
      <c r="O181" s="70"/>
    </row>
    <row r="182" spans="12:15">
      <c r="L182" s="78"/>
      <c r="M182" s="70"/>
      <c r="N182" s="70"/>
      <c r="O182" s="70"/>
    </row>
    <row r="183" spans="12:15">
      <c r="L183" s="78"/>
      <c r="M183" s="70"/>
      <c r="N183" s="70"/>
      <c r="O183" s="70"/>
    </row>
    <row r="184" spans="12:15">
      <c r="L184" s="78"/>
      <c r="M184" s="70"/>
      <c r="N184" s="70"/>
      <c r="O184" s="70"/>
    </row>
    <row r="185" spans="12:15">
      <c r="L185" s="78"/>
      <c r="M185" s="70"/>
      <c r="N185" s="70"/>
      <c r="O185" s="70"/>
    </row>
    <row r="186" spans="12:15">
      <c r="L186" s="78"/>
      <c r="M186" s="70"/>
      <c r="N186" s="70"/>
      <c r="O186" s="70"/>
    </row>
    <row r="187" spans="12:15">
      <c r="L187" s="78"/>
      <c r="M187" s="70"/>
      <c r="N187" s="70"/>
      <c r="O187" s="70"/>
    </row>
    <row r="188" spans="12:15">
      <c r="L188" s="78"/>
      <c r="M188" s="70"/>
      <c r="N188" s="70"/>
      <c r="O188" s="70"/>
    </row>
    <row r="189" spans="12:15">
      <c r="L189" s="78"/>
      <c r="M189" s="70"/>
      <c r="N189" s="70"/>
      <c r="O189" s="70"/>
    </row>
    <row r="190" spans="12:15">
      <c r="L190" s="78"/>
      <c r="M190" s="70"/>
      <c r="N190" s="70"/>
      <c r="O190" s="70"/>
    </row>
    <row r="191" spans="12:15">
      <c r="L191" s="78"/>
      <c r="M191" s="70"/>
      <c r="N191" s="70"/>
      <c r="O191" s="70"/>
    </row>
    <row r="192" spans="12:15">
      <c r="L192" s="78"/>
      <c r="M192" s="70"/>
      <c r="N192" s="70"/>
      <c r="O192" s="70"/>
    </row>
    <row r="193" spans="12:15">
      <c r="L193" s="78"/>
      <c r="M193" s="70"/>
      <c r="N193" s="70"/>
      <c r="O193" s="70"/>
    </row>
    <row r="194" spans="12:15">
      <c r="L194" s="78"/>
      <c r="M194" s="70"/>
      <c r="N194" s="70"/>
      <c r="O194" s="70"/>
    </row>
    <row r="195" spans="12:15">
      <c r="L195" s="78"/>
      <c r="M195" s="70"/>
      <c r="N195" s="70"/>
      <c r="O195" s="70"/>
    </row>
    <row r="196" spans="12:15">
      <c r="L196" s="78"/>
      <c r="M196" s="70"/>
      <c r="N196" s="70"/>
      <c r="O196" s="70"/>
    </row>
    <row r="197" spans="12:15">
      <c r="L197" s="78"/>
      <c r="M197" s="70"/>
      <c r="N197" s="70"/>
      <c r="O197" s="70"/>
    </row>
    <row r="198" spans="12:15">
      <c r="L198" s="78"/>
      <c r="M198" s="70"/>
      <c r="N198" s="70"/>
      <c r="O198" s="70"/>
    </row>
    <row r="199" spans="12:15">
      <c r="L199" s="78"/>
      <c r="M199" s="70"/>
      <c r="N199" s="70"/>
      <c r="O199" s="70"/>
    </row>
    <row r="200" spans="12:15">
      <c r="L200" s="78"/>
      <c r="M200" s="70"/>
      <c r="N200" s="70"/>
      <c r="O200" s="70"/>
    </row>
    <row r="201" spans="12:15">
      <c r="L201" s="78"/>
      <c r="M201" s="70"/>
      <c r="N201" s="70"/>
      <c r="O201" s="70"/>
    </row>
    <row r="202" spans="12:15">
      <c r="L202" s="78"/>
      <c r="M202" s="70"/>
      <c r="N202" s="70"/>
      <c r="O202" s="70"/>
    </row>
    <row r="203" spans="12:15">
      <c r="L203" s="78"/>
      <c r="M203" s="70"/>
      <c r="N203" s="70"/>
      <c r="O203" s="70"/>
    </row>
    <row r="204" spans="12:15">
      <c r="L204" s="78"/>
      <c r="M204" s="70"/>
      <c r="N204" s="70"/>
      <c r="O204" s="70"/>
    </row>
    <row r="205" spans="12:15">
      <c r="L205" s="78"/>
      <c r="M205" s="70"/>
      <c r="N205" s="70"/>
      <c r="O205" s="70"/>
    </row>
    <row r="206" spans="12:15">
      <c r="L206" s="78"/>
      <c r="M206" s="70"/>
      <c r="N206" s="70"/>
      <c r="O206" s="70"/>
    </row>
    <row r="207" spans="12:15">
      <c r="L207" s="78"/>
      <c r="M207" s="70"/>
      <c r="N207" s="70"/>
      <c r="O207" s="70"/>
    </row>
    <row r="208" spans="12:15">
      <c r="L208" s="78"/>
      <c r="M208" s="70"/>
      <c r="N208" s="70"/>
      <c r="O208" s="70"/>
    </row>
    <row r="209" spans="12:15">
      <c r="L209" s="78"/>
      <c r="M209" s="70"/>
      <c r="N209" s="70"/>
      <c r="O209" s="70"/>
    </row>
    <row r="210" spans="12:15">
      <c r="L210" s="78"/>
      <c r="M210" s="70"/>
      <c r="N210" s="70"/>
      <c r="O210" s="70"/>
    </row>
    <row r="211" spans="12:15">
      <c r="L211" s="78"/>
      <c r="M211" s="70"/>
      <c r="N211" s="70"/>
      <c r="O211" s="70"/>
    </row>
    <row r="212" spans="12:15">
      <c r="L212" s="78"/>
      <c r="M212" s="70"/>
      <c r="N212" s="70"/>
      <c r="O212" s="70"/>
    </row>
    <row r="213" spans="12:15">
      <c r="L213" s="78"/>
      <c r="M213" s="70"/>
      <c r="N213" s="70"/>
      <c r="O213" s="70"/>
    </row>
    <row r="214" spans="12:15">
      <c r="L214" s="78"/>
      <c r="M214" s="70"/>
      <c r="N214" s="70"/>
      <c r="O214" s="70"/>
    </row>
    <row r="215" spans="12:15">
      <c r="L215" s="78"/>
      <c r="M215" s="70"/>
      <c r="N215" s="70"/>
      <c r="O215" s="70"/>
    </row>
    <row r="216" spans="12:15">
      <c r="L216" s="78"/>
      <c r="M216" s="70"/>
      <c r="N216" s="70"/>
      <c r="O216" s="70"/>
    </row>
    <row r="217" spans="12:15">
      <c r="L217" s="78"/>
      <c r="M217" s="70"/>
      <c r="N217" s="70"/>
      <c r="O217" s="70"/>
    </row>
    <row r="218" spans="12:15">
      <c r="L218" s="78"/>
      <c r="M218" s="70"/>
      <c r="N218" s="70"/>
      <c r="O218" s="70"/>
    </row>
    <row r="219" spans="12:15">
      <c r="L219" s="78"/>
      <c r="M219" s="70"/>
      <c r="N219" s="70"/>
      <c r="O219" s="70"/>
    </row>
    <row r="220" spans="12:15">
      <c r="L220" s="78"/>
      <c r="M220" s="70"/>
      <c r="N220" s="70"/>
      <c r="O220" s="70"/>
    </row>
    <row r="221" spans="12:15">
      <c r="L221" s="78"/>
      <c r="M221" s="70"/>
      <c r="N221" s="70"/>
      <c r="O221" s="70"/>
    </row>
    <row r="222" spans="12:15">
      <c r="L222" s="78"/>
      <c r="M222" s="70"/>
      <c r="N222" s="70"/>
      <c r="O222" s="70"/>
    </row>
    <row r="223" spans="12:15">
      <c r="L223" s="78"/>
      <c r="M223" s="70"/>
      <c r="N223" s="70"/>
      <c r="O223" s="70"/>
    </row>
    <row r="224" spans="12:15">
      <c r="L224" s="78"/>
      <c r="M224" s="70"/>
      <c r="N224" s="70"/>
      <c r="O224" s="70"/>
    </row>
    <row r="225" spans="12:15">
      <c r="L225" s="78"/>
      <c r="M225" s="70"/>
      <c r="N225" s="70"/>
      <c r="O225" s="70"/>
    </row>
    <row r="226" spans="12:15">
      <c r="L226" s="78"/>
      <c r="M226" s="70"/>
      <c r="N226" s="70"/>
      <c r="O226" s="70"/>
    </row>
    <row r="227" spans="12:15">
      <c r="L227" s="78"/>
      <c r="M227" s="70"/>
      <c r="N227" s="70"/>
      <c r="O227" s="70"/>
    </row>
    <row r="228" spans="12:15">
      <c r="L228" s="78"/>
      <c r="M228" s="70"/>
      <c r="N228" s="70"/>
      <c r="O228" s="70"/>
    </row>
    <row r="229" spans="12:15">
      <c r="L229" s="78"/>
      <c r="M229" s="70"/>
      <c r="N229" s="70"/>
      <c r="O229" s="70"/>
    </row>
    <row r="230" spans="12:15">
      <c r="L230" s="78"/>
      <c r="M230" s="70"/>
      <c r="N230" s="70"/>
      <c r="O230" s="70"/>
    </row>
    <row r="231" spans="12:15">
      <c r="L231" s="78"/>
      <c r="M231" s="70"/>
      <c r="N231" s="70"/>
      <c r="O231" s="70"/>
    </row>
    <row r="232" spans="12:15">
      <c r="L232" s="78"/>
      <c r="M232" s="70"/>
      <c r="N232" s="70"/>
      <c r="O232" s="70"/>
    </row>
    <row r="233" spans="12:15">
      <c r="L233" s="78"/>
      <c r="M233" s="70"/>
      <c r="N233" s="70"/>
      <c r="O233" s="70"/>
    </row>
    <row r="234" spans="12:15">
      <c r="L234" s="78"/>
      <c r="M234" s="70"/>
      <c r="N234" s="70"/>
      <c r="O234" s="70"/>
    </row>
    <row r="235" spans="12:15">
      <c r="L235" s="78"/>
      <c r="M235" s="70"/>
      <c r="N235" s="70"/>
      <c r="O235" s="70"/>
    </row>
    <row r="236" spans="12:15">
      <c r="L236" s="78"/>
      <c r="M236" s="70"/>
      <c r="N236" s="70"/>
      <c r="O236" s="70"/>
    </row>
    <row r="237" spans="12:15">
      <c r="L237" s="78"/>
      <c r="M237" s="70"/>
      <c r="N237" s="70"/>
      <c r="O237" s="70"/>
    </row>
    <row r="238" spans="12:15">
      <c r="L238" s="78"/>
      <c r="M238" s="70"/>
      <c r="N238" s="70"/>
      <c r="O238" s="70"/>
    </row>
    <row r="239" spans="12:15">
      <c r="L239" s="78"/>
      <c r="M239" s="70"/>
      <c r="N239" s="70"/>
      <c r="O239" s="70"/>
    </row>
    <row r="240" spans="12:15">
      <c r="L240" s="78"/>
      <c r="M240" s="70"/>
      <c r="N240" s="70"/>
      <c r="O240" s="70"/>
    </row>
    <row r="241" spans="12:15">
      <c r="L241" s="78"/>
      <c r="M241" s="70"/>
      <c r="N241" s="70"/>
      <c r="O241" s="70"/>
    </row>
    <row r="242" spans="12:15">
      <c r="L242" s="78"/>
      <c r="M242" s="70"/>
      <c r="N242" s="70"/>
      <c r="O242" s="70"/>
    </row>
    <row r="243" spans="12:15">
      <c r="L243" s="78"/>
      <c r="M243" s="70"/>
      <c r="N243" s="70"/>
      <c r="O243" s="70"/>
    </row>
    <row r="244" spans="12:15">
      <c r="L244" s="78"/>
      <c r="M244" s="70"/>
      <c r="N244" s="70"/>
      <c r="O244" s="70"/>
    </row>
    <row r="245" spans="12:15">
      <c r="L245" s="78"/>
      <c r="M245" s="70"/>
      <c r="N245" s="70"/>
      <c r="O245" s="70"/>
    </row>
    <row r="246" spans="12:15">
      <c r="L246" s="78"/>
      <c r="M246" s="70"/>
      <c r="N246" s="70"/>
      <c r="O246" s="70"/>
    </row>
    <row r="247" spans="12:15">
      <c r="L247" s="78"/>
      <c r="M247" s="70"/>
      <c r="N247" s="70"/>
      <c r="O247" s="70"/>
    </row>
    <row r="248" spans="12:15">
      <c r="L248" s="78"/>
      <c r="M248" s="70"/>
      <c r="N248" s="70"/>
      <c r="O248" s="70"/>
    </row>
    <row r="249" spans="12:15">
      <c r="L249" s="78"/>
      <c r="M249" s="70"/>
      <c r="N249" s="70"/>
      <c r="O249" s="70"/>
    </row>
    <row r="250" spans="12:15">
      <c r="L250" s="78"/>
      <c r="M250" s="70"/>
      <c r="N250" s="70"/>
      <c r="O250" s="70"/>
    </row>
    <row r="251" spans="12:15">
      <c r="L251" s="78"/>
      <c r="M251" s="70"/>
      <c r="N251" s="70"/>
      <c r="O251" s="70"/>
    </row>
    <row r="252" spans="12:15">
      <c r="L252" s="78"/>
      <c r="M252" s="70"/>
      <c r="N252" s="70"/>
      <c r="O252" s="70"/>
    </row>
    <row r="253" spans="12:15">
      <c r="L253" s="78"/>
      <c r="M253" s="70"/>
      <c r="N253" s="70"/>
      <c r="O253" s="70"/>
    </row>
    <row r="254" spans="12:15">
      <c r="L254" s="78"/>
      <c r="M254" s="70"/>
      <c r="N254" s="70"/>
      <c r="O254" s="70"/>
    </row>
    <row r="255" spans="12:15">
      <c r="L255" s="78"/>
      <c r="M255" s="70"/>
      <c r="N255" s="70"/>
      <c r="O255" s="70"/>
    </row>
    <row r="256" spans="12:15">
      <c r="L256" s="78"/>
      <c r="M256" s="70"/>
      <c r="N256" s="70"/>
      <c r="O256" s="70"/>
    </row>
    <row r="257" spans="12:15">
      <c r="L257" s="78"/>
      <c r="M257" s="70"/>
      <c r="N257" s="70"/>
      <c r="O257" s="70"/>
    </row>
    <row r="258" spans="12:15">
      <c r="L258" s="78"/>
      <c r="M258" s="70"/>
      <c r="N258" s="70"/>
      <c r="O258" s="70"/>
    </row>
    <row r="259" spans="12:15">
      <c r="L259" s="78"/>
      <c r="M259" s="70"/>
      <c r="N259" s="70"/>
      <c r="O259" s="70"/>
    </row>
    <row r="260" spans="12:15">
      <c r="L260" s="78"/>
      <c r="M260" s="70"/>
      <c r="N260" s="70"/>
      <c r="O260" s="70"/>
    </row>
    <row r="261" spans="12:15">
      <c r="L261" s="78"/>
      <c r="M261" s="70"/>
      <c r="N261" s="70"/>
      <c r="O261" s="70"/>
    </row>
    <row r="262" spans="12:15">
      <c r="L262" s="78"/>
      <c r="M262" s="70"/>
      <c r="N262" s="70"/>
      <c r="O262" s="70"/>
    </row>
    <row r="263" spans="12:15">
      <c r="L263" s="78"/>
      <c r="M263" s="70"/>
      <c r="N263" s="70"/>
      <c r="O263" s="70"/>
    </row>
    <row r="264" spans="12:15">
      <c r="L264" s="78"/>
      <c r="M264" s="70"/>
      <c r="N264" s="70"/>
      <c r="O264" s="70"/>
    </row>
    <row r="265" spans="12:15">
      <c r="L265" s="78"/>
      <c r="M265" s="70"/>
      <c r="N265" s="70"/>
      <c r="O265" s="70"/>
    </row>
    <row r="266" spans="12:15">
      <c r="L266" s="78"/>
      <c r="M266" s="70"/>
      <c r="N266" s="70"/>
      <c r="O266" s="70"/>
    </row>
    <row r="267" spans="12:15">
      <c r="L267" s="78"/>
      <c r="M267" s="70"/>
      <c r="N267" s="70"/>
      <c r="O267" s="70"/>
    </row>
    <row r="268" spans="12:15">
      <c r="L268" s="78"/>
      <c r="M268" s="70"/>
      <c r="N268" s="70"/>
      <c r="O268" s="70"/>
    </row>
    <row r="269" spans="12:15">
      <c r="L269" s="78"/>
      <c r="M269" s="70"/>
      <c r="N269" s="70"/>
      <c r="O269" s="70"/>
    </row>
    <row r="270" spans="12:15">
      <c r="L270" s="78"/>
      <c r="M270" s="70"/>
      <c r="N270" s="70"/>
      <c r="O270" s="70"/>
    </row>
    <row r="271" spans="12:15">
      <c r="L271" s="78"/>
      <c r="M271" s="70"/>
      <c r="N271" s="70"/>
      <c r="O271" s="70"/>
    </row>
    <row r="272" spans="12:15">
      <c r="L272" s="78"/>
      <c r="M272" s="70"/>
      <c r="N272" s="70"/>
      <c r="O272" s="70"/>
    </row>
    <row r="273" spans="12:15">
      <c r="L273" s="78"/>
      <c r="M273" s="70"/>
      <c r="N273" s="70"/>
      <c r="O273" s="70"/>
    </row>
    <row r="274" spans="12:15">
      <c r="L274" s="78"/>
      <c r="M274" s="70"/>
      <c r="N274" s="70"/>
      <c r="O274" s="70"/>
    </row>
    <row r="275" spans="12:15">
      <c r="L275" s="78"/>
      <c r="M275" s="70"/>
      <c r="N275" s="70"/>
      <c r="O275" s="70"/>
    </row>
    <row r="276" spans="12:15">
      <c r="L276" s="78"/>
      <c r="M276" s="70"/>
      <c r="N276" s="70"/>
      <c r="O276" s="70"/>
    </row>
    <row r="277" spans="12:15">
      <c r="L277" s="78"/>
      <c r="M277" s="70"/>
      <c r="N277" s="70"/>
      <c r="O277" s="70"/>
    </row>
    <row r="278" spans="12:15">
      <c r="L278" s="78"/>
      <c r="M278" s="70"/>
      <c r="N278" s="70"/>
      <c r="O278" s="70"/>
    </row>
    <row r="279" spans="12:15">
      <c r="L279" s="78"/>
      <c r="M279" s="70"/>
      <c r="N279" s="70"/>
      <c r="O279" s="70"/>
    </row>
    <row r="280" spans="12:15">
      <c r="L280" s="78"/>
      <c r="M280" s="70"/>
      <c r="N280" s="70"/>
      <c r="O280" s="70"/>
    </row>
    <row r="281" spans="12:15">
      <c r="L281" s="78"/>
      <c r="M281" s="70"/>
      <c r="N281" s="70"/>
      <c r="O281" s="70"/>
    </row>
    <row r="282" spans="12:15">
      <c r="L282" s="78"/>
      <c r="M282" s="70"/>
      <c r="N282" s="70"/>
      <c r="O282" s="70"/>
    </row>
    <row r="283" spans="12:15">
      <c r="L283" s="78"/>
      <c r="M283" s="70"/>
      <c r="N283" s="70"/>
      <c r="O283" s="70"/>
    </row>
    <row r="284" spans="12:15">
      <c r="L284" s="78"/>
      <c r="M284" s="70"/>
      <c r="N284" s="70"/>
      <c r="O284" s="70"/>
    </row>
    <row r="285" spans="12:15">
      <c r="L285" s="78"/>
      <c r="M285" s="70"/>
      <c r="N285" s="70"/>
      <c r="O285" s="70"/>
    </row>
    <row r="286" spans="12:15">
      <c r="L286" s="78"/>
      <c r="M286" s="70"/>
      <c r="N286" s="70"/>
      <c r="O286" s="70"/>
    </row>
    <row r="287" spans="12:15">
      <c r="L287" s="78"/>
      <c r="M287" s="70"/>
      <c r="N287" s="70"/>
      <c r="O287" s="70"/>
    </row>
    <row r="288" spans="12:15">
      <c r="L288" s="78"/>
      <c r="M288" s="70"/>
      <c r="N288" s="70"/>
      <c r="O288" s="70"/>
    </row>
    <row r="289" spans="12:15">
      <c r="L289" s="78"/>
      <c r="M289" s="70"/>
      <c r="N289" s="70"/>
      <c r="O289" s="70"/>
    </row>
    <row r="290" spans="12:15">
      <c r="L290" s="78"/>
      <c r="M290" s="70"/>
      <c r="N290" s="70"/>
      <c r="O290" s="70"/>
    </row>
    <row r="291" spans="12:15">
      <c r="L291" s="78"/>
      <c r="M291" s="70"/>
      <c r="N291" s="70"/>
      <c r="O291" s="70"/>
    </row>
    <row r="292" spans="12:15">
      <c r="L292" s="78"/>
      <c r="M292" s="70"/>
      <c r="N292" s="70"/>
      <c r="O292" s="70"/>
    </row>
    <row r="293" spans="12:15">
      <c r="L293" s="78"/>
      <c r="M293" s="70"/>
      <c r="N293" s="70"/>
      <c r="O293" s="70"/>
    </row>
    <row r="294" spans="12:15">
      <c r="L294" s="78"/>
      <c r="M294" s="70"/>
      <c r="N294" s="70"/>
      <c r="O294" s="70"/>
    </row>
    <row r="295" spans="12:15">
      <c r="L295" s="78"/>
      <c r="M295" s="70"/>
      <c r="N295" s="70"/>
      <c r="O295" s="70"/>
    </row>
    <row r="296" spans="12:15">
      <c r="L296" s="78"/>
      <c r="M296" s="70"/>
      <c r="N296" s="70"/>
      <c r="O296" s="70"/>
    </row>
    <row r="297" spans="12:15">
      <c r="L297" s="78"/>
      <c r="M297" s="70"/>
      <c r="N297" s="70"/>
      <c r="O297" s="70"/>
    </row>
    <row r="298" spans="12:15">
      <c r="L298" s="78"/>
      <c r="M298" s="70"/>
      <c r="N298" s="70"/>
      <c r="O298" s="70"/>
    </row>
    <row r="299" spans="12:15">
      <c r="L299" s="78"/>
      <c r="M299" s="70"/>
      <c r="N299" s="70"/>
      <c r="O299" s="70"/>
    </row>
    <row r="300" spans="12:15">
      <c r="L300" s="78"/>
      <c r="M300" s="70"/>
      <c r="N300" s="70"/>
      <c r="O300" s="70"/>
    </row>
    <row r="301" spans="12:15">
      <c r="L301" s="78"/>
      <c r="M301" s="70"/>
      <c r="N301" s="70"/>
      <c r="O301" s="70"/>
    </row>
    <row r="302" spans="12:15">
      <c r="L302" s="78"/>
      <c r="M302" s="70"/>
      <c r="N302" s="70"/>
      <c r="O302" s="70"/>
    </row>
    <row r="303" spans="12:15">
      <c r="L303" s="78"/>
      <c r="M303" s="70"/>
      <c r="N303" s="70"/>
      <c r="O303" s="70"/>
    </row>
    <row r="304" spans="12:15">
      <c r="L304" s="78"/>
      <c r="M304" s="70"/>
      <c r="N304" s="70"/>
      <c r="O304" s="70"/>
    </row>
    <row r="305" spans="12:15">
      <c r="L305" s="78"/>
      <c r="M305" s="70"/>
      <c r="N305" s="70"/>
      <c r="O305" s="70"/>
    </row>
    <row r="306" spans="12:15">
      <c r="L306" s="78"/>
      <c r="M306" s="70"/>
      <c r="N306" s="70"/>
      <c r="O306" s="70"/>
    </row>
    <row r="307" spans="12:15">
      <c r="L307" s="78"/>
      <c r="M307" s="70"/>
      <c r="N307" s="70"/>
      <c r="O307" s="70"/>
    </row>
    <row r="308" spans="12:15">
      <c r="L308" s="78"/>
      <c r="M308" s="70"/>
      <c r="N308" s="70"/>
      <c r="O308" s="70"/>
    </row>
    <row r="309" spans="12:15">
      <c r="L309" s="78"/>
      <c r="M309" s="70"/>
      <c r="N309" s="70"/>
      <c r="O309" s="70"/>
    </row>
    <row r="310" spans="12:15">
      <c r="L310" s="78"/>
      <c r="M310" s="70"/>
      <c r="N310" s="70"/>
      <c r="O310" s="70"/>
    </row>
    <row r="311" spans="12:15">
      <c r="L311" s="78"/>
      <c r="M311" s="70"/>
      <c r="N311" s="70"/>
      <c r="O311" s="70"/>
    </row>
    <row r="312" spans="12:15">
      <c r="L312" s="78"/>
      <c r="M312" s="70"/>
      <c r="N312" s="70"/>
      <c r="O312" s="70"/>
    </row>
    <row r="313" spans="12:15">
      <c r="L313" s="78"/>
      <c r="M313" s="70"/>
      <c r="N313" s="70"/>
      <c r="O313" s="70"/>
    </row>
    <row r="314" spans="12:15">
      <c r="L314" s="78"/>
      <c r="M314" s="70"/>
      <c r="N314" s="70"/>
      <c r="O314" s="70"/>
    </row>
    <row r="315" spans="12:15">
      <c r="L315" s="78"/>
      <c r="M315" s="70"/>
      <c r="N315" s="70"/>
      <c r="O315" s="70"/>
    </row>
    <row r="316" spans="12:15">
      <c r="L316" s="78"/>
      <c r="M316" s="70"/>
      <c r="N316" s="70"/>
      <c r="O316" s="70"/>
    </row>
    <row r="317" spans="12:15">
      <c r="L317" s="78"/>
      <c r="M317" s="70"/>
      <c r="N317" s="70"/>
      <c r="O317" s="70"/>
    </row>
    <row r="318" spans="12:15">
      <c r="L318" s="78"/>
      <c r="M318" s="70"/>
      <c r="N318" s="70"/>
      <c r="O318" s="70"/>
    </row>
    <row r="319" spans="12:15">
      <c r="L319" s="78"/>
      <c r="M319" s="70"/>
      <c r="N319" s="70"/>
      <c r="O319" s="70"/>
    </row>
    <row r="320" spans="12:15">
      <c r="L320" s="78"/>
      <c r="M320" s="70"/>
      <c r="N320" s="70"/>
      <c r="O320" s="70"/>
    </row>
    <row r="321" spans="12:15">
      <c r="L321" s="78"/>
      <c r="M321" s="70"/>
      <c r="N321" s="70"/>
      <c r="O321" s="70"/>
    </row>
    <row r="322" spans="12:15">
      <c r="L322" s="78"/>
      <c r="M322" s="70"/>
      <c r="N322" s="70"/>
      <c r="O322" s="70"/>
    </row>
    <row r="323" spans="12:15">
      <c r="L323" s="78"/>
      <c r="M323" s="70"/>
      <c r="N323" s="70"/>
      <c r="O323" s="70"/>
    </row>
    <row r="324" spans="12:15">
      <c r="L324" s="78"/>
      <c r="M324" s="70"/>
      <c r="N324" s="70"/>
      <c r="O324" s="70"/>
    </row>
    <row r="325" spans="12:15">
      <c r="L325" s="78"/>
      <c r="M325" s="70"/>
      <c r="N325" s="70"/>
      <c r="O325" s="70"/>
    </row>
    <row r="326" spans="12:15">
      <c r="L326" s="78"/>
      <c r="M326" s="70"/>
      <c r="N326" s="70"/>
      <c r="O326" s="70"/>
    </row>
    <row r="327" spans="12:15">
      <c r="L327" s="78"/>
      <c r="M327" s="70"/>
      <c r="N327" s="70"/>
      <c r="O327" s="70"/>
    </row>
    <row r="328" spans="12:15">
      <c r="L328" s="78"/>
      <c r="M328" s="70"/>
      <c r="N328" s="70"/>
      <c r="O328" s="70"/>
    </row>
    <row r="329" spans="12:15">
      <c r="L329" s="78"/>
      <c r="M329" s="70"/>
      <c r="N329" s="70"/>
      <c r="O329" s="70"/>
    </row>
    <row r="330" spans="12:15">
      <c r="L330" s="78"/>
      <c r="M330" s="70"/>
      <c r="N330" s="70"/>
      <c r="O330" s="70"/>
    </row>
    <row r="331" spans="12:15">
      <c r="L331" s="78"/>
      <c r="M331" s="70"/>
      <c r="N331" s="70"/>
      <c r="O331" s="70"/>
    </row>
    <row r="332" spans="12:15">
      <c r="L332" s="78"/>
      <c r="M332" s="70"/>
      <c r="N332" s="70"/>
      <c r="O332" s="70"/>
    </row>
    <row r="333" spans="12:15">
      <c r="L333" s="78"/>
      <c r="M333" s="70"/>
      <c r="N333" s="70"/>
      <c r="O333" s="70"/>
    </row>
    <row r="334" spans="12:15">
      <c r="L334" s="78"/>
      <c r="M334" s="70"/>
      <c r="N334" s="70"/>
      <c r="O334" s="70"/>
    </row>
    <row r="335" spans="12:15">
      <c r="L335" s="78"/>
      <c r="M335" s="70"/>
      <c r="N335" s="70"/>
      <c r="O335" s="70"/>
    </row>
    <row r="336" spans="12:15">
      <c r="L336" s="78"/>
      <c r="M336" s="70"/>
      <c r="N336" s="70"/>
      <c r="O336" s="70"/>
    </row>
    <row r="337" spans="12:15">
      <c r="L337" s="78"/>
      <c r="M337" s="70"/>
      <c r="N337" s="70"/>
      <c r="O337" s="70"/>
    </row>
    <row r="338" spans="12:15">
      <c r="L338" s="78"/>
      <c r="M338" s="70"/>
      <c r="N338" s="70"/>
      <c r="O338" s="70"/>
    </row>
    <row r="339" spans="12:15">
      <c r="L339" s="78"/>
      <c r="M339" s="70"/>
      <c r="N339" s="70"/>
      <c r="O339" s="70"/>
    </row>
    <row r="340" spans="12:15">
      <c r="L340" s="78"/>
      <c r="M340" s="70"/>
      <c r="N340" s="70"/>
      <c r="O340" s="70"/>
    </row>
    <row r="341" spans="12:15">
      <c r="L341" s="78"/>
      <c r="M341" s="70"/>
      <c r="N341" s="70"/>
      <c r="O341" s="70"/>
    </row>
    <row r="342" spans="12:15">
      <c r="L342" s="78"/>
      <c r="M342" s="70"/>
      <c r="N342" s="70"/>
      <c r="O342" s="70"/>
    </row>
    <row r="343" spans="12:15">
      <c r="L343" s="78"/>
      <c r="M343" s="70"/>
      <c r="N343" s="70"/>
      <c r="O343" s="70"/>
    </row>
    <row r="344" spans="12:15">
      <c r="L344" s="78"/>
      <c r="M344" s="70"/>
      <c r="N344" s="70"/>
      <c r="O344" s="70"/>
    </row>
    <row r="345" spans="12:15">
      <c r="L345" s="78"/>
      <c r="M345" s="70"/>
      <c r="N345" s="70"/>
      <c r="O345" s="70"/>
    </row>
    <row r="346" spans="12:15">
      <c r="L346" s="78"/>
      <c r="M346" s="70"/>
      <c r="N346" s="70"/>
      <c r="O346" s="70"/>
    </row>
    <row r="347" spans="12:15">
      <c r="L347" s="78"/>
      <c r="M347" s="70"/>
      <c r="N347" s="70"/>
      <c r="O347" s="70"/>
    </row>
    <row r="348" spans="12:15">
      <c r="L348" s="78"/>
      <c r="M348" s="70"/>
      <c r="N348" s="70"/>
      <c r="O348" s="70"/>
    </row>
    <row r="349" spans="12:15">
      <c r="L349" s="78"/>
      <c r="M349" s="70"/>
      <c r="N349" s="70"/>
      <c r="O349" s="70"/>
    </row>
    <row r="350" spans="12:15">
      <c r="L350" s="78"/>
      <c r="M350" s="70"/>
      <c r="N350" s="70"/>
      <c r="O350" s="70"/>
    </row>
    <row r="351" spans="12:15">
      <c r="L351" s="78"/>
      <c r="M351" s="70"/>
      <c r="N351" s="70"/>
      <c r="O351" s="70"/>
    </row>
    <row r="352" spans="12:15">
      <c r="L352" s="78"/>
      <c r="M352" s="70"/>
      <c r="N352" s="70"/>
      <c r="O352" s="70"/>
    </row>
    <row r="353" spans="12:15">
      <c r="L353" s="78"/>
      <c r="M353" s="70"/>
      <c r="N353" s="70"/>
      <c r="O353" s="70"/>
    </row>
    <row r="354" spans="12:15">
      <c r="L354" s="78"/>
      <c r="M354" s="70"/>
      <c r="N354" s="70"/>
      <c r="O354" s="70"/>
    </row>
    <row r="355" spans="12:15">
      <c r="L355" s="78"/>
      <c r="M355" s="70"/>
      <c r="N355" s="70"/>
      <c r="O355" s="70"/>
    </row>
    <row r="356" spans="12:15">
      <c r="L356" s="78"/>
      <c r="M356" s="70"/>
      <c r="N356" s="70"/>
      <c r="O356" s="70"/>
    </row>
    <row r="357" spans="12:15">
      <c r="L357" s="78"/>
      <c r="M357" s="70"/>
      <c r="N357" s="70"/>
      <c r="O357" s="70"/>
    </row>
    <row r="358" spans="12:15">
      <c r="L358" s="78"/>
      <c r="M358" s="70"/>
      <c r="N358" s="70"/>
      <c r="O358" s="70"/>
    </row>
    <row r="359" spans="12:15">
      <c r="L359" s="78"/>
      <c r="M359" s="70"/>
      <c r="N359" s="70"/>
      <c r="O359" s="70"/>
    </row>
    <row r="360" spans="12:15">
      <c r="L360" s="78"/>
      <c r="M360" s="70"/>
      <c r="N360" s="70"/>
      <c r="O360" s="70"/>
    </row>
    <row r="361" spans="12:15">
      <c r="L361" s="78"/>
      <c r="M361" s="70"/>
      <c r="N361" s="70"/>
      <c r="O361" s="70"/>
    </row>
    <row r="362" spans="12:15">
      <c r="L362" s="78"/>
      <c r="M362" s="70"/>
      <c r="N362" s="70"/>
      <c r="O362" s="70"/>
    </row>
    <row r="363" spans="12:15">
      <c r="L363" s="78"/>
      <c r="M363" s="70"/>
      <c r="N363" s="70"/>
      <c r="O363" s="70"/>
    </row>
    <row r="364" spans="12:15">
      <c r="L364" s="78"/>
      <c r="M364" s="70"/>
      <c r="N364" s="70"/>
      <c r="O364" s="70"/>
    </row>
    <row r="365" spans="12:15">
      <c r="L365" s="78"/>
      <c r="M365" s="70"/>
      <c r="N365" s="70"/>
      <c r="O365" s="70"/>
    </row>
    <row r="366" spans="12:15">
      <c r="L366" s="78"/>
      <c r="M366" s="70"/>
      <c r="N366" s="70"/>
      <c r="O366" s="70"/>
    </row>
    <row r="367" spans="12:15">
      <c r="L367" s="78"/>
      <c r="M367" s="70"/>
      <c r="N367" s="70"/>
      <c r="O367" s="70"/>
    </row>
    <row r="368" spans="12:15">
      <c r="L368" s="78"/>
      <c r="M368" s="70"/>
      <c r="N368" s="70"/>
      <c r="O368" s="70"/>
    </row>
    <row r="369" spans="12:15">
      <c r="L369" s="78"/>
      <c r="M369" s="70"/>
      <c r="N369" s="70"/>
      <c r="O369" s="70"/>
    </row>
    <row r="370" spans="12:15">
      <c r="L370" s="78"/>
      <c r="M370" s="70"/>
      <c r="N370" s="70"/>
      <c r="O370" s="70"/>
    </row>
    <row r="371" spans="12:15">
      <c r="L371" s="78"/>
      <c r="M371" s="70"/>
      <c r="N371" s="70"/>
      <c r="O371" s="70"/>
    </row>
    <row r="372" spans="12:15">
      <c r="L372" s="78"/>
      <c r="M372" s="70"/>
      <c r="N372" s="70"/>
      <c r="O372" s="70"/>
    </row>
    <row r="373" spans="12:15">
      <c r="L373" s="78"/>
      <c r="M373" s="70"/>
      <c r="N373" s="70"/>
      <c r="O373" s="70"/>
    </row>
    <row r="374" spans="12:15">
      <c r="L374" s="78"/>
      <c r="M374" s="70"/>
      <c r="N374" s="70"/>
      <c r="O374" s="70"/>
    </row>
    <row r="375" spans="12:15">
      <c r="L375" s="78"/>
      <c r="M375" s="70"/>
      <c r="N375" s="70"/>
      <c r="O375" s="70"/>
    </row>
    <row r="376" spans="12:15">
      <c r="L376" s="78"/>
      <c r="M376" s="70"/>
      <c r="N376" s="70"/>
      <c r="O376" s="70"/>
    </row>
    <row r="377" spans="12:15">
      <c r="L377" s="78"/>
      <c r="M377" s="70"/>
      <c r="N377" s="70"/>
      <c r="O377" s="70"/>
    </row>
    <row r="378" spans="12:15">
      <c r="L378" s="78"/>
      <c r="M378" s="70"/>
      <c r="N378" s="70"/>
      <c r="O378" s="70"/>
    </row>
    <row r="379" spans="12:15">
      <c r="L379" s="78"/>
      <c r="M379" s="70"/>
      <c r="N379" s="70"/>
      <c r="O379" s="70"/>
    </row>
    <row r="380" spans="12:15">
      <c r="L380" s="78"/>
      <c r="M380" s="70"/>
      <c r="N380" s="70"/>
      <c r="O380" s="70"/>
    </row>
    <row r="381" spans="12:15">
      <c r="L381" s="78"/>
      <c r="M381" s="70"/>
      <c r="N381" s="70"/>
      <c r="O381" s="70"/>
    </row>
    <row r="382" spans="12:15">
      <c r="L382" s="78"/>
      <c r="M382" s="70"/>
      <c r="N382" s="70"/>
      <c r="O382" s="70"/>
    </row>
    <row r="383" spans="12:15">
      <c r="L383" s="78"/>
      <c r="M383" s="70"/>
      <c r="N383" s="70"/>
      <c r="O383" s="70"/>
    </row>
    <row r="384" spans="12:15">
      <c r="L384" s="78"/>
      <c r="M384" s="70"/>
      <c r="N384" s="70"/>
      <c r="O384" s="70"/>
    </row>
    <row r="385" spans="12:15">
      <c r="L385" s="78"/>
      <c r="M385" s="70"/>
      <c r="N385" s="70"/>
      <c r="O385" s="70"/>
    </row>
    <row r="386" spans="12:15">
      <c r="L386" s="78"/>
      <c r="M386" s="70"/>
      <c r="N386" s="70"/>
      <c r="O386" s="70"/>
    </row>
    <row r="387" spans="12:15">
      <c r="L387" s="78"/>
      <c r="M387" s="70"/>
      <c r="N387" s="70"/>
      <c r="O387" s="70"/>
    </row>
    <row r="388" spans="12:15">
      <c r="L388" s="78"/>
      <c r="M388" s="70"/>
      <c r="N388" s="70"/>
      <c r="O388" s="70"/>
    </row>
    <row r="389" spans="12:15">
      <c r="L389" s="78"/>
      <c r="M389" s="70"/>
      <c r="N389" s="70"/>
      <c r="O389" s="70"/>
    </row>
    <row r="390" spans="12:15">
      <c r="L390" s="78"/>
      <c r="M390" s="70"/>
      <c r="N390" s="70"/>
      <c r="O390" s="70"/>
    </row>
    <row r="391" spans="12:15">
      <c r="L391" s="78"/>
      <c r="M391" s="70"/>
      <c r="N391" s="70"/>
      <c r="O391" s="70"/>
    </row>
    <row r="392" spans="12:15">
      <c r="L392" s="78"/>
      <c r="M392" s="70"/>
      <c r="N392" s="70"/>
      <c r="O392" s="70"/>
    </row>
    <row r="393" spans="12:15">
      <c r="L393" s="78"/>
      <c r="M393" s="70"/>
      <c r="N393" s="70"/>
      <c r="O393" s="70"/>
    </row>
    <row r="394" spans="12:15">
      <c r="L394" s="78"/>
      <c r="M394" s="70"/>
      <c r="N394" s="70"/>
      <c r="O394" s="70"/>
    </row>
    <row r="395" spans="12:15">
      <c r="L395" s="78"/>
      <c r="M395" s="70"/>
      <c r="N395" s="70"/>
      <c r="O395" s="70"/>
    </row>
    <row r="396" spans="12:15">
      <c r="L396" s="78"/>
      <c r="M396" s="70"/>
      <c r="N396" s="70"/>
      <c r="O396" s="70"/>
    </row>
    <row r="397" spans="12:15">
      <c r="L397" s="78"/>
      <c r="M397" s="70"/>
      <c r="N397" s="70"/>
      <c r="O397" s="70"/>
    </row>
    <row r="398" spans="12:15">
      <c r="L398" s="78"/>
      <c r="M398" s="70"/>
      <c r="N398" s="70"/>
      <c r="O398" s="70"/>
    </row>
    <row r="399" spans="12:15">
      <c r="L399" s="78"/>
      <c r="M399" s="70"/>
      <c r="N399" s="70"/>
      <c r="O399" s="70"/>
    </row>
    <row r="400" spans="12:15">
      <c r="L400" s="78"/>
      <c r="M400" s="70"/>
      <c r="N400" s="70"/>
      <c r="O400" s="70"/>
    </row>
    <row r="401" spans="12:15">
      <c r="L401" s="78"/>
      <c r="M401" s="70"/>
      <c r="N401" s="70"/>
      <c r="O401" s="70"/>
    </row>
    <row r="402" spans="12:15">
      <c r="L402" s="78"/>
      <c r="M402" s="70"/>
      <c r="N402" s="70"/>
      <c r="O402" s="70"/>
    </row>
    <row r="403" spans="12:15">
      <c r="L403" s="78"/>
      <c r="M403" s="70"/>
      <c r="N403" s="70"/>
      <c r="O403" s="70"/>
    </row>
    <row r="404" spans="12:15">
      <c r="L404" s="78"/>
      <c r="M404" s="70"/>
      <c r="N404" s="70"/>
      <c r="O404" s="70"/>
    </row>
    <row r="405" spans="12:15">
      <c r="L405" s="78"/>
      <c r="M405" s="70"/>
      <c r="N405" s="70"/>
      <c r="O405" s="70"/>
    </row>
    <row r="406" spans="12:15">
      <c r="L406" s="78"/>
      <c r="M406" s="70"/>
      <c r="N406" s="70"/>
      <c r="O406" s="70"/>
    </row>
    <row r="407" spans="12:15">
      <c r="L407" s="78"/>
      <c r="M407" s="70"/>
      <c r="N407" s="70"/>
      <c r="O407" s="70"/>
    </row>
    <row r="408" spans="12:15">
      <c r="L408" s="78"/>
      <c r="M408" s="70"/>
      <c r="N408" s="70"/>
      <c r="O408" s="70"/>
    </row>
    <row r="409" spans="12:15">
      <c r="L409" s="78"/>
      <c r="M409" s="70"/>
      <c r="N409" s="70"/>
      <c r="O409" s="70"/>
    </row>
    <row r="410" spans="12:15">
      <c r="L410" s="78"/>
      <c r="M410" s="70"/>
      <c r="N410" s="70"/>
      <c r="O410" s="70"/>
    </row>
    <row r="411" spans="12:15">
      <c r="L411" s="78"/>
      <c r="M411" s="70"/>
      <c r="N411" s="70"/>
      <c r="O411" s="70"/>
    </row>
    <row r="412" spans="12:15">
      <c r="L412" s="78"/>
      <c r="M412" s="70"/>
      <c r="N412" s="70"/>
      <c r="O412" s="70"/>
    </row>
    <row r="413" spans="12:15">
      <c r="L413" s="78"/>
      <c r="M413" s="70"/>
      <c r="N413" s="70"/>
      <c r="O413" s="70"/>
    </row>
    <row r="414" spans="12:15">
      <c r="L414" s="78"/>
      <c r="M414" s="70"/>
      <c r="N414" s="70"/>
      <c r="O414" s="70"/>
    </row>
    <row r="415" spans="12:15">
      <c r="L415" s="78"/>
      <c r="M415" s="70"/>
      <c r="N415" s="70"/>
      <c r="O415" s="70"/>
    </row>
    <row r="416" spans="12:15">
      <c r="L416" s="78"/>
      <c r="M416" s="70"/>
      <c r="N416" s="70"/>
      <c r="O416" s="70"/>
    </row>
    <row r="417" spans="12:15">
      <c r="L417" s="78"/>
      <c r="M417" s="70"/>
      <c r="N417" s="70"/>
      <c r="O417" s="70"/>
    </row>
    <row r="418" spans="12:15">
      <c r="L418" s="78"/>
      <c r="M418" s="70"/>
      <c r="N418" s="70"/>
      <c r="O418" s="70"/>
    </row>
    <row r="419" spans="12:15">
      <c r="L419" s="78"/>
      <c r="M419" s="70"/>
      <c r="N419" s="70"/>
      <c r="O419" s="70"/>
    </row>
    <row r="420" spans="12:15">
      <c r="L420" s="78"/>
      <c r="M420" s="70"/>
      <c r="N420" s="70"/>
      <c r="O420" s="70"/>
    </row>
    <row r="421" spans="12:15">
      <c r="L421" s="78"/>
      <c r="M421" s="70"/>
      <c r="N421" s="70"/>
      <c r="O421" s="70"/>
    </row>
    <row r="422" spans="12:15">
      <c r="L422" s="78"/>
      <c r="M422" s="70"/>
      <c r="N422" s="70"/>
      <c r="O422" s="70"/>
    </row>
    <row r="423" spans="12:15">
      <c r="L423" s="78"/>
      <c r="M423" s="70"/>
      <c r="N423" s="70"/>
      <c r="O423" s="70"/>
    </row>
    <row r="424" spans="12:15">
      <c r="L424" s="78"/>
      <c r="M424" s="70"/>
      <c r="N424" s="70"/>
      <c r="O424" s="70"/>
    </row>
    <row r="425" spans="12:15">
      <c r="L425" s="78"/>
      <c r="M425" s="70"/>
      <c r="N425" s="70"/>
      <c r="O425" s="70"/>
    </row>
    <row r="426" spans="12:15">
      <c r="L426" s="78"/>
      <c r="M426" s="70"/>
      <c r="N426" s="70"/>
      <c r="O426" s="70"/>
    </row>
    <row r="427" spans="12:15">
      <c r="L427" s="78"/>
      <c r="M427" s="70"/>
      <c r="N427" s="70"/>
      <c r="O427" s="70"/>
    </row>
    <row r="428" spans="12:15">
      <c r="L428" s="78"/>
      <c r="M428" s="70"/>
      <c r="N428" s="70"/>
      <c r="O428" s="70"/>
    </row>
    <row r="429" spans="12:15">
      <c r="L429" s="78"/>
      <c r="M429" s="70"/>
      <c r="N429" s="70"/>
      <c r="O429" s="70"/>
    </row>
    <row r="430" spans="12:15">
      <c r="L430" s="78"/>
      <c r="M430" s="70"/>
      <c r="N430" s="70"/>
      <c r="O430" s="70"/>
    </row>
    <row r="431" spans="12:15">
      <c r="L431" s="78"/>
      <c r="M431" s="70"/>
      <c r="N431" s="70"/>
      <c r="O431" s="70"/>
    </row>
    <row r="432" spans="12:15">
      <c r="L432" s="78"/>
      <c r="M432" s="70"/>
      <c r="N432" s="70"/>
      <c r="O432" s="70"/>
    </row>
    <row r="433" spans="12:15">
      <c r="L433" s="78"/>
      <c r="M433" s="70"/>
      <c r="N433" s="70"/>
      <c r="O433" s="70"/>
    </row>
    <row r="434" spans="12:15">
      <c r="L434" s="78"/>
      <c r="M434" s="70"/>
      <c r="N434" s="70"/>
      <c r="O434" s="70"/>
    </row>
    <row r="435" spans="12:15">
      <c r="L435" s="78"/>
      <c r="M435" s="70"/>
      <c r="N435" s="70"/>
      <c r="O435" s="70"/>
    </row>
    <row r="436" spans="12:15">
      <c r="L436" s="78"/>
      <c r="M436" s="70"/>
      <c r="N436" s="70"/>
      <c r="O436" s="70"/>
    </row>
    <row r="437" spans="12:15">
      <c r="L437" s="78"/>
      <c r="M437" s="70"/>
      <c r="N437" s="70"/>
      <c r="O437" s="70"/>
    </row>
    <row r="438" spans="12:15">
      <c r="L438" s="78"/>
      <c r="M438" s="70"/>
      <c r="N438" s="70"/>
      <c r="O438" s="70"/>
    </row>
    <row r="439" spans="12:15">
      <c r="L439" s="78"/>
      <c r="M439" s="70"/>
      <c r="N439" s="70"/>
      <c r="O439" s="70"/>
    </row>
    <row r="440" spans="12:15">
      <c r="L440" s="78"/>
      <c r="M440" s="70"/>
      <c r="N440" s="70"/>
      <c r="O440" s="70"/>
    </row>
    <row r="441" spans="12:15">
      <c r="L441" s="78"/>
      <c r="M441" s="70"/>
      <c r="N441" s="70"/>
      <c r="O441" s="70"/>
    </row>
    <row r="442" spans="12:15">
      <c r="L442" s="78"/>
      <c r="M442" s="70"/>
      <c r="N442" s="70"/>
      <c r="O442" s="70"/>
    </row>
    <row r="443" spans="12:15">
      <c r="L443" s="78"/>
      <c r="M443" s="70"/>
      <c r="N443" s="70"/>
      <c r="O443" s="70"/>
    </row>
    <row r="444" spans="12:15">
      <c r="L444" s="78"/>
      <c r="M444" s="70"/>
      <c r="N444" s="70"/>
      <c r="O444" s="70"/>
    </row>
    <row r="445" spans="12:15">
      <c r="L445" s="78"/>
      <c r="M445" s="70"/>
      <c r="N445" s="70"/>
      <c r="O445" s="70"/>
    </row>
    <row r="446" spans="12:15">
      <c r="L446" s="78"/>
      <c r="M446" s="70"/>
      <c r="N446" s="70"/>
      <c r="O446" s="70"/>
    </row>
    <row r="447" spans="12:15">
      <c r="L447" s="78"/>
      <c r="M447" s="70"/>
      <c r="N447" s="70"/>
      <c r="O447" s="70"/>
    </row>
    <row r="448" spans="12:15">
      <c r="L448" s="78"/>
      <c r="M448" s="70"/>
      <c r="N448" s="70"/>
      <c r="O448" s="70"/>
    </row>
    <row r="449" spans="12:15">
      <c r="L449" s="78"/>
      <c r="M449" s="70"/>
      <c r="N449" s="70"/>
      <c r="O449" s="70"/>
    </row>
    <row r="450" spans="12:15">
      <c r="L450" s="78"/>
      <c r="M450" s="70"/>
      <c r="N450" s="70"/>
      <c r="O450" s="70"/>
    </row>
    <row r="451" spans="12:15">
      <c r="L451" s="78"/>
      <c r="M451" s="70"/>
      <c r="N451" s="70"/>
      <c r="O451" s="70"/>
    </row>
    <row r="452" spans="12:15">
      <c r="L452" s="78"/>
      <c r="M452" s="70"/>
      <c r="N452" s="70"/>
      <c r="O452" s="70"/>
    </row>
    <row r="453" spans="12:15">
      <c r="L453" s="78"/>
      <c r="M453" s="70"/>
      <c r="N453" s="70"/>
      <c r="O453" s="70"/>
    </row>
    <row r="454" spans="12:15">
      <c r="L454" s="78"/>
      <c r="M454" s="70"/>
      <c r="N454" s="70"/>
      <c r="O454" s="70"/>
    </row>
    <row r="455" spans="12:15">
      <c r="L455" s="78"/>
      <c r="M455" s="70"/>
      <c r="N455" s="70"/>
      <c r="O455" s="70"/>
    </row>
    <row r="456" spans="12:15">
      <c r="L456" s="78"/>
      <c r="M456" s="70"/>
      <c r="N456" s="70"/>
      <c r="O456" s="70"/>
    </row>
    <row r="457" spans="12:15">
      <c r="L457" s="78"/>
      <c r="M457" s="70"/>
      <c r="N457" s="70"/>
      <c r="O457" s="70"/>
    </row>
    <row r="458" spans="12:15">
      <c r="L458" s="78"/>
      <c r="M458" s="70"/>
      <c r="N458" s="70"/>
      <c r="O458" s="70"/>
    </row>
    <row r="459" spans="12:15">
      <c r="L459" s="78"/>
      <c r="M459" s="70"/>
      <c r="N459" s="70"/>
      <c r="O459" s="70"/>
    </row>
    <row r="460" spans="12:15">
      <c r="L460" s="78"/>
      <c r="M460" s="70"/>
      <c r="N460" s="70"/>
      <c r="O460" s="70"/>
    </row>
    <row r="461" spans="12:15">
      <c r="L461" s="78"/>
      <c r="M461" s="70"/>
      <c r="N461" s="70"/>
      <c r="O461" s="70"/>
    </row>
    <row r="462" spans="12:15">
      <c r="L462" s="78"/>
      <c r="M462" s="70"/>
      <c r="N462" s="70"/>
      <c r="O462" s="70"/>
    </row>
    <row r="463" spans="12:15">
      <c r="L463" s="78"/>
      <c r="M463" s="70"/>
      <c r="N463" s="70"/>
      <c r="O463" s="70"/>
    </row>
    <row r="464" spans="12:15">
      <c r="L464" s="78"/>
      <c r="M464" s="70"/>
      <c r="N464" s="70"/>
      <c r="O464" s="70"/>
    </row>
    <row r="465" spans="12:15">
      <c r="L465" s="78"/>
      <c r="M465" s="70"/>
      <c r="N465" s="70"/>
      <c r="O465" s="70"/>
    </row>
    <row r="466" spans="12:15">
      <c r="L466" s="78"/>
      <c r="M466" s="70"/>
      <c r="N466" s="70"/>
      <c r="O466" s="70"/>
    </row>
    <row r="467" spans="12:15">
      <c r="L467" s="78"/>
      <c r="M467" s="70"/>
      <c r="N467" s="70"/>
      <c r="O467" s="70"/>
    </row>
    <row r="468" spans="12:15">
      <c r="L468" s="78"/>
      <c r="M468" s="70"/>
      <c r="N468" s="70"/>
      <c r="O468" s="70"/>
    </row>
    <row r="469" spans="12:15">
      <c r="L469" s="78"/>
      <c r="M469" s="70"/>
      <c r="N469" s="70"/>
      <c r="O469" s="70"/>
    </row>
    <row r="470" spans="12:15">
      <c r="L470" s="78"/>
      <c r="M470" s="70"/>
      <c r="N470" s="70"/>
      <c r="O470" s="70"/>
    </row>
    <row r="471" spans="12:15">
      <c r="L471" s="78"/>
      <c r="M471" s="70"/>
      <c r="N471" s="70"/>
      <c r="O471" s="70"/>
    </row>
    <row r="472" spans="12:15">
      <c r="L472" s="78"/>
      <c r="M472" s="70"/>
      <c r="N472" s="70"/>
      <c r="O472" s="70"/>
    </row>
    <row r="473" spans="12:15">
      <c r="L473" s="78"/>
      <c r="M473" s="70"/>
      <c r="N473" s="70"/>
      <c r="O473" s="70"/>
    </row>
    <row r="474" spans="12:15">
      <c r="L474" s="78"/>
      <c r="M474" s="70"/>
      <c r="N474" s="70"/>
      <c r="O474" s="70"/>
    </row>
    <row r="475" spans="12:15">
      <c r="L475" s="78"/>
      <c r="M475" s="70"/>
      <c r="N475" s="70"/>
      <c r="O475" s="70"/>
    </row>
    <row r="476" spans="12:15">
      <c r="L476" s="78"/>
      <c r="M476" s="70"/>
      <c r="N476" s="70"/>
      <c r="O476" s="70"/>
    </row>
    <row r="477" spans="12:15">
      <c r="L477" s="78"/>
      <c r="M477" s="70"/>
      <c r="N477" s="70"/>
      <c r="O477" s="70"/>
    </row>
    <row r="478" spans="12:15">
      <c r="L478" s="78"/>
      <c r="M478" s="70"/>
      <c r="N478" s="70"/>
      <c r="O478" s="70"/>
    </row>
    <row r="479" spans="12:15">
      <c r="L479" s="78"/>
      <c r="M479" s="70"/>
      <c r="N479" s="70"/>
      <c r="O479" s="70"/>
    </row>
    <row r="480" spans="12:15">
      <c r="L480" s="78"/>
      <c r="M480" s="70"/>
      <c r="N480" s="70"/>
      <c r="O480" s="70"/>
    </row>
    <row r="481" spans="12:15">
      <c r="L481" s="78"/>
      <c r="M481" s="70"/>
      <c r="N481" s="70"/>
      <c r="O481" s="70"/>
    </row>
    <row r="482" spans="12:15">
      <c r="L482" s="78"/>
      <c r="M482" s="70"/>
      <c r="N482" s="70"/>
      <c r="O482" s="70"/>
    </row>
    <row r="483" spans="12:15">
      <c r="L483" s="78"/>
      <c r="M483" s="70"/>
      <c r="N483" s="70"/>
      <c r="O483" s="70"/>
    </row>
    <row r="484" spans="12:15">
      <c r="L484" s="78"/>
      <c r="M484" s="70"/>
      <c r="N484" s="70"/>
      <c r="O484" s="70"/>
    </row>
    <row r="485" spans="12:15">
      <c r="L485" s="78"/>
      <c r="M485" s="70"/>
      <c r="N485" s="70"/>
      <c r="O485" s="70"/>
    </row>
    <row r="486" spans="12:15">
      <c r="L486" s="78"/>
      <c r="M486" s="70"/>
      <c r="N486" s="70"/>
      <c r="O486" s="70"/>
    </row>
    <row r="487" spans="12:15">
      <c r="L487" s="78"/>
      <c r="M487" s="70"/>
      <c r="N487" s="70"/>
      <c r="O487" s="70"/>
    </row>
    <row r="488" spans="12:15">
      <c r="L488" s="78"/>
      <c r="M488" s="70"/>
      <c r="N488" s="70"/>
      <c r="O488" s="70"/>
    </row>
    <row r="489" spans="12:15">
      <c r="L489" s="78"/>
      <c r="M489" s="70"/>
      <c r="N489" s="70"/>
      <c r="O489" s="70"/>
    </row>
    <row r="490" spans="12:15">
      <c r="L490" s="78"/>
      <c r="M490" s="70"/>
      <c r="N490" s="70"/>
      <c r="O490" s="70"/>
    </row>
    <row r="491" spans="12:15">
      <c r="L491" s="78"/>
      <c r="M491" s="70"/>
      <c r="N491" s="70"/>
      <c r="O491" s="70"/>
    </row>
    <row r="492" spans="12:15">
      <c r="L492" s="78"/>
      <c r="M492" s="70"/>
      <c r="N492" s="70"/>
      <c r="O492" s="70"/>
    </row>
    <row r="493" spans="12:15">
      <c r="L493" s="78"/>
      <c r="M493" s="70"/>
      <c r="N493" s="70"/>
      <c r="O493" s="70"/>
    </row>
    <row r="494" spans="12:15">
      <c r="L494" s="78"/>
      <c r="M494" s="70"/>
      <c r="N494" s="70"/>
      <c r="O494" s="70"/>
    </row>
    <row r="495" spans="12:15">
      <c r="L495" s="78"/>
      <c r="M495" s="70"/>
      <c r="N495" s="70"/>
      <c r="O495" s="70"/>
    </row>
    <row r="496" spans="12:15">
      <c r="L496" s="78"/>
      <c r="M496" s="70"/>
      <c r="N496" s="70"/>
      <c r="O496" s="70"/>
    </row>
    <row r="497" spans="12:15">
      <c r="L497" s="78"/>
      <c r="M497" s="70"/>
      <c r="N497" s="70"/>
      <c r="O497" s="70"/>
    </row>
    <row r="498" spans="12:15">
      <c r="L498" s="78"/>
      <c r="M498" s="70"/>
      <c r="N498" s="70"/>
      <c r="O498" s="70"/>
    </row>
    <row r="499" spans="12:15">
      <c r="L499" s="78"/>
      <c r="M499" s="70"/>
      <c r="N499" s="70"/>
      <c r="O499" s="70"/>
    </row>
    <row r="500" spans="12:15">
      <c r="L500" s="78"/>
      <c r="M500" s="70"/>
      <c r="N500" s="70"/>
      <c r="O500" s="70"/>
    </row>
    <row r="501" spans="12:15">
      <c r="L501" s="78"/>
      <c r="M501" s="70"/>
      <c r="N501" s="70"/>
      <c r="O501" s="70"/>
    </row>
    <row r="502" spans="12:15">
      <c r="L502" s="78"/>
      <c r="M502" s="70"/>
      <c r="N502" s="70"/>
      <c r="O502" s="70"/>
    </row>
    <row r="503" spans="12:15">
      <c r="L503" s="78"/>
      <c r="M503" s="70"/>
      <c r="N503" s="70"/>
      <c r="O503" s="70"/>
    </row>
    <row r="504" spans="12:15">
      <c r="L504" s="78"/>
      <c r="M504" s="70"/>
      <c r="N504" s="70"/>
      <c r="O504" s="70"/>
    </row>
    <row r="505" spans="12:15">
      <c r="L505" s="78"/>
      <c r="M505" s="70"/>
      <c r="N505" s="70"/>
      <c r="O505" s="70"/>
    </row>
    <row r="506" spans="12:15">
      <c r="L506" s="78"/>
      <c r="M506" s="70"/>
      <c r="N506" s="70"/>
      <c r="O506" s="70"/>
    </row>
    <row r="507" spans="12:15">
      <c r="L507" s="78"/>
      <c r="M507" s="70"/>
      <c r="N507" s="70"/>
      <c r="O507" s="70"/>
    </row>
    <row r="508" spans="12:15">
      <c r="L508" s="78"/>
      <c r="M508" s="70"/>
      <c r="N508" s="70"/>
      <c r="O508" s="70"/>
    </row>
    <row r="509" spans="12:15">
      <c r="L509" s="78"/>
      <c r="M509" s="70"/>
      <c r="N509" s="70"/>
      <c r="O509" s="70"/>
    </row>
    <row r="510" spans="12:15">
      <c r="L510" s="78"/>
      <c r="M510" s="70"/>
      <c r="N510" s="70"/>
      <c r="O510" s="70"/>
    </row>
    <row r="511" spans="12:15">
      <c r="L511" s="78"/>
      <c r="M511" s="70"/>
      <c r="N511" s="70"/>
      <c r="O511" s="70"/>
    </row>
    <row r="512" spans="12:15">
      <c r="L512" s="78"/>
      <c r="M512" s="70"/>
      <c r="N512" s="70"/>
      <c r="O512" s="70"/>
    </row>
    <row r="513" spans="12:15">
      <c r="L513" s="78"/>
      <c r="M513" s="70"/>
      <c r="N513" s="70"/>
      <c r="O513" s="70"/>
    </row>
    <row r="514" spans="12:15">
      <c r="L514" s="78"/>
      <c r="M514" s="70"/>
      <c r="N514" s="70"/>
      <c r="O514" s="70"/>
    </row>
    <row r="515" spans="12:15">
      <c r="L515" s="78"/>
      <c r="M515" s="70"/>
      <c r="N515" s="70"/>
      <c r="O515" s="70"/>
    </row>
    <row r="516" spans="12:15">
      <c r="L516" s="78"/>
      <c r="M516" s="70"/>
      <c r="N516" s="70"/>
      <c r="O516" s="70"/>
    </row>
    <row r="517" spans="12:15">
      <c r="L517" s="78"/>
      <c r="M517" s="70"/>
      <c r="N517" s="70"/>
      <c r="O517" s="70"/>
    </row>
    <row r="518" spans="12:15">
      <c r="L518" s="78"/>
      <c r="M518" s="70"/>
      <c r="N518" s="70"/>
      <c r="O518" s="70"/>
    </row>
    <row r="519" spans="12:15">
      <c r="L519" s="78"/>
      <c r="M519" s="70"/>
      <c r="N519" s="70"/>
      <c r="O519" s="70"/>
    </row>
    <row r="520" spans="12:15">
      <c r="L520" s="78"/>
      <c r="M520" s="70"/>
      <c r="N520" s="70"/>
      <c r="O520" s="70"/>
    </row>
    <row r="521" spans="12:15">
      <c r="L521" s="78"/>
      <c r="M521" s="70"/>
      <c r="N521" s="70"/>
      <c r="O521" s="70"/>
    </row>
    <row r="522" spans="12:15">
      <c r="L522" s="78"/>
      <c r="M522" s="70"/>
      <c r="N522" s="70"/>
      <c r="O522" s="70"/>
    </row>
    <row r="523" spans="12:15">
      <c r="L523" s="78"/>
      <c r="M523" s="70"/>
      <c r="N523" s="70"/>
      <c r="O523" s="70"/>
    </row>
    <row r="524" spans="12:15">
      <c r="L524" s="78"/>
      <c r="M524" s="70"/>
      <c r="N524" s="70"/>
      <c r="O524" s="70"/>
    </row>
    <row r="525" spans="12:15">
      <c r="L525" s="78"/>
      <c r="M525" s="70"/>
      <c r="N525" s="70"/>
      <c r="O525" s="70"/>
    </row>
    <row r="526" spans="12:15">
      <c r="L526" s="78"/>
      <c r="M526" s="70"/>
      <c r="N526" s="70"/>
      <c r="O526" s="70"/>
    </row>
    <row r="527" spans="12:15">
      <c r="L527" s="78"/>
      <c r="M527" s="70"/>
      <c r="N527" s="70"/>
      <c r="O527" s="70"/>
    </row>
    <row r="528" spans="12:15">
      <c r="L528" s="78"/>
      <c r="M528" s="70"/>
      <c r="N528" s="70"/>
      <c r="O528" s="70"/>
    </row>
    <row r="529" spans="12:15">
      <c r="L529" s="78"/>
      <c r="M529" s="70"/>
      <c r="N529" s="70"/>
      <c r="O529" s="70"/>
    </row>
    <row r="530" spans="12:15">
      <c r="L530" s="78"/>
      <c r="M530" s="70"/>
      <c r="N530" s="70"/>
      <c r="O530" s="70"/>
    </row>
    <row r="531" spans="12:15">
      <c r="L531" s="78"/>
      <c r="M531" s="70"/>
      <c r="N531" s="70"/>
      <c r="O531" s="70"/>
    </row>
    <row r="532" spans="12:15">
      <c r="L532" s="78"/>
      <c r="M532" s="70"/>
      <c r="N532" s="70"/>
      <c r="O532" s="70"/>
    </row>
    <row r="533" spans="12:15">
      <c r="L533" s="78"/>
      <c r="M533" s="70"/>
      <c r="N533" s="70"/>
      <c r="O533" s="70"/>
    </row>
    <row r="534" spans="12:15">
      <c r="L534" s="78"/>
      <c r="M534" s="70"/>
      <c r="N534" s="70"/>
      <c r="O534" s="70"/>
    </row>
    <row r="535" spans="12:15">
      <c r="L535" s="78"/>
      <c r="M535" s="70"/>
      <c r="N535" s="70"/>
      <c r="O535" s="70"/>
    </row>
    <row r="536" spans="12:15">
      <c r="L536" s="78"/>
      <c r="M536" s="70"/>
      <c r="N536" s="70"/>
      <c r="O536" s="70"/>
    </row>
    <row r="537" spans="12:15">
      <c r="L537" s="78"/>
      <c r="M537" s="70"/>
      <c r="N537" s="70"/>
      <c r="O537" s="70"/>
    </row>
    <row r="538" spans="12:15">
      <c r="L538" s="78"/>
      <c r="M538" s="70"/>
      <c r="N538" s="70"/>
      <c r="O538" s="70"/>
    </row>
    <row r="539" spans="12:15">
      <c r="L539" s="78"/>
      <c r="M539" s="70"/>
      <c r="N539" s="70"/>
      <c r="O539" s="70"/>
    </row>
    <row r="540" spans="12:15">
      <c r="L540" s="78"/>
      <c r="M540" s="70"/>
      <c r="N540" s="70"/>
      <c r="O540" s="70"/>
    </row>
    <row r="541" spans="12:15">
      <c r="L541" s="78"/>
      <c r="M541" s="70"/>
      <c r="N541" s="70"/>
      <c r="O541" s="70"/>
    </row>
    <row r="542" spans="12:15">
      <c r="L542" s="78"/>
      <c r="M542" s="70"/>
      <c r="N542" s="70"/>
      <c r="O542" s="70"/>
    </row>
    <row r="543" spans="12:15">
      <c r="L543" s="78"/>
      <c r="M543" s="70"/>
      <c r="N543" s="70"/>
      <c r="O543" s="70"/>
    </row>
    <row r="544" spans="12:15">
      <c r="L544" s="78"/>
      <c r="M544" s="70"/>
      <c r="N544" s="70"/>
      <c r="O544" s="70"/>
    </row>
    <row r="545" spans="12:15">
      <c r="L545" s="78"/>
      <c r="M545" s="70"/>
      <c r="N545" s="70"/>
      <c r="O545" s="70"/>
    </row>
    <row r="546" spans="12:15">
      <c r="L546" s="78"/>
      <c r="M546" s="70"/>
      <c r="N546" s="70"/>
      <c r="O546" s="70"/>
    </row>
    <row r="547" spans="12:15">
      <c r="L547" s="78"/>
      <c r="M547" s="70"/>
      <c r="N547" s="70"/>
      <c r="O547" s="70"/>
    </row>
    <row r="548" spans="12:15">
      <c r="L548" s="78"/>
      <c r="M548" s="70"/>
      <c r="N548" s="70"/>
      <c r="O548" s="70"/>
    </row>
    <row r="549" spans="12:15">
      <c r="L549" s="78"/>
      <c r="M549" s="70"/>
      <c r="N549" s="70"/>
      <c r="O549" s="70"/>
    </row>
    <row r="550" spans="12:15">
      <c r="L550" s="78"/>
      <c r="M550" s="70"/>
      <c r="N550" s="70"/>
      <c r="O550" s="70"/>
    </row>
    <row r="551" spans="12:15">
      <c r="L551" s="78"/>
      <c r="M551" s="70"/>
      <c r="N551" s="70"/>
      <c r="O551" s="70"/>
    </row>
    <row r="552" spans="12:15">
      <c r="L552" s="78"/>
      <c r="M552" s="70"/>
      <c r="N552" s="70"/>
      <c r="O552" s="70"/>
    </row>
    <row r="553" spans="12:15">
      <c r="L553" s="78"/>
      <c r="M553" s="70"/>
      <c r="N553" s="70"/>
      <c r="O553" s="70"/>
    </row>
    <row r="554" spans="12:15">
      <c r="L554" s="78"/>
      <c r="M554" s="70"/>
      <c r="N554" s="70"/>
      <c r="O554" s="70"/>
    </row>
    <row r="555" spans="12:15">
      <c r="L555" s="78"/>
      <c r="M555" s="70"/>
      <c r="N555" s="70"/>
      <c r="O555" s="70"/>
    </row>
    <row r="556" spans="12:15">
      <c r="L556" s="78"/>
      <c r="M556" s="70"/>
      <c r="N556" s="70"/>
      <c r="O556" s="70"/>
    </row>
    <row r="557" spans="12:15">
      <c r="L557" s="78"/>
      <c r="M557" s="70"/>
      <c r="N557" s="70"/>
      <c r="O557" s="70"/>
    </row>
    <row r="558" spans="12:15">
      <c r="L558" s="78"/>
      <c r="M558" s="70"/>
      <c r="N558" s="70"/>
      <c r="O558" s="70"/>
    </row>
    <row r="559" spans="12:15">
      <c r="L559" s="78"/>
      <c r="M559" s="70"/>
      <c r="N559" s="70"/>
      <c r="O559" s="70"/>
    </row>
    <row r="560" spans="12:15">
      <c r="L560" s="78"/>
      <c r="M560" s="70"/>
      <c r="N560" s="70"/>
      <c r="O560" s="70"/>
    </row>
    <row r="561" spans="12:15">
      <c r="L561" s="78"/>
      <c r="M561" s="70"/>
      <c r="N561" s="70"/>
      <c r="O561" s="70"/>
    </row>
    <row r="562" spans="12:15">
      <c r="L562" s="78"/>
      <c r="M562" s="70"/>
      <c r="N562" s="70"/>
      <c r="O562" s="70"/>
    </row>
    <row r="563" spans="12:15">
      <c r="L563" s="78"/>
      <c r="M563" s="70"/>
      <c r="N563" s="70"/>
      <c r="O563" s="70"/>
    </row>
    <row r="564" spans="12:15">
      <c r="L564" s="78"/>
      <c r="M564" s="70"/>
      <c r="N564" s="70"/>
      <c r="O564" s="70"/>
    </row>
    <row r="565" spans="12:15">
      <c r="L565" s="78"/>
      <c r="M565" s="70"/>
      <c r="N565" s="70"/>
      <c r="O565" s="70"/>
    </row>
    <row r="566" spans="12:15">
      <c r="L566" s="78"/>
      <c r="M566" s="70"/>
      <c r="N566" s="70"/>
      <c r="O566" s="70"/>
    </row>
    <row r="567" spans="12:15">
      <c r="L567" s="78"/>
      <c r="M567" s="70"/>
      <c r="N567" s="70"/>
      <c r="O567" s="70"/>
    </row>
    <row r="568" spans="12:15">
      <c r="L568" s="78"/>
      <c r="M568" s="70"/>
      <c r="N568" s="70"/>
      <c r="O568" s="70"/>
    </row>
    <row r="569" spans="12:15">
      <c r="L569" s="78"/>
      <c r="M569" s="70"/>
      <c r="N569" s="70"/>
      <c r="O569" s="70"/>
    </row>
    <row r="570" spans="12:15">
      <c r="L570" s="78"/>
      <c r="M570" s="70"/>
      <c r="N570" s="70"/>
      <c r="O570" s="70"/>
    </row>
    <row r="571" spans="12:15">
      <c r="L571" s="78"/>
      <c r="M571" s="70"/>
      <c r="N571" s="70"/>
      <c r="O571" s="70"/>
    </row>
    <row r="572" spans="12:15">
      <c r="L572" s="78"/>
      <c r="M572" s="70"/>
      <c r="N572" s="70"/>
      <c r="O572" s="70"/>
    </row>
    <row r="573" spans="12:15">
      <c r="L573" s="78"/>
      <c r="M573" s="70"/>
      <c r="N573" s="70"/>
      <c r="O573" s="70"/>
    </row>
    <row r="574" spans="12:15">
      <c r="L574" s="78"/>
      <c r="M574" s="70"/>
      <c r="N574" s="70"/>
      <c r="O574" s="70"/>
    </row>
    <row r="575" spans="12:15">
      <c r="L575" s="78"/>
      <c r="M575" s="70"/>
      <c r="N575" s="70"/>
      <c r="O575" s="70"/>
    </row>
    <row r="576" spans="12:15">
      <c r="L576" s="78"/>
      <c r="M576" s="70"/>
      <c r="N576" s="70"/>
      <c r="O576" s="70"/>
    </row>
    <row r="577" spans="12:15">
      <c r="L577" s="78"/>
      <c r="M577" s="70"/>
      <c r="N577" s="70"/>
      <c r="O577" s="70"/>
    </row>
    <row r="578" spans="12:15">
      <c r="L578" s="78"/>
      <c r="M578" s="70"/>
      <c r="N578" s="70"/>
      <c r="O578" s="70"/>
    </row>
    <row r="579" spans="12:15">
      <c r="L579" s="78"/>
      <c r="M579" s="70"/>
      <c r="N579" s="70"/>
      <c r="O579" s="70"/>
    </row>
    <row r="580" spans="12:15">
      <c r="L580" s="78"/>
      <c r="M580" s="70"/>
      <c r="N580" s="70"/>
      <c r="O580" s="70"/>
    </row>
    <row r="581" spans="12:15">
      <c r="L581" s="78"/>
      <c r="M581" s="70"/>
      <c r="N581" s="70"/>
      <c r="O581" s="70"/>
    </row>
    <row r="582" spans="12:15">
      <c r="L582" s="78"/>
      <c r="M582" s="70"/>
      <c r="N582" s="70"/>
      <c r="O582" s="70"/>
    </row>
    <row r="583" spans="12:15">
      <c r="L583" s="78"/>
      <c r="M583" s="70"/>
      <c r="N583" s="70"/>
      <c r="O583" s="70"/>
    </row>
    <row r="584" spans="12:15">
      <c r="L584" s="78"/>
      <c r="M584" s="70"/>
      <c r="N584" s="70"/>
      <c r="O584" s="70"/>
    </row>
    <row r="585" spans="12:15">
      <c r="L585" s="78"/>
      <c r="M585" s="70"/>
      <c r="N585" s="70"/>
      <c r="O585" s="70"/>
    </row>
    <row r="586" spans="12:15">
      <c r="L586" s="78"/>
      <c r="M586" s="70"/>
      <c r="N586" s="70"/>
      <c r="O586" s="70"/>
    </row>
    <row r="587" spans="12:15">
      <c r="L587" s="78"/>
      <c r="M587" s="70"/>
      <c r="N587" s="70"/>
      <c r="O587" s="70"/>
    </row>
    <row r="588" spans="12:15">
      <c r="L588" s="78"/>
      <c r="M588" s="70"/>
      <c r="N588" s="70"/>
      <c r="O588" s="70"/>
    </row>
    <row r="589" spans="12:15">
      <c r="L589" s="78"/>
      <c r="M589" s="70"/>
      <c r="N589" s="70"/>
      <c r="O589" s="70"/>
    </row>
    <row r="590" spans="12:15">
      <c r="L590" s="78"/>
      <c r="M590" s="70"/>
      <c r="N590" s="70"/>
      <c r="O590" s="70"/>
    </row>
    <row r="591" spans="12:15">
      <c r="L591" s="78"/>
      <c r="M591" s="70"/>
      <c r="N591" s="70"/>
      <c r="O591" s="70"/>
    </row>
    <row r="592" spans="12:15">
      <c r="L592" s="78"/>
      <c r="M592" s="70"/>
      <c r="N592" s="70"/>
      <c r="O592" s="70"/>
    </row>
    <row r="593" spans="12:15">
      <c r="L593" s="78"/>
      <c r="M593" s="70"/>
      <c r="N593" s="70"/>
      <c r="O593" s="70"/>
    </row>
    <row r="594" spans="12:15">
      <c r="L594" s="78"/>
      <c r="M594" s="70"/>
      <c r="N594" s="70"/>
      <c r="O594" s="70"/>
    </row>
    <row r="595" spans="12:15">
      <c r="L595" s="78"/>
      <c r="M595" s="70"/>
      <c r="N595" s="70"/>
      <c r="O595" s="70"/>
    </row>
    <row r="596" spans="12:15">
      <c r="L596" s="78"/>
      <c r="M596" s="70"/>
      <c r="N596" s="70"/>
      <c r="O596" s="70"/>
    </row>
    <row r="597" spans="12:15">
      <c r="L597" s="78"/>
      <c r="M597" s="70"/>
      <c r="N597" s="70"/>
      <c r="O597" s="70"/>
    </row>
    <row r="598" spans="12:15">
      <c r="L598" s="78"/>
      <c r="M598" s="70"/>
      <c r="N598" s="70"/>
      <c r="O598" s="70"/>
    </row>
    <row r="599" spans="12:15">
      <c r="L599" s="78"/>
      <c r="M599" s="70"/>
      <c r="N599" s="70"/>
      <c r="O599" s="70"/>
    </row>
    <row r="600" spans="12:15">
      <c r="L600" s="78"/>
      <c r="M600" s="70"/>
      <c r="N600" s="70"/>
      <c r="O600" s="70"/>
    </row>
    <row r="601" spans="12:15">
      <c r="L601" s="78"/>
      <c r="M601" s="70"/>
      <c r="N601" s="70"/>
      <c r="O601" s="70"/>
    </row>
    <row r="602" spans="12:15">
      <c r="L602" s="78"/>
      <c r="M602" s="70"/>
      <c r="N602" s="70"/>
      <c r="O602" s="70"/>
    </row>
    <row r="603" spans="12:15">
      <c r="L603" s="78"/>
      <c r="M603" s="70"/>
      <c r="N603" s="70"/>
      <c r="O603" s="70"/>
    </row>
    <row r="604" spans="12:15">
      <c r="L604" s="78"/>
      <c r="M604" s="70"/>
      <c r="N604" s="70"/>
      <c r="O604" s="70"/>
    </row>
    <row r="605" spans="12:15">
      <c r="L605" s="78"/>
      <c r="M605" s="70"/>
      <c r="N605" s="70"/>
      <c r="O605" s="70"/>
    </row>
    <row r="606" spans="12:15">
      <c r="L606" s="78"/>
      <c r="M606" s="70"/>
      <c r="N606" s="70"/>
      <c r="O606" s="70"/>
    </row>
    <row r="607" spans="12:15">
      <c r="L607" s="78"/>
      <c r="M607" s="70"/>
      <c r="N607" s="70"/>
      <c r="O607" s="70"/>
    </row>
    <row r="608" spans="12:15">
      <c r="L608" s="78"/>
      <c r="M608" s="70"/>
      <c r="N608" s="70"/>
      <c r="O608" s="70"/>
    </row>
    <row r="609" spans="12:15">
      <c r="L609" s="78"/>
      <c r="M609" s="70"/>
      <c r="N609" s="70"/>
      <c r="O609" s="70"/>
    </row>
    <row r="610" spans="12:15">
      <c r="L610" s="78"/>
      <c r="M610" s="70"/>
      <c r="N610" s="70"/>
      <c r="O610" s="70"/>
    </row>
    <row r="611" spans="12:15">
      <c r="L611" s="78"/>
      <c r="M611" s="70"/>
      <c r="N611" s="70"/>
      <c r="O611" s="70"/>
    </row>
    <row r="612" spans="12:15">
      <c r="L612" s="78"/>
      <c r="M612" s="70"/>
      <c r="N612" s="70"/>
      <c r="O612" s="70"/>
    </row>
    <row r="613" spans="12:15">
      <c r="L613" s="78"/>
      <c r="M613" s="70"/>
      <c r="N613" s="70"/>
      <c r="O613" s="70"/>
    </row>
    <row r="614" spans="12:15">
      <c r="L614" s="78"/>
      <c r="M614" s="70"/>
      <c r="N614" s="70"/>
      <c r="O614" s="70"/>
    </row>
    <row r="615" spans="12:15">
      <c r="L615" s="78"/>
      <c r="M615" s="70"/>
      <c r="N615" s="70"/>
      <c r="O615" s="70"/>
    </row>
    <row r="616" spans="12:15">
      <c r="L616" s="78"/>
      <c r="M616" s="70"/>
      <c r="N616" s="70"/>
      <c r="O616" s="70"/>
    </row>
    <row r="617" spans="12:15">
      <c r="L617" s="78"/>
      <c r="M617" s="70"/>
      <c r="N617" s="70"/>
      <c r="O617" s="70"/>
    </row>
  </sheetData>
  <mergeCells count="11">
    <mergeCell ref="H5:H6"/>
    <mergeCell ref="A1:H1"/>
    <mergeCell ref="A2:H2"/>
    <mergeCell ref="A3:H3"/>
    <mergeCell ref="A4:G4"/>
    <mergeCell ref="A5:A6"/>
    <mergeCell ref="B5:B6"/>
    <mergeCell ref="C5:C6"/>
    <mergeCell ref="D5:D6"/>
    <mergeCell ref="E5:E6"/>
    <mergeCell ref="G5:G6"/>
  </mergeCells>
  <printOptions horizontalCentered="1"/>
  <pageMargins left="0.196850393700787" right="0.196850393700787" top="0.23622047244094499" bottom="0" header="0.31496062992126" footer="0.511811023622047"/>
  <pageSetup scale="62" orientation="portrait" r:id="rId1"/>
  <rowBreaks count="2" manualBreakCount="2">
    <brk id="46" max="7" man="1"/>
    <brk id="86" max="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M617"/>
  <sheetViews>
    <sheetView showGridLines="0" view="pageBreakPreview" topLeftCell="A110" zoomScaleSheetLayoutView="100" workbookViewId="0">
      <selection activeCell="G141" sqref="G141"/>
    </sheetView>
  </sheetViews>
  <sheetFormatPr defaultRowHeight="14.25"/>
  <cols>
    <col min="1" max="1" width="8" style="64" customWidth="1"/>
    <col min="2" max="2" width="75.7109375" style="64" customWidth="1"/>
    <col min="3" max="8" width="12.7109375" style="64" customWidth="1"/>
    <col min="9" max="9" width="13.7109375" style="64" customWidth="1"/>
    <col min="10" max="10" width="13.140625" style="64" customWidth="1"/>
    <col min="11" max="11" width="31" style="64" customWidth="1"/>
    <col min="12" max="12" width="15.5703125" style="64" customWidth="1"/>
    <col min="13" max="13" width="13.5703125" style="64" customWidth="1"/>
    <col min="14" max="16384" width="9.140625" style="64"/>
  </cols>
  <sheetData>
    <row r="1" spans="1:13" ht="15.75" customHeight="1">
      <c r="A1" s="357" t="s">
        <v>166</v>
      </c>
      <c r="B1" s="357"/>
      <c r="C1" s="357"/>
      <c r="D1" s="357"/>
      <c r="E1" s="357"/>
      <c r="F1" s="357"/>
      <c r="G1" s="357"/>
      <c r="H1" s="357"/>
      <c r="I1" s="71"/>
    </row>
    <row r="2" spans="1:13" ht="15.75" customHeight="1">
      <c r="A2" s="357" t="s">
        <v>990</v>
      </c>
      <c r="B2" s="357"/>
      <c r="C2" s="357"/>
      <c r="D2" s="357"/>
      <c r="E2" s="357"/>
      <c r="F2" s="357"/>
      <c r="G2" s="357"/>
      <c r="H2" s="357"/>
      <c r="I2" s="71"/>
    </row>
    <row r="3" spans="1:13" ht="15.75" customHeight="1">
      <c r="A3" s="357" t="s">
        <v>281</v>
      </c>
      <c r="B3" s="357"/>
      <c r="C3" s="357"/>
      <c r="D3" s="357"/>
      <c r="E3" s="357"/>
      <c r="F3" s="357"/>
      <c r="G3" s="357"/>
      <c r="H3" s="357"/>
      <c r="I3" s="71"/>
    </row>
    <row r="4" spans="1:13" ht="15.75" customHeight="1" thickBot="1">
      <c r="A4" s="348"/>
      <c r="B4" s="348"/>
      <c r="C4" s="348"/>
      <c r="D4" s="348"/>
      <c r="E4" s="348"/>
      <c r="F4" s="348"/>
      <c r="G4" s="348"/>
    </row>
    <row r="5" spans="1:13" ht="17.25" customHeight="1" thickTop="1" thickBot="1">
      <c r="A5" s="358" t="s">
        <v>53</v>
      </c>
      <c r="B5" s="362" t="s">
        <v>142</v>
      </c>
      <c r="C5" s="360" t="s">
        <v>54</v>
      </c>
      <c r="D5" s="361" t="s">
        <v>342</v>
      </c>
      <c r="E5" s="361" t="s">
        <v>991</v>
      </c>
      <c r="F5" s="136" t="s">
        <v>172</v>
      </c>
      <c r="G5" s="360" t="s">
        <v>148</v>
      </c>
      <c r="H5" s="356" t="s">
        <v>130</v>
      </c>
      <c r="I5" s="157"/>
    </row>
    <row r="6" spans="1:13" s="137" customFormat="1" ht="31.5" customHeight="1" thickTop="1" thickBot="1">
      <c r="A6" s="358"/>
      <c r="B6" s="362"/>
      <c r="C6" s="360"/>
      <c r="D6" s="363"/>
      <c r="E6" s="363"/>
      <c r="F6" s="136" t="s">
        <v>992</v>
      </c>
      <c r="G6" s="360"/>
      <c r="H6" s="356"/>
      <c r="I6" s="157"/>
    </row>
    <row r="7" spans="1:13" s="137" customFormat="1" ht="15.75" customHeight="1" thickTop="1">
      <c r="A7" s="268">
        <v>0</v>
      </c>
      <c r="B7" s="269" t="s">
        <v>61</v>
      </c>
      <c r="C7" s="270">
        <v>100.00000138049801</v>
      </c>
      <c r="D7" s="127">
        <v>130.72200000000001</v>
      </c>
      <c r="E7" s="271">
        <v>132.45519999999999</v>
      </c>
      <c r="F7" s="271">
        <f>(E7/D7-1)*100</f>
        <v>1.3258671072963857</v>
      </c>
      <c r="G7" s="271">
        <f>SUM(G8,G22,G29,G36,G51,G67,G77,G89,G94,G112,G121,G126)</f>
        <v>1.3258875140967907</v>
      </c>
      <c r="H7" s="139">
        <f>SUM(H8,H22,H29,H36,H51,H67,H77,H89,H94,H112,H121,H126)</f>
        <v>100</v>
      </c>
      <c r="I7" s="158"/>
    </row>
    <row r="8" spans="1:13" ht="15.75" customHeight="1">
      <c r="A8" s="142">
        <v>1</v>
      </c>
      <c r="B8" s="143" t="s">
        <v>62</v>
      </c>
      <c r="C8" s="280">
        <v>23.835128000000001</v>
      </c>
      <c r="D8" s="145">
        <v>141.8382</v>
      </c>
      <c r="E8" s="144">
        <v>143.00720000000001</v>
      </c>
      <c r="F8" s="144">
        <f>(E8/D8-1)*100</f>
        <v>0.82417853582463785</v>
      </c>
      <c r="G8" s="144">
        <f>(E8-D8)/$D$7*C8</f>
        <v>0.21314900806291415</v>
      </c>
      <c r="H8" s="144">
        <f>(G8/$G$7)*100</f>
        <v>16.075949565609541</v>
      </c>
      <c r="J8" s="158"/>
      <c r="K8" s="78"/>
      <c r="L8" s="78"/>
      <c r="M8" s="78"/>
    </row>
    <row r="9" spans="1:13" ht="15.75" customHeight="1">
      <c r="A9" s="142">
        <v>11</v>
      </c>
      <c r="B9" s="143" t="s">
        <v>63</v>
      </c>
      <c r="C9" s="280">
        <v>21.043777299999999</v>
      </c>
      <c r="D9" s="145">
        <v>142.31049999999999</v>
      </c>
      <c r="E9" s="144">
        <v>142.64789999999999</v>
      </c>
      <c r="F9" s="144">
        <f t="shared" ref="F9:F13" si="0">(E9/D9-1)*100</f>
        <v>0.23708721422524004</v>
      </c>
      <c r="G9" s="144">
        <f t="shared" ref="G9:G72" si="1">(E9-D9)/$D$7*C9</f>
        <v>5.431503848640664E-2</v>
      </c>
      <c r="H9" s="144">
        <f t="shared" ref="H9:H72" si="2">(G9/$G$7)*100</f>
        <v>4.0965042591419714</v>
      </c>
      <c r="I9" s="158"/>
      <c r="K9" s="78"/>
      <c r="L9" s="78"/>
      <c r="M9" s="78"/>
    </row>
    <row r="10" spans="1:13" ht="15.75" customHeight="1">
      <c r="A10" s="142">
        <v>111</v>
      </c>
      <c r="B10" s="143" t="s">
        <v>174</v>
      </c>
      <c r="C10" s="280">
        <v>3.7578867599999999</v>
      </c>
      <c r="D10" s="145">
        <v>145.33279999999999</v>
      </c>
      <c r="E10" s="144">
        <v>147.74760000000001</v>
      </c>
      <c r="F10" s="144">
        <f t="shared" si="0"/>
        <v>1.6615657305164566</v>
      </c>
      <c r="G10" s="144">
        <f t="shared" si="1"/>
        <v>6.9418651397990014E-2</v>
      </c>
      <c r="H10" s="144">
        <f t="shared" si="2"/>
        <v>5.2356365573951997</v>
      </c>
      <c r="I10" s="158"/>
      <c r="K10" s="78"/>
      <c r="L10" s="78"/>
      <c r="M10" s="78"/>
    </row>
    <row r="11" spans="1:13" ht="15.75" customHeight="1">
      <c r="A11" s="142">
        <v>112</v>
      </c>
      <c r="B11" s="143" t="s">
        <v>175</v>
      </c>
      <c r="C11" s="280">
        <v>5.2990781800000004</v>
      </c>
      <c r="D11" s="145">
        <v>146.1722</v>
      </c>
      <c r="E11" s="144">
        <v>147.91739999999999</v>
      </c>
      <c r="F11" s="144">
        <f t="shared" si="0"/>
        <v>1.1939342775165063</v>
      </c>
      <c r="G11" s="144">
        <f t="shared" si="1"/>
        <v>7.0745178621317822E-2</v>
      </c>
      <c r="H11" s="144">
        <f t="shared" si="2"/>
        <v>5.3356848050198451</v>
      </c>
      <c r="I11" s="158"/>
      <c r="K11" s="78"/>
      <c r="L11" s="78"/>
      <c r="M11" s="78"/>
    </row>
    <row r="12" spans="1:13" ht="15.75" customHeight="1">
      <c r="A12" s="142">
        <v>113</v>
      </c>
      <c r="B12" s="143" t="s">
        <v>176</v>
      </c>
      <c r="C12" s="280">
        <v>0.87925302500000002</v>
      </c>
      <c r="D12" s="145">
        <v>136.11680000000001</v>
      </c>
      <c r="E12" s="144">
        <v>144.5941</v>
      </c>
      <c r="F12" s="144">
        <f t="shared" si="0"/>
        <v>6.2279601048511157</v>
      </c>
      <c r="G12" s="144">
        <f t="shared" si="1"/>
        <v>5.7019412714252281E-2</v>
      </c>
      <c r="H12" s="144">
        <f t="shared" si="2"/>
        <v>4.300471352812651</v>
      </c>
      <c r="I12" s="158"/>
      <c r="K12" s="78"/>
      <c r="L12" s="78"/>
      <c r="M12" s="78"/>
    </row>
    <row r="13" spans="1:13" ht="15.75" customHeight="1">
      <c r="A13" s="142">
        <v>114</v>
      </c>
      <c r="B13" s="143" t="s">
        <v>177</v>
      </c>
      <c r="C13" s="280">
        <v>2.9905282500000001</v>
      </c>
      <c r="D13" s="145">
        <v>136.5018</v>
      </c>
      <c r="E13" s="144">
        <v>140.61529999999999</v>
      </c>
      <c r="F13" s="144">
        <f t="shared" si="0"/>
        <v>3.0135133749151999</v>
      </c>
      <c r="G13" s="144">
        <f t="shared" si="1"/>
        <v>9.4104572729723862E-2</v>
      </c>
      <c r="H13" s="144">
        <f t="shared" si="2"/>
        <v>7.0974778576015893</v>
      </c>
      <c r="I13" s="158"/>
      <c r="K13" s="78"/>
      <c r="L13" s="78"/>
      <c r="M13" s="78"/>
    </row>
    <row r="14" spans="1:13" ht="15.75" customHeight="1">
      <c r="A14" s="142">
        <v>115</v>
      </c>
      <c r="B14" s="143" t="s">
        <v>178</v>
      </c>
      <c r="C14" s="280">
        <v>0.65911803199999996</v>
      </c>
      <c r="D14" s="145">
        <v>159.68969999999999</v>
      </c>
      <c r="E14" s="144">
        <v>160.08410000000001</v>
      </c>
      <c r="F14" s="144">
        <f t="shared" ref="F14:F71" si="3">(E14/D14-1)*100</f>
        <v>0.24697898486878422</v>
      </c>
      <c r="G14" s="144">
        <f t="shared" si="1"/>
        <v>1.988618226624534E-3</v>
      </c>
      <c r="H14" s="144">
        <f t="shared" si="2"/>
        <v>0.14998393193099815</v>
      </c>
      <c r="I14" s="158"/>
      <c r="K14" s="78"/>
      <c r="L14" s="78"/>
      <c r="M14" s="78"/>
    </row>
    <row r="15" spans="1:13" ht="15.75" customHeight="1">
      <c r="A15" s="142">
        <v>116</v>
      </c>
      <c r="B15" s="143" t="s">
        <v>179</v>
      </c>
      <c r="C15" s="280">
        <v>2.1186846799999999</v>
      </c>
      <c r="D15" s="145">
        <v>140.21340000000001</v>
      </c>
      <c r="E15" s="144">
        <v>135.22720000000001</v>
      </c>
      <c r="F15" s="144">
        <f t="shared" si="3"/>
        <v>-3.5561508386502294</v>
      </c>
      <c r="G15" s="144">
        <f t="shared" si="1"/>
        <v>-8.0814136498951902E-2</v>
      </c>
      <c r="H15" s="144">
        <f t="shared" si="2"/>
        <v>-6.0950974829869633</v>
      </c>
      <c r="I15" s="158"/>
      <c r="K15" s="78"/>
      <c r="L15" s="78"/>
      <c r="M15" s="78"/>
    </row>
    <row r="16" spans="1:13" ht="15.75" customHeight="1">
      <c r="A16" s="142">
        <v>117</v>
      </c>
      <c r="B16" s="143" t="s">
        <v>180</v>
      </c>
      <c r="C16" s="280">
        <v>3.42007577</v>
      </c>
      <c r="D16" s="145">
        <v>138.6848</v>
      </c>
      <c r="E16" s="144">
        <v>130.8965</v>
      </c>
      <c r="F16" s="144">
        <f t="shared" si="3"/>
        <v>-5.6158281224762856</v>
      </c>
      <c r="G16" s="144">
        <f t="shared" si="1"/>
        <v>-0.20376505958821753</v>
      </c>
      <c r="H16" s="144">
        <f t="shared" si="2"/>
        <v>-15.368201104678517</v>
      </c>
      <c r="I16" s="158"/>
      <c r="K16" s="78"/>
      <c r="L16" s="78"/>
      <c r="M16" s="78"/>
    </row>
    <row r="17" spans="1:13" ht="15.75" customHeight="1">
      <c r="A17" s="142">
        <v>118</v>
      </c>
      <c r="B17" s="143" t="s">
        <v>181</v>
      </c>
      <c r="C17" s="280">
        <v>0.62855216700000005</v>
      </c>
      <c r="D17" s="145">
        <v>137.8107</v>
      </c>
      <c r="E17" s="144">
        <v>140.61529999999999</v>
      </c>
      <c r="F17" s="144">
        <f t="shared" si="3"/>
        <v>2.035110481261615</v>
      </c>
      <c r="G17" s="144">
        <f t="shared" si="1"/>
        <v>1.3485391958264072E-2</v>
      </c>
      <c r="H17" s="144">
        <f t="shared" si="2"/>
        <v>1.0170841655033209</v>
      </c>
      <c r="I17" s="158"/>
      <c r="K17" s="78"/>
      <c r="L17" s="78"/>
      <c r="M17" s="78"/>
    </row>
    <row r="18" spans="1:13" ht="15.75" customHeight="1">
      <c r="A18" s="142">
        <v>119</v>
      </c>
      <c r="B18" s="143" t="s">
        <v>64</v>
      </c>
      <c r="C18" s="280">
        <v>1.2906004</v>
      </c>
      <c r="D18" s="145">
        <v>141.69970000000001</v>
      </c>
      <c r="E18" s="144">
        <v>144.95529999999999</v>
      </c>
      <c r="F18" s="144">
        <f t="shared" si="3"/>
        <v>2.2975348571662391</v>
      </c>
      <c r="G18" s="144">
        <f t="shared" si="1"/>
        <v>3.214209285537234E-2</v>
      </c>
      <c r="H18" s="144">
        <f t="shared" si="2"/>
        <v>2.4241945499628517</v>
      </c>
      <c r="I18" s="158"/>
      <c r="K18" s="78"/>
      <c r="L18" s="78"/>
      <c r="M18" s="78"/>
    </row>
    <row r="19" spans="1:13" ht="15.75" customHeight="1">
      <c r="A19" s="142">
        <v>12</v>
      </c>
      <c r="B19" s="143" t="s">
        <v>65</v>
      </c>
      <c r="C19" s="280">
        <v>2.7913507399999999</v>
      </c>
      <c r="D19" s="145">
        <v>138.2782</v>
      </c>
      <c r="E19" s="144">
        <v>145.71549999999999</v>
      </c>
      <c r="F19" s="144">
        <f t="shared" si="3"/>
        <v>5.3785050716598892</v>
      </c>
      <c r="G19" s="144">
        <f t="shared" si="1"/>
        <v>0.15881116306820564</v>
      </c>
      <c r="H19" s="144">
        <f t="shared" si="2"/>
        <v>11.977725212714562</v>
      </c>
      <c r="I19" s="158"/>
      <c r="K19" s="78"/>
      <c r="L19" s="78"/>
      <c r="M19" s="78"/>
    </row>
    <row r="20" spans="1:13" ht="15.75" customHeight="1">
      <c r="A20" s="142">
        <v>121</v>
      </c>
      <c r="B20" s="143" t="s">
        <v>182</v>
      </c>
      <c r="C20" s="280">
        <v>0.57634590900000005</v>
      </c>
      <c r="D20" s="145">
        <v>139.79179999999999</v>
      </c>
      <c r="E20" s="144">
        <v>159.23429999999999</v>
      </c>
      <c r="F20" s="144">
        <f t="shared" si="3"/>
        <v>13.908183455681943</v>
      </c>
      <c r="G20" s="144">
        <f t="shared" si="1"/>
        <v>8.5720883521767557E-2</v>
      </c>
      <c r="H20" s="144">
        <f t="shared" si="2"/>
        <v>6.4651701302249283</v>
      </c>
      <c r="I20" s="158"/>
      <c r="K20" s="78"/>
      <c r="L20" s="78"/>
      <c r="M20" s="78"/>
    </row>
    <row r="21" spans="1:13" ht="15.75" customHeight="1">
      <c r="A21" s="128">
        <v>122</v>
      </c>
      <c r="B21" s="143" t="s">
        <v>66</v>
      </c>
      <c r="C21" s="280">
        <v>2.2150048299999998</v>
      </c>
      <c r="D21" s="145">
        <v>137.8844</v>
      </c>
      <c r="E21" s="144">
        <v>142.1979</v>
      </c>
      <c r="F21" s="144">
        <f t="shared" si="3"/>
        <v>3.1283451935099293</v>
      </c>
      <c r="G21" s="144">
        <f t="shared" si="1"/>
        <v>7.308963551816075E-2</v>
      </c>
      <c r="H21" s="144">
        <f t="shared" si="2"/>
        <v>5.5125065091174204</v>
      </c>
      <c r="I21" s="158"/>
      <c r="K21" s="78"/>
      <c r="L21" s="78"/>
      <c r="M21" s="78"/>
    </row>
    <row r="22" spans="1:13" ht="15.75" customHeight="1">
      <c r="A22" s="142">
        <v>2</v>
      </c>
      <c r="B22" s="143" t="s">
        <v>67</v>
      </c>
      <c r="C22" s="280">
        <v>2.3590851499999999</v>
      </c>
      <c r="D22" s="145">
        <v>133.221</v>
      </c>
      <c r="E22" s="144">
        <v>134.46369999999999</v>
      </c>
      <c r="F22" s="144">
        <f t="shared" si="3"/>
        <v>0.93281089317749366</v>
      </c>
      <c r="G22" s="144">
        <f t="shared" si="1"/>
        <v>2.2426486099546859E-2</v>
      </c>
      <c r="H22" s="144">
        <f t="shared" si="2"/>
        <v>1.6914320303275523</v>
      </c>
      <c r="I22" s="158"/>
      <c r="K22" s="78"/>
      <c r="L22" s="78"/>
      <c r="M22" s="78"/>
    </row>
    <row r="23" spans="1:13" ht="15.75" customHeight="1">
      <c r="A23" s="142">
        <v>21</v>
      </c>
      <c r="B23" s="143" t="s">
        <v>15</v>
      </c>
      <c r="C23" s="280">
        <v>2.13972074</v>
      </c>
      <c r="D23" s="145">
        <v>133.8732</v>
      </c>
      <c r="E23" s="144">
        <v>134.857</v>
      </c>
      <c r="F23" s="144">
        <f t="shared" si="3"/>
        <v>0.73487449317712894</v>
      </c>
      <c r="G23" s="144">
        <f t="shared" si="1"/>
        <v>1.6103312862502141E-2</v>
      </c>
      <c r="H23" s="144">
        <f t="shared" si="2"/>
        <v>1.2145308475487</v>
      </c>
      <c r="I23" s="158"/>
      <c r="K23" s="78"/>
      <c r="L23" s="78"/>
      <c r="M23" s="78"/>
    </row>
    <row r="24" spans="1:13" ht="15.75" customHeight="1">
      <c r="A24" s="142">
        <v>211</v>
      </c>
      <c r="B24" s="143" t="s">
        <v>68</v>
      </c>
      <c r="C24" s="280">
        <v>0.49473110799999998</v>
      </c>
      <c r="D24" s="145">
        <v>132.60310000000001</v>
      </c>
      <c r="E24" s="144">
        <v>134.44290000000001</v>
      </c>
      <c r="F24" s="144">
        <f t="shared" si="3"/>
        <v>1.387448709720962</v>
      </c>
      <c r="G24" s="144">
        <f t="shared" si="1"/>
        <v>6.9629159016722378E-3</v>
      </c>
      <c r="H24" s="144">
        <f t="shared" si="2"/>
        <v>0.5251513290262374</v>
      </c>
      <c r="I24" s="158"/>
      <c r="K24" s="78"/>
      <c r="L24" s="78"/>
      <c r="M24" s="78"/>
    </row>
    <row r="25" spans="1:13" ht="15.75" customHeight="1">
      <c r="A25" s="142">
        <v>212</v>
      </c>
      <c r="B25" s="143" t="s">
        <v>69</v>
      </c>
      <c r="C25" s="280">
        <v>0.121235303</v>
      </c>
      <c r="D25" s="145">
        <v>128.31370000000001</v>
      </c>
      <c r="E25" s="144">
        <v>130.4342</v>
      </c>
      <c r="F25" s="144">
        <f t="shared" si="3"/>
        <v>1.6525904872199959</v>
      </c>
      <c r="G25" s="144">
        <f t="shared" si="1"/>
        <v>1.9666120470272722E-3</v>
      </c>
      <c r="H25" s="144">
        <f t="shared" si="2"/>
        <v>0.14832419991276186</v>
      </c>
      <c r="I25" s="158"/>
      <c r="K25" s="78"/>
      <c r="L25" s="78"/>
      <c r="M25" s="78"/>
    </row>
    <row r="26" spans="1:13" ht="15.75" customHeight="1">
      <c r="A26" s="142">
        <v>213</v>
      </c>
      <c r="B26" s="143" t="s">
        <v>70</v>
      </c>
      <c r="C26" s="280">
        <v>1.52375433</v>
      </c>
      <c r="D26" s="145">
        <v>134.72790000000001</v>
      </c>
      <c r="E26" s="144">
        <v>135.3434</v>
      </c>
      <c r="F26" s="144">
        <f t="shared" si="3"/>
        <v>0.45684672588230946</v>
      </c>
      <c r="G26" s="144">
        <f t="shared" si="1"/>
        <v>7.1745443774957228E-3</v>
      </c>
      <c r="H26" s="144">
        <f t="shared" si="2"/>
        <v>0.54111259825710789</v>
      </c>
      <c r="I26" s="158"/>
      <c r="K26" s="78"/>
      <c r="L26" s="78"/>
      <c r="M26" s="78"/>
    </row>
    <row r="27" spans="1:13" ht="15.75" customHeight="1">
      <c r="A27" s="142">
        <v>22</v>
      </c>
      <c r="B27" s="143" t="s">
        <v>71</v>
      </c>
      <c r="C27" s="280">
        <v>0.21936440700000001</v>
      </c>
      <c r="D27" s="145">
        <v>126.8591</v>
      </c>
      <c r="E27" s="144">
        <v>130.62700000000001</v>
      </c>
      <c r="F27" s="144">
        <f t="shared" si="3"/>
        <v>2.9701456182489094</v>
      </c>
      <c r="G27" s="144">
        <f t="shared" si="1"/>
        <v>6.3229077671340898E-3</v>
      </c>
      <c r="H27" s="144">
        <f t="shared" si="2"/>
        <v>0.47688116072511055</v>
      </c>
      <c r="I27" s="158"/>
      <c r="K27" s="78"/>
      <c r="L27" s="78"/>
      <c r="M27" s="78"/>
    </row>
    <row r="28" spans="1:13" ht="15.75" customHeight="1">
      <c r="A28" s="142">
        <v>221</v>
      </c>
      <c r="B28" s="143" t="s">
        <v>71</v>
      </c>
      <c r="C28" s="280">
        <v>0.21936440700000001</v>
      </c>
      <c r="D28" s="145">
        <v>126.8591</v>
      </c>
      <c r="E28" s="144">
        <v>130.62700000000001</v>
      </c>
      <c r="F28" s="144">
        <f t="shared" si="3"/>
        <v>2.9701456182489094</v>
      </c>
      <c r="G28" s="144">
        <f t="shared" si="1"/>
        <v>6.3229077671340898E-3</v>
      </c>
      <c r="H28" s="144">
        <f t="shared" si="2"/>
        <v>0.47688116072511055</v>
      </c>
      <c r="I28" s="158"/>
      <c r="K28" s="78"/>
      <c r="L28" s="78"/>
      <c r="M28" s="78"/>
    </row>
    <row r="29" spans="1:13" ht="15.75" customHeight="1">
      <c r="A29" s="142">
        <v>3</v>
      </c>
      <c r="B29" s="143" t="s">
        <v>72</v>
      </c>
      <c r="C29" s="280">
        <v>4.1869516899999999</v>
      </c>
      <c r="D29" s="145">
        <v>98.392099999999999</v>
      </c>
      <c r="E29" s="144">
        <v>97.536199999999994</v>
      </c>
      <c r="F29" s="144">
        <f t="shared" si="3"/>
        <v>-0.86988691165246212</v>
      </c>
      <c r="G29" s="144">
        <f t="shared" si="1"/>
        <v>-2.7413992682723813E-2</v>
      </c>
      <c r="H29" s="144">
        <f t="shared" si="2"/>
        <v>-2.0675956588518392</v>
      </c>
      <c r="I29" s="158"/>
      <c r="K29" s="78"/>
      <c r="L29" s="78"/>
      <c r="M29" s="78"/>
    </row>
    <row r="30" spans="1:13" ht="15.75" customHeight="1">
      <c r="A30" s="142">
        <v>31</v>
      </c>
      <c r="B30" s="143" t="s">
        <v>183</v>
      </c>
      <c r="C30" s="280">
        <v>2.9123703299999999</v>
      </c>
      <c r="D30" s="145">
        <v>101.87860000000001</v>
      </c>
      <c r="E30" s="144">
        <v>101.54900000000001</v>
      </c>
      <c r="F30" s="144">
        <f t="shared" si="3"/>
        <v>-0.32352230988647035</v>
      </c>
      <c r="G30" s="144">
        <f t="shared" si="1"/>
        <v>-7.3431959484095838E-3</v>
      </c>
      <c r="H30" s="144">
        <f t="shared" si="2"/>
        <v>-0.55383249863483708</v>
      </c>
      <c r="I30" s="158"/>
      <c r="K30" s="78"/>
      <c r="L30" s="78"/>
      <c r="M30" s="78"/>
    </row>
    <row r="31" spans="1:13" ht="15.75" customHeight="1">
      <c r="A31" s="142">
        <v>312</v>
      </c>
      <c r="B31" s="143" t="s">
        <v>184</v>
      </c>
      <c r="C31" s="280">
        <v>2.6880314799999998</v>
      </c>
      <c r="D31" s="145">
        <v>100.49469999999999</v>
      </c>
      <c r="E31" s="144">
        <v>99.954499999999996</v>
      </c>
      <c r="F31" s="144">
        <f t="shared" si="3"/>
        <v>-0.5375407857329817</v>
      </c>
      <c r="G31" s="144">
        <f t="shared" si="1"/>
        <v>-1.1108111913036799E-2</v>
      </c>
      <c r="H31" s="144">
        <f t="shared" si="2"/>
        <v>-0.83778690084458396</v>
      </c>
      <c r="I31" s="158"/>
      <c r="K31" s="78"/>
      <c r="L31" s="78"/>
      <c r="M31" s="78"/>
    </row>
    <row r="32" spans="1:13" ht="15.75" customHeight="1">
      <c r="A32" s="142">
        <v>313</v>
      </c>
      <c r="B32" s="143" t="s">
        <v>185</v>
      </c>
      <c r="C32" s="280">
        <v>8.1715649000000001E-2</v>
      </c>
      <c r="D32" s="145">
        <v>106.73690000000001</v>
      </c>
      <c r="E32" s="144">
        <v>106.71250000000001</v>
      </c>
      <c r="F32" s="144">
        <f t="shared" si="3"/>
        <v>-2.2859948152886833E-2</v>
      </c>
      <c r="G32" s="144">
        <f t="shared" si="1"/>
        <v>-1.525268765471763E-5</v>
      </c>
      <c r="H32" s="144">
        <f t="shared" si="2"/>
        <v>-1.1503756911918678E-3</v>
      </c>
      <c r="I32" s="158"/>
      <c r="K32" s="78"/>
      <c r="L32" s="78"/>
      <c r="M32" s="78"/>
    </row>
    <row r="33" spans="1:13" ht="15.75" customHeight="1">
      <c r="A33" s="128">
        <v>314</v>
      </c>
      <c r="B33" s="143" t="s">
        <v>186</v>
      </c>
      <c r="C33" s="280">
        <v>0.14262319900000001</v>
      </c>
      <c r="D33" s="145">
        <v>125.17829999999999</v>
      </c>
      <c r="E33" s="144">
        <v>128.64250000000001</v>
      </c>
      <c r="F33" s="144">
        <f t="shared" si="3"/>
        <v>2.7674125627205504</v>
      </c>
      <c r="G33" s="144">
        <f t="shared" si="1"/>
        <v>3.7795878733174432E-3</v>
      </c>
      <c r="H33" s="144">
        <f t="shared" si="2"/>
        <v>0.28506097486649462</v>
      </c>
      <c r="I33" s="158"/>
      <c r="K33" s="78"/>
      <c r="L33" s="78"/>
      <c r="M33" s="78"/>
    </row>
    <row r="34" spans="1:13" ht="15.75" customHeight="1">
      <c r="A34" s="142">
        <v>32</v>
      </c>
      <c r="B34" s="143" t="s">
        <v>73</v>
      </c>
      <c r="C34" s="280">
        <v>1.27458136</v>
      </c>
      <c r="D34" s="145">
        <v>90.4255</v>
      </c>
      <c r="E34" s="144">
        <v>88.366900000000001</v>
      </c>
      <c r="F34" s="144">
        <f t="shared" si="3"/>
        <v>-2.2765702152600764</v>
      </c>
      <c r="G34" s="144">
        <f t="shared" si="1"/>
        <v>-2.0072009208059835E-2</v>
      </c>
      <c r="H34" s="144">
        <f t="shared" si="2"/>
        <v>-1.5138546064168279</v>
      </c>
      <c r="I34" s="158"/>
      <c r="K34" s="78"/>
      <c r="L34" s="78"/>
      <c r="M34" s="78"/>
    </row>
    <row r="35" spans="1:13" ht="15.75" customHeight="1">
      <c r="A35" s="142">
        <v>321</v>
      </c>
      <c r="B35" s="143" t="s">
        <v>187</v>
      </c>
      <c r="C35" s="280">
        <v>1.27458136</v>
      </c>
      <c r="D35" s="145">
        <v>90.4255</v>
      </c>
      <c r="E35" s="144">
        <v>88.366900000000001</v>
      </c>
      <c r="F35" s="144">
        <f t="shared" si="3"/>
        <v>-2.2765702152600764</v>
      </c>
      <c r="G35" s="144">
        <f t="shared" si="1"/>
        <v>-2.0072009208059835E-2</v>
      </c>
      <c r="H35" s="144">
        <f t="shared" si="2"/>
        <v>-1.5138546064168279</v>
      </c>
      <c r="I35" s="158"/>
      <c r="K35" s="78"/>
      <c r="L35" s="78"/>
      <c r="M35" s="78"/>
    </row>
    <row r="36" spans="1:13" ht="15.75" customHeight="1">
      <c r="A36" s="142">
        <v>4</v>
      </c>
      <c r="B36" s="143" t="s">
        <v>16</v>
      </c>
      <c r="C36" s="280">
        <v>12.9784343</v>
      </c>
      <c r="D36" s="145">
        <v>123.2454</v>
      </c>
      <c r="E36" s="144">
        <v>124.68</v>
      </c>
      <c r="F36" s="144">
        <f t="shared" si="3"/>
        <v>1.1640191033499114</v>
      </c>
      <c r="G36" s="144">
        <f t="shared" si="1"/>
        <v>0.14243097448616179</v>
      </c>
      <c r="H36" s="144">
        <f t="shared" si="2"/>
        <v>10.742312071864358</v>
      </c>
      <c r="I36" s="158"/>
      <c r="K36" s="78"/>
      <c r="L36" s="78"/>
      <c r="M36" s="78"/>
    </row>
    <row r="37" spans="1:13" ht="15.75" customHeight="1">
      <c r="A37" s="142">
        <v>41</v>
      </c>
      <c r="B37" s="143" t="s">
        <v>74</v>
      </c>
      <c r="C37" s="280">
        <v>6.3978329399999998</v>
      </c>
      <c r="D37" s="145">
        <v>114.9542</v>
      </c>
      <c r="E37" s="144">
        <v>116.67100000000001</v>
      </c>
      <c r="F37" s="144">
        <f t="shared" si="3"/>
        <v>1.4934643536295367</v>
      </c>
      <c r="G37" s="144">
        <f t="shared" si="1"/>
        <v>8.4024109112406778E-2</v>
      </c>
      <c r="H37" s="144">
        <f t="shared" si="2"/>
        <v>6.3371974031782727</v>
      </c>
      <c r="I37" s="158"/>
      <c r="K37" s="78"/>
      <c r="L37" s="78"/>
      <c r="M37" s="78"/>
    </row>
    <row r="38" spans="1:13" ht="15.75" customHeight="1">
      <c r="A38" s="142">
        <v>411</v>
      </c>
      <c r="B38" s="143" t="s">
        <v>188</v>
      </c>
      <c r="C38" s="280">
        <v>6.3978329399999998</v>
      </c>
      <c r="D38" s="145">
        <v>114.9542</v>
      </c>
      <c r="E38" s="144">
        <v>116.67100000000001</v>
      </c>
      <c r="F38" s="144">
        <f t="shared" si="3"/>
        <v>1.4934643536295367</v>
      </c>
      <c r="G38" s="144">
        <f t="shared" si="1"/>
        <v>8.4024109112406778E-2</v>
      </c>
      <c r="H38" s="144">
        <f t="shared" si="2"/>
        <v>6.3371974031782727</v>
      </c>
      <c r="I38" s="158"/>
      <c r="K38" s="78"/>
      <c r="L38" s="78"/>
      <c r="M38" s="78"/>
    </row>
    <row r="39" spans="1:13" ht="15.75" customHeight="1">
      <c r="A39" s="142">
        <v>43</v>
      </c>
      <c r="B39" s="143" t="s">
        <v>75</v>
      </c>
      <c r="C39" s="280">
        <v>0.96549262499999999</v>
      </c>
      <c r="D39" s="145">
        <v>136.56399999999999</v>
      </c>
      <c r="E39" s="144">
        <v>141.0547</v>
      </c>
      <c r="F39" s="144">
        <f t="shared" si="3"/>
        <v>3.2883483202015285</v>
      </c>
      <c r="G39" s="144">
        <f t="shared" si="1"/>
        <v>3.3167620837253893E-2</v>
      </c>
      <c r="H39" s="144">
        <f t="shared" si="2"/>
        <v>2.5015410798138515</v>
      </c>
      <c r="I39" s="158"/>
      <c r="K39" s="78"/>
      <c r="L39" s="78"/>
      <c r="M39" s="78"/>
    </row>
    <row r="40" spans="1:13" ht="15.75" customHeight="1">
      <c r="A40" s="142">
        <v>431</v>
      </c>
      <c r="B40" s="143" t="s">
        <v>189</v>
      </c>
      <c r="C40" s="280">
        <v>0.33477081199999997</v>
      </c>
      <c r="D40" s="145">
        <v>135.63560000000001</v>
      </c>
      <c r="E40" s="144">
        <v>138.7123</v>
      </c>
      <c r="F40" s="144">
        <f t="shared" si="3"/>
        <v>2.2683572749337078</v>
      </c>
      <c r="G40" s="144">
        <f t="shared" si="1"/>
        <v>7.8792349970195977E-3</v>
      </c>
      <c r="H40" s="144">
        <f t="shared" si="2"/>
        <v>0.59426119585921433</v>
      </c>
      <c r="I40" s="158"/>
      <c r="K40" s="78"/>
      <c r="L40" s="78"/>
      <c r="M40" s="78"/>
    </row>
    <row r="41" spans="1:13" ht="15.75" customHeight="1">
      <c r="A41" s="128">
        <v>432</v>
      </c>
      <c r="B41" s="143" t="s">
        <v>190</v>
      </c>
      <c r="C41" s="280">
        <v>0.63072181299999996</v>
      </c>
      <c r="D41" s="145">
        <v>137.05680000000001</v>
      </c>
      <c r="E41" s="144">
        <v>142.298</v>
      </c>
      <c r="F41" s="144">
        <f t="shared" si="3"/>
        <v>3.8241079610789042</v>
      </c>
      <c r="G41" s="144">
        <f t="shared" si="1"/>
        <v>2.5288315404412377E-2</v>
      </c>
      <c r="H41" s="144">
        <f t="shared" si="2"/>
        <v>1.9072745716018797</v>
      </c>
      <c r="I41" s="158"/>
      <c r="K41" s="78"/>
      <c r="L41" s="78"/>
      <c r="M41" s="78"/>
    </row>
    <row r="42" spans="1:13" ht="15.75" customHeight="1">
      <c r="A42" s="128">
        <v>44</v>
      </c>
      <c r="B42" s="143" t="s">
        <v>76</v>
      </c>
      <c r="C42" s="282">
        <v>0.82742868800000002</v>
      </c>
      <c r="D42" s="145">
        <v>117.4744</v>
      </c>
      <c r="E42" s="144">
        <v>119.8728</v>
      </c>
      <c r="F42" s="144">
        <f t="shared" si="3"/>
        <v>2.0416363054418518</v>
      </c>
      <c r="G42" s="144">
        <f t="shared" si="1"/>
        <v>1.5181109264692983E-2</v>
      </c>
      <c r="H42" s="144">
        <f t="shared" si="2"/>
        <v>1.1449771646001601</v>
      </c>
      <c r="I42" s="158"/>
      <c r="K42" s="78"/>
      <c r="L42" s="78"/>
      <c r="M42" s="78"/>
    </row>
    <row r="43" spans="1:13" ht="15.75" customHeight="1">
      <c r="A43" s="128">
        <v>441</v>
      </c>
      <c r="B43" s="143" t="s">
        <v>77</v>
      </c>
      <c r="C43" s="280">
        <v>0.38879435499999998</v>
      </c>
      <c r="D43" s="145">
        <v>118.8349</v>
      </c>
      <c r="E43" s="144">
        <v>119.07299999999999</v>
      </c>
      <c r="F43" s="144">
        <f t="shared" si="3"/>
        <v>0.20036201486262062</v>
      </c>
      <c r="G43" s="144">
        <f t="shared" si="1"/>
        <v>7.0815880972977452E-4</v>
      </c>
      <c r="H43" s="144">
        <f t="shared" si="2"/>
        <v>5.3410172597649068E-2</v>
      </c>
      <c r="I43" s="158"/>
      <c r="K43" s="78"/>
      <c r="L43" s="78"/>
      <c r="M43" s="78"/>
    </row>
    <row r="44" spans="1:13" ht="15.75" customHeight="1">
      <c r="A44" s="142">
        <v>442</v>
      </c>
      <c r="B44" s="143" t="s">
        <v>78</v>
      </c>
      <c r="C44" s="280">
        <v>0.106279659</v>
      </c>
      <c r="D44" s="145">
        <v>144.4539</v>
      </c>
      <c r="E44" s="144">
        <v>149.41220000000001</v>
      </c>
      <c r="F44" s="144">
        <f t="shared" si="3"/>
        <v>3.4324445376691104</v>
      </c>
      <c r="G44" s="144">
        <f t="shared" si="1"/>
        <v>4.03119928718732E-3</v>
      </c>
      <c r="H44" s="144">
        <f t="shared" si="2"/>
        <v>0.30403780443874362</v>
      </c>
      <c r="I44" s="158"/>
      <c r="K44" s="78"/>
      <c r="L44" s="78"/>
      <c r="M44" s="78"/>
    </row>
    <row r="45" spans="1:13" ht="15.75" customHeight="1">
      <c r="A45" s="142">
        <v>443</v>
      </c>
      <c r="B45" s="143" t="s">
        <v>191</v>
      </c>
      <c r="C45" s="280">
        <v>0.33235467400000002</v>
      </c>
      <c r="D45" s="145">
        <v>107.25539999999999</v>
      </c>
      <c r="E45" s="144">
        <v>111.3625</v>
      </c>
      <c r="F45" s="144">
        <f t="shared" si="3"/>
        <v>3.8292710670045471</v>
      </c>
      <c r="G45" s="144">
        <f t="shared" si="1"/>
        <v>1.0442112892897912E-2</v>
      </c>
      <c r="H45" s="144">
        <f t="shared" si="2"/>
        <v>0.7875564692990713</v>
      </c>
      <c r="I45" s="158"/>
      <c r="K45" s="78"/>
      <c r="L45" s="78"/>
      <c r="M45" s="78"/>
    </row>
    <row r="46" spans="1:13" ht="15.75" customHeight="1">
      <c r="A46" s="147">
        <v>45</v>
      </c>
      <c r="B46" s="147" t="s">
        <v>79</v>
      </c>
      <c r="C46" s="283">
        <v>4.7876800299999998</v>
      </c>
      <c r="D46" s="148">
        <v>132.63659999999999</v>
      </c>
      <c r="E46" s="148">
        <v>132.9111</v>
      </c>
      <c r="F46" s="148">
        <f t="shared" si="3"/>
        <v>0.20695645093438131</v>
      </c>
      <c r="G46" s="148">
        <f t="shared" si="1"/>
        <v>1.0053534739638957E-2</v>
      </c>
      <c r="H46" s="148">
        <f t="shared" si="2"/>
        <v>0.75824944671023142</v>
      </c>
      <c r="I46" s="158"/>
      <c r="K46" s="78"/>
      <c r="L46" s="78"/>
      <c r="M46" s="78"/>
    </row>
    <row r="47" spans="1:13" ht="15.75" customHeight="1">
      <c r="A47" s="142">
        <v>451</v>
      </c>
      <c r="B47" s="143" t="s">
        <v>80</v>
      </c>
      <c r="C47" s="280">
        <v>2.57638408</v>
      </c>
      <c r="D47" s="145">
        <v>131.59399999999999</v>
      </c>
      <c r="E47" s="144">
        <v>131.59399999999999</v>
      </c>
      <c r="F47" s="144">
        <f t="shared" si="3"/>
        <v>0</v>
      </c>
      <c r="G47" s="144">
        <f t="shared" si="1"/>
        <v>0</v>
      </c>
      <c r="H47" s="144">
        <f t="shared" si="2"/>
        <v>0</v>
      </c>
      <c r="I47" s="158"/>
      <c r="K47" s="78"/>
      <c r="L47" s="78"/>
      <c r="M47" s="78"/>
    </row>
    <row r="48" spans="1:13" ht="15.75" customHeight="1">
      <c r="A48" s="142">
        <v>452</v>
      </c>
      <c r="B48" s="143" t="s">
        <v>81</v>
      </c>
      <c r="C48" s="280">
        <v>2.0601282599999999</v>
      </c>
      <c r="D48" s="145">
        <v>133.4727</v>
      </c>
      <c r="E48" s="144">
        <v>133.9358</v>
      </c>
      <c r="F48" s="144">
        <f t="shared" si="3"/>
        <v>0.34696233761659645</v>
      </c>
      <c r="G48" s="144">
        <f t="shared" si="1"/>
        <v>7.2982772387661914E-3</v>
      </c>
      <c r="H48" s="144">
        <f t="shared" si="2"/>
        <v>0.55044467657860552</v>
      </c>
      <c r="I48" s="158"/>
      <c r="K48" s="78"/>
      <c r="L48" s="78"/>
      <c r="M48" s="78"/>
    </row>
    <row r="49" spans="1:13" ht="15.75" customHeight="1">
      <c r="A49" s="142">
        <v>453</v>
      </c>
      <c r="B49" s="143" t="s">
        <v>192</v>
      </c>
      <c r="C49" s="280">
        <v>2.5658726999999999E-2</v>
      </c>
      <c r="D49" s="145">
        <v>144.49469999999999</v>
      </c>
      <c r="E49" s="144">
        <v>143.04820000000001</v>
      </c>
      <c r="F49" s="144">
        <f t="shared" si="3"/>
        <v>-1.0010747799054087</v>
      </c>
      <c r="G49" s="144">
        <f t="shared" si="1"/>
        <v>-2.8392580136090052E-4</v>
      </c>
      <c r="H49" s="144">
        <f t="shared" si="2"/>
        <v>-2.1414018786828529E-2</v>
      </c>
      <c r="I49" s="158"/>
      <c r="K49" s="78"/>
      <c r="L49" s="78"/>
      <c r="M49" s="78"/>
    </row>
    <row r="50" spans="1:13" ht="15.75" customHeight="1">
      <c r="A50" s="142">
        <v>454</v>
      </c>
      <c r="B50" s="143" t="s">
        <v>193</v>
      </c>
      <c r="C50" s="280">
        <v>0.125508962</v>
      </c>
      <c r="D50" s="145">
        <v>137.88900000000001</v>
      </c>
      <c r="E50" s="144">
        <v>141.05789999999999</v>
      </c>
      <c r="F50" s="144">
        <f t="shared" si="3"/>
        <v>2.2981528620847014</v>
      </c>
      <c r="G50" s="144">
        <f t="shared" si="1"/>
        <v>3.0425280341625544E-3</v>
      </c>
      <c r="H50" s="144">
        <f t="shared" si="2"/>
        <v>0.2294710525451443</v>
      </c>
      <c r="I50" s="158"/>
      <c r="K50" s="78"/>
      <c r="L50" s="78"/>
      <c r="M50" s="78"/>
    </row>
    <row r="51" spans="1:13" ht="15.75" customHeight="1">
      <c r="A51" s="142">
        <v>5</v>
      </c>
      <c r="B51" s="143" t="s">
        <v>82</v>
      </c>
      <c r="C51" s="280">
        <v>5.1732337099999999</v>
      </c>
      <c r="D51" s="145">
        <v>122.59610000000001</v>
      </c>
      <c r="E51" s="144">
        <v>124.0005</v>
      </c>
      <c r="F51" s="144">
        <f t="shared" si="3"/>
        <v>1.145550307065224</v>
      </c>
      <c r="G51" s="144">
        <f t="shared" si="1"/>
        <v>5.5578169109438171E-2</v>
      </c>
      <c r="H51" s="144">
        <f t="shared" si="2"/>
        <v>4.1917710604054248</v>
      </c>
      <c r="I51" s="158"/>
      <c r="K51" s="78"/>
      <c r="L51" s="78"/>
      <c r="M51" s="78"/>
    </row>
    <row r="52" spans="1:13" ht="15.75" customHeight="1">
      <c r="A52" s="142">
        <v>51</v>
      </c>
      <c r="B52" s="143" t="s">
        <v>83</v>
      </c>
      <c r="C52" s="280">
        <v>0.49294528100000001</v>
      </c>
      <c r="D52" s="145">
        <v>139.3561</v>
      </c>
      <c r="E52" s="144">
        <v>140.71270000000001</v>
      </c>
      <c r="F52" s="144">
        <f t="shared" si="3"/>
        <v>0.97347730024017753</v>
      </c>
      <c r="G52" s="144">
        <f t="shared" si="1"/>
        <v>5.1156620018406014E-3</v>
      </c>
      <c r="H52" s="144">
        <f t="shared" si="2"/>
        <v>0.38582926134012563</v>
      </c>
      <c r="I52" s="158"/>
      <c r="K52" s="78"/>
      <c r="L52" s="78"/>
      <c r="M52" s="78"/>
    </row>
    <row r="53" spans="1:13" ht="15.75" customHeight="1">
      <c r="A53" s="142">
        <v>511</v>
      </c>
      <c r="B53" s="143" t="s">
        <v>84</v>
      </c>
      <c r="C53" s="280">
        <v>0.43024714200000003</v>
      </c>
      <c r="D53" s="145">
        <v>126.53740000000001</v>
      </c>
      <c r="E53" s="144">
        <v>126.2954</v>
      </c>
      <c r="F53" s="144">
        <f t="shared" si="3"/>
        <v>-0.19124780499678584</v>
      </c>
      <c r="G53" s="144">
        <f t="shared" si="1"/>
        <v>-7.9649797558178361E-4</v>
      </c>
      <c r="H53" s="144">
        <f t="shared" si="2"/>
        <v>-6.0072816669094808E-2</v>
      </c>
      <c r="I53" s="158"/>
      <c r="K53" s="78"/>
      <c r="L53" s="78"/>
      <c r="M53" s="78"/>
    </row>
    <row r="54" spans="1:13" ht="15.75" customHeight="1">
      <c r="A54" s="142">
        <v>513</v>
      </c>
      <c r="B54" s="143" t="s">
        <v>85</v>
      </c>
      <c r="C54" s="280">
        <v>6.2698139E-2</v>
      </c>
      <c r="D54" s="145">
        <v>227.32069999999999</v>
      </c>
      <c r="E54" s="144">
        <v>239.64709999999999</v>
      </c>
      <c r="F54" s="144">
        <f t="shared" si="3"/>
        <v>5.4224714247316674</v>
      </c>
      <c r="G54" s="144">
        <f t="shared" si="1"/>
        <v>5.9121061532840715E-3</v>
      </c>
      <c r="H54" s="144">
        <f t="shared" si="2"/>
        <v>0.44589801852923122</v>
      </c>
      <c r="I54" s="158"/>
      <c r="K54" s="78"/>
      <c r="L54" s="78"/>
      <c r="M54" s="78"/>
    </row>
    <row r="55" spans="1:13" ht="15.75" customHeight="1">
      <c r="A55" s="142">
        <v>52</v>
      </c>
      <c r="B55" s="143" t="s">
        <v>86</v>
      </c>
      <c r="C55" s="280">
        <v>0.276162403</v>
      </c>
      <c r="D55" s="145">
        <v>106.7953</v>
      </c>
      <c r="E55" s="144">
        <v>105.9191</v>
      </c>
      <c r="F55" s="144">
        <f t="shared" si="3"/>
        <v>-0.82044809088039905</v>
      </c>
      <c r="G55" s="144">
        <f t="shared" si="1"/>
        <v>-1.8510541263796392E-3</v>
      </c>
      <c r="H55" s="144">
        <f t="shared" si="2"/>
        <v>-0.13960868525416334</v>
      </c>
      <c r="I55" s="158"/>
      <c r="K55" s="78"/>
      <c r="L55" s="78"/>
      <c r="M55" s="78"/>
    </row>
    <row r="56" spans="1:13" ht="15.75" customHeight="1">
      <c r="A56" s="142">
        <v>521</v>
      </c>
      <c r="B56" s="143" t="s">
        <v>87</v>
      </c>
      <c r="C56" s="280">
        <v>0.276162403</v>
      </c>
      <c r="D56" s="145">
        <v>106.7953</v>
      </c>
      <c r="E56" s="144">
        <v>105.9191</v>
      </c>
      <c r="F56" s="144">
        <f t="shared" si="3"/>
        <v>-0.82044809088039905</v>
      </c>
      <c r="G56" s="144">
        <f t="shared" si="1"/>
        <v>-1.8510541263796392E-3</v>
      </c>
      <c r="H56" s="144">
        <f t="shared" si="2"/>
        <v>-0.13960868525416334</v>
      </c>
      <c r="I56" s="158"/>
      <c r="K56" s="78"/>
      <c r="L56" s="78"/>
      <c r="M56" s="78"/>
    </row>
    <row r="57" spans="1:13" ht="15.75" customHeight="1">
      <c r="A57" s="142">
        <v>53</v>
      </c>
      <c r="B57" s="143" t="s">
        <v>88</v>
      </c>
      <c r="C57" s="280">
        <v>0.71722896300000005</v>
      </c>
      <c r="D57" s="145">
        <v>114.7907</v>
      </c>
      <c r="E57" s="144">
        <v>112.7402</v>
      </c>
      <c r="F57" s="144">
        <f t="shared" si="3"/>
        <v>-1.7862945343133152</v>
      </c>
      <c r="G57" s="144">
        <f t="shared" si="1"/>
        <v>-1.1250424478140633E-2</v>
      </c>
      <c r="H57" s="144">
        <f t="shared" si="2"/>
        <v>-0.84852028234118693</v>
      </c>
      <c r="I57" s="158"/>
      <c r="K57" s="78"/>
      <c r="L57" s="78"/>
      <c r="M57" s="78"/>
    </row>
    <row r="58" spans="1:13" ht="15.75" customHeight="1">
      <c r="A58" s="142">
        <v>531</v>
      </c>
      <c r="B58" s="143" t="s">
        <v>194</v>
      </c>
      <c r="C58" s="280">
        <v>0.63290397799999998</v>
      </c>
      <c r="D58" s="145">
        <v>114.1228</v>
      </c>
      <c r="E58" s="144">
        <v>111.9348</v>
      </c>
      <c r="F58" s="144">
        <f t="shared" si="3"/>
        <v>-1.9172330156638329</v>
      </c>
      <c r="G58" s="144">
        <f t="shared" si="1"/>
        <v>-1.059342653772128E-2</v>
      </c>
      <c r="H58" s="144">
        <f t="shared" si="2"/>
        <v>-0.79896872284355436</v>
      </c>
      <c r="I58" s="158"/>
      <c r="K58" s="78"/>
      <c r="L58" s="78"/>
      <c r="M58" s="78"/>
    </row>
    <row r="59" spans="1:13" ht="15.75" customHeight="1">
      <c r="A59" s="142">
        <v>532</v>
      </c>
      <c r="B59" s="143" t="s">
        <v>195</v>
      </c>
      <c r="C59" s="280">
        <v>8.4324985000000005E-2</v>
      </c>
      <c r="D59" s="145">
        <v>119.8035</v>
      </c>
      <c r="E59" s="144">
        <v>118.7856</v>
      </c>
      <c r="F59" s="144">
        <f t="shared" si="3"/>
        <v>-0.84964128760846025</v>
      </c>
      <c r="G59" s="144">
        <f t="shared" si="1"/>
        <v>-6.5661787787441885E-4</v>
      </c>
      <c r="H59" s="144">
        <f t="shared" si="2"/>
        <v>-4.9522894732266495E-2</v>
      </c>
      <c r="I59" s="158"/>
      <c r="K59" s="78"/>
      <c r="L59" s="78"/>
      <c r="M59" s="78"/>
    </row>
    <row r="60" spans="1:13" ht="15.75" customHeight="1">
      <c r="A60" s="142">
        <v>54</v>
      </c>
      <c r="B60" s="143" t="s">
        <v>89</v>
      </c>
      <c r="C60" s="280">
        <v>7.8511948999999998E-2</v>
      </c>
      <c r="D60" s="145">
        <v>115.9781</v>
      </c>
      <c r="E60" s="144">
        <v>115.59229999999999</v>
      </c>
      <c r="F60" s="144">
        <f t="shared" si="3"/>
        <v>-0.33264900873527514</v>
      </c>
      <c r="G60" s="144">
        <f t="shared" si="1"/>
        <v>-2.3171241202093185E-4</v>
      </c>
      <c r="H60" s="144">
        <f t="shared" si="2"/>
        <v>-1.7476023384893017E-2</v>
      </c>
      <c r="I60" s="158"/>
      <c r="K60" s="78"/>
      <c r="L60" s="78"/>
      <c r="M60" s="78"/>
    </row>
    <row r="61" spans="1:13" ht="15.75" customHeight="1">
      <c r="A61" s="142">
        <v>541</v>
      </c>
      <c r="B61" s="143" t="s">
        <v>196</v>
      </c>
      <c r="C61" s="280">
        <v>7.8511948999999998E-2</v>
      </c>
      <c r="D61" s="145">
        <v>115.9781</v>
      </c>
      <c r="E61" s="144">
        <v>115.59229999999999</v>
      </c>
      <c r="F61" s="144">
        <f t="shared" si="3"/>
        <v>-0.33264900873527514</v>
      </c>
      <c r="G61" s="144">
        <f t="shared" si="1"/>
        <v>-2.3171241202093185E-4</v>
      </c>
      <c r="H61" s="144">
        <f t="shared" si="2"/>
        <v>-1.7476023384893017E-2</v>
      </c>
      <c r="I61" s="158"/>
      <c r="K61" s="78"/>
      <c r="L61" s="78"/>
      <c r="M61" s="78"/>
    </row>
    <row r="62" spans="1:13" ht="15.75" customHeight="1">
      <c r="A62" s="142">
        <v>55</v>
      </c>
      <c r="B62" s="143" t="s">
        <v>197</v>
      </c>
      <c r="C62" s="280">
        <v>6.0344713000000001E-2</v>
      </c>
      <c r="D62" s="145">
        <v>117.8053</v>
      </c>
      <c r="E62" s="144">
        <v>117.886</v>
      </c>
      <c r="F62" s="144">
        <f t="shared" si="3"/>
        <v>6.8502860227837026E-2</v>
      </c>
      <c r="G62" s="144">
        <f t="shared" si="1"/>
        <v>3.7253242293566379E-5</v>
      </c>
      <c r="H62" s="144">
        <f t="shared" si="2"/>
        <v>2.8096834684308574E-3</v>
      </c>
      <c r="I62" s="158"/>
      <c r="K62" s="78"/>
      <c r="L62" s="78"/>
      <c r="M62" s="78"/>
    </row>
    <row r="63" spans="1:13" ht="15.75" customHeight="1">
      <c r="A63" s="142">
        <v>552</v>
      </c>
      <c r="B63" s="143" t="s">
        <v>198</v>
      </c>
      <c r="C63" s="280">
        <v>6.0344713000000001E-2</v>
      </c>
      <c r="D63" s="145">
        <v>117.8053</v>
      </c>
      <c r="E63" s="144">
        <v>117.886</v>
      </c>
      <c r="F63" s="144">
        <f t="shared" si="3"/>
        <v>6.8502860227837026E-2</v>
      </c>
      <c r="G63" s="144">
        <f t="shared" si="1"/>
        <v>3.7253242293566379E-5</v>
      </c>
      <c r="H63" s="144">
        <f t="shared" si="2"/>
        <v>2.8096834684308574E-3</v>
      </c>
      <c r="I63" s="158"/>
      <c r="K63" s="78"/>
      <c r="L63" s="78"/>
      <c r="M63" s="78"/>
    </row>
    <row r="64" spans="1:13" ht="15.75" customHeight="1">
      <c r="A64" s="142">
        <v>56</v>
      </c>
      <c r="B64" s="143" t="s">
        <v>90</v>
      </c>
      <c r="C64" s="280">
        <v>3.5480404000000001</v>
      </c>
      <c r="D64" s="145">
        <v>123.3032</v>
      </c>
      <c r="E64" s="144">
        <v>125.65219999999999</v>
      </c>
      <c r="F64" s="144">
        <f t="shared" si="3"/>
        <v>1.9050600471034018</v>
      </c>
      <c r="G64" s="144">
        <f t="shared" si="1"/>
        <v>6.3756268260889246E-2</v>
      </c>
      <c r="H64" s="144">
        <f t="shared" si="2"/>
        <v>4.8085729432576132</v>
      </c>
      <c r="I64" s="158"/>
      <c r="K64" s="78"/>
      <c r="L64" s="78"/>
      <c r="M64" s="78"/>
    </row>
    <row r="65" spans="1:13" ht="15.75" customHeight="1">
      <c r="A65" s="142">
        <v>561</v>
      </c>
      <c r="B65" s="143" t="s">
        <v>199</v>
      </c>
      <c r="C65" s="280">
        <v>1.81724252</v>
      </c>
      <c r="D65" s="145">
        <v>133.22409999999999</v>
      </c>
      <c r="E65" s="144">
        <v>136.65989999999999</v>
      </c>
      <c r="F65" s="144">
        <f t="shared" si="3"/>
        <v>2.578962815286423</v>
      </c>
      <c r="G65" s="144">
        <f t="shared" si="1"/>
        <v>4.7763053275011097E-2</v>
      </c>
      <c r="H65" s="144">
        <f t="shared" si="2"/>
        <v>3.6023458074079397</v>
      </c>
      <c r="I65" s="158"/>
      <c r="K65" s="78"/>
      <c r="L65" s="78"/>
      <c r="M65" s="78"/>
    </row>
    <row r="66" spans="1:13" ht="15.75" customHeight="1">
      <c r="A66" s="142">
        <v>562</v>
      </c>
      <c r="B66" s="143" t="s">
        <v>200</v>
      </c>
      <c r="C66" s="280">
        <v>1.7307978799999999</v>
      </c>
      <c r="D66" s="145">
        <v>112.88679999999999</v>
      </c>
      <c r="E66" s="144">
        <v>114.09480000000001</v>
      </c>
      <c r="F66" s="144">
        <f t="shared" si="3"/>
        <v>1.0700985411934871</v>
      </c>
      <c r="G66" s="144">
        <f t="shared" si="1"/>
        <v>1.5994276702009008E-2</v>
      </c>
      <c r="H66" s="144">
        <f t="shared" si="2"/>
        <v>1.2063072117323985</v>
      </c>
      <c r="I66" s="158"/>
      <c r="K66" s="78"/>
      <c r="L66" s="78"/>
      <c r="M66" s="78"/>
    </row>
    <row r="67" spans="1:13" ht="15.75" customHeight="1">
      <c r="A67" s="142">
        <v>6</v>
      </c>
      <c r="B67" s="143" t="s">
        <v>17</v>
      </c>
      <c r="C67" s="280">
        <v>4.7407437400000001</v>
      </c>
      <c r="D67" s="145">
        <v>127.5579</v>
      </c>
      <c r="E67" s="144">
        <v>131.43969999999999</v>
      </c>
      <c r="F67" s="144">
        <f t="shared" si="3"/>
        <v>3.0431670637412367</v>
      </c>
      <c r="G67" s="144">
        <f t="shared" si="1"/>
        <v>0.14077675563357295</v>
      </c>
      <c r="H67" s="144">
        <f t="shared" si="2"/>
        <v>10.617548935097382</v>
      </c>
      <c r="I67" s="158"/>
      <c r="K67" s="78"/>
      <c r="L67" s="78"/>
      <c r="M67" s="78"/>
    </row>
    <row r="68" spans="1:13" ht="15.75" customHeight="1">
      <c r="A68" s="142">
        <v>61</v>
      </c>
      <c r="B68" s="143" t="s">
        <v>91</v>
      </c>
      <c r="C68" s="280">
        <v>3.3125024700000001</v>
      </c>
      <c r="D68" s="145">
        <v>126.66849999999999</v>
      </c>
      <c r="E68" s="144">
        <v>130.89930000000001</v>
      </c>
      <c r="F68" s="144">
        <f t="shared" si="3"/>
        <v>3.3400569202288066</v>
      </c>
      <c r="G68" s="144">
        <f t="shared" si="1"/>
        <v>0.10720869823041305</v>
      </c>
      <c r="H68" s="144">
        <f t="shared" si="2"/>
        <v>8.0858064572276174</v>
      </c>
      <c r="I68" s="158"/>
      <c r="K68" s="78"/>
      <c r="L68" s="78"/>
      <c r="M68" s="78"/>
    </row>
    <row r="69" spans="1:13" ht="15.75" customHeight="1">
      <c r="A69" s="142">
        <v>611</v>
      </c>
      <c r="B69" s="143" t="s">
        <v>201</v>
      </c>
      <c r="C69" s="280">
        <v>3.2116952200000002</v>
      </c>
      <c r="D69" s="145">
        <v>127.1799</v>
      </c>
      <c r="E69" s="144">
        <v>131.5187</v>
      </c>
      <c r="F69" s="144">
        <f t="shared" si="3"/>
        <v>3.4115453778466476</v>
      </c>
      <c r="G69" s="144">
        <f t="shared" si="1"/>
        <v>0.10659952586814748</v>
      </c>
      <c r="H69" s="144">
        <f t="shared" si="2"/>
        <v>8.0398619592374896</v>
      </c>
      <c r="I69" s="158"/>
      <c r="K69" s="78"/>
      <c r="L69" s="78"/>
      <c r="M69" s="78"/>
    </row>
    <row r="70" spans="1:13" ht="15.75" customHeight="1">
      <c r="A70" s="142">
        <v>613</v>
      </c>
      <c r="B70" s="143" t="s">
        <v>92</v>
      </c>
      <c r="C70" s="280">
        <v>0.10080725</v>
      </c>
      <c r="D70" s="145">
        <v>110.3728</v>
      </c>
      <c r="E70" s="144">
        <v>111.16759999999999</v>
      </c>
      <c r="F70" s="144">
        <f t="shared" si="3"/>
        <v>0.72010495339431824</v>
      </c>
      <c r="G70" s="144">
        <f t="shared" si="1"/>
        <v>6.1291597665274014E-4</v>
      </c>
      <c r="H70" s="144">
        <f t="shared" si="2"/>
        <v>4.6226845802244794E-2</v>
      </c>
      <c r="I70" s="158"/>
      <c r="K70" s="78"/>
      <c r="L70" s="78"/>
      <c r="M70" s="78"/>
    </row>
    <row r="71" spans="1:13" ht="15.75" customHeight="1">
      <c r="A71" s="142">
        <v>62</v>
      </c>
      <c r="B71" s="143" t="s">
        <v>93</v>
      </c>
      <c r="C71" s="280">
        <v>0.91730788100000005</v>
      </c>
      <c r="D71" s="145">
        <v>135.37190000000001</v>
      </c>
      <c r="E71" s="144">
        <v>139.18799999999999</v>
      </c>
      <c r="F71" s="144">
        <f t="shared" si="3"/>
        <v>2.8189749866848191</v>
      </c>
      <c r="G71" s="144">
        <f t="shared" si="1"/>
        <v>2.6778496386867391E-2</v>
      </c>
      <c r="H71" s="144">
        <f t="shared" si="2"/>
        <v>2.01966577874513</v>
      </c>
      <c r="I71" s="158"/>
      <c r="K71" s="78"/>
      <c r="L71" s="78"/>
      <c r="M71" s="78"/>
    </row>
    <row r="72" spans="1:13" ht="15.75" customHeight="1">
      <c r="A72" s="142">
        <v>621</v>
      </c>
      <c r="B72" s="143" t="s">
        <v>94</v>
      </c>
      <c r="C72" s="280">
        <v>0.37477136700000002</v>
      </c>
      <c r="D72" s="145">
        <v>143.91120000000001</v>
      </c>
      <c r="E72" s="144">
        <v>149.30609999999999</v>
      </c>
      <c r="F72" s="144">
        <f t="shared" ref="F72:F135" si="4">(E72/D72-1)*100</f>
        <v>3.7487700748795039</v>
      </c>
      <c r="G72" s="144">
        <f t="shared" si="1"/>
        <v>1.5466823088908463E-2</v>
      </c>
      <c r="H72" s="144">
        <f t="shared" si="2"/>
        <v>1.1665260381793876</v>
      </c>
      <c r="I72" s="158"/>
      <c r="K72" s="78"/>
      <c r="L72" s="78"/>
      <c r="M72" s="78"/>
    </row>
    <row r="73" spans="1:13" ht="15.75" customHeight="1">
      <c r="A73" s="142">
        <v>622</v>
      </c>
      <c r="B73" s="143" t="s">
        <v>95</v>
      </c>
      <c r="C73" s="280">
        <v>9.1662175999999998E-2</v>
      </c>
      <c r="D73" s="145">
        <v>135.72929999999999</v>
      </c>
      <c r="E73" s="144">
        <v>139.04589999999999</v>
      </c>
      <c r="F73" s="144">
        <f t="shared" si="4"/>
        <v>2.4435401936059531</v>
      </c>
      <c r="G73" s="144">
        <f t="shared" ref="G73:G136" si="5">(E73-D73)/$D$7*C73</f>
        <v>2.3255976264255399E-3</v>
      </c>
      <c r="H73" s="144">
        <f t="shared" ref="H73:H136" si="6">(G73/$G$7)*100</f>
        <v>0.17539931568099598</v>
      </c>
      <c r="I73" s="158"/>
      <c r="K73" s="78"/>
      <c r="L73" s="78"/>
      <c r="M73" s="78"/>
    </row>
    <row r="74" spans="1:13" ht="15.75" customHeight="1">
      <c r="A74" s="142">
        <v>623</v>
      </c>
      <c r="B74" s="143" t="s">
        <v>202</v>
      </c>
      <c r="C74" s="280">
        <v>0.45087433900000001</v>
      </c>
      <c r="D74" s="145">
        <v>128.2013</v>
      </c>
      <c r="E74" s="144">
        <v>130.8066</v>
      </c>
      <c r="F74" s="144">
        <f t="shared" si="4"/>
        <v>2.032194681333177</v>
      </c>
      <c r="G74" s="144">
        <f t="shared" si="5"/>
        <v>8.9859619298717879E-3</v>
      </c>
      <c r="H74" s="144">
        <f t="shared" si="6"/>
        <v>0.67773184635448691</v>
      </c>
      <c r="I74" s="158"/>
      <c r="K74" s="78"/>
      <c r="L74" s="78"/>
      <c r="M74" s="78"/>
    </row>
    <row r="75" spans="1:13" ht="15.75" customHeight="1">
      <c r="A75" s="142">
        <v>63</v>
      </c>
      <c r="B75" s="143" t="s">
        <v>96</v>
      </c>
      <c r="C75" s="280">
        <v>0.51093338600000004</v>
      </c>
      <c r="D75" s="145">
        <v>119.2953</v>
      </c>
      <c r="E75" s="144">
        <v>121.03230000000001</v>
      </c>
      <c r="F75" s="144">
        <f t="shared" si="4"/>
        <v>1.4560506574860854</v>
      </c>
      <c r="G75" s="144">
        <f t="shared" si="5"/>
        <v>6.7891501926378474E-3</v>
      </c>
      <c r="H75" s="144">
        <f t="shared" si="6"/>
        <v>0.51204571432009394</v>
      </c>
      <c r="I75" s="158"/>
      <c r="K75" s="78"/>
      <c r="L75" s="78"/>
      <c r="M75" s="78"/>
    </row>
    <row r="76" spans="1:13" ht="15.75" customHeight="1">
      <c r="A76" s="142">
        <v>631</v>
      </c>
      <c r="B76" s="143" t="s">
        <v>97</v>
      </c>
      <c r="C76" s="280">
        <v>0.51093338600000004</v>
      </c>
      <c r="D76" s="145">
        <v>119.2953</v>
      </c>
      <c r="E76" s="144">
        <v>121.03230000000001</v>
      </c>
      <c r="F76" s="144">
        <f t="shared" si="4"/>
        <v>1.4560506574860854</v>
      </c>
      <c r="G76" s="144">
        <f t="shared" si="5"/>
        <v>6.7891501926378474E-3</v>
      </c>
      <c r="H76" s="144">
        <f t="shared" si="6"/>
        <v>0.51204571432009394</v>
      </c>
      <c r="I76" s="158"/>
      <c r="K76" s="78"/>
      <c r="L76" s="78"/>
      <c r="M76" s="78"/>
    </row>
    <row r="77" spans="1:13" ht="15.75" customHeight="1">
      <c r="A77" s="142">
        <v>7</v>
      </c>
      <c r="B77" s="142" t="s">
        <v>18</v>
      </c>
      <c r="C77" s="280">
        <v>16.646278200000001</v>
      </c>
      <c r="D77" s="145">
        <v>135.9691</v>
      </c>
      <c r="E77" s="144">
        <v>137.18209999999999</v>
      </c>
      <c r="F77" s="144">
        <f t="shared" si="4"/>
        <v>0.89211445835855052</v>
      </c>
      <c r="G77" s="144">
        <f t="shared" si="5"/>
        <v>0.15446470721531111</v>
      </c>
      <c r="H77" s="144">
        <f t="shared" si="6"/>
        <v>11.649910386292021</v>
      </c>
      <c r="I77" s="158"/>
      <c r="K77" s="78"/>
      <c r="L77" s="78"/>
      <c r="M77" s="78"/>
    </row>
    <row r="78" spans="1:13" ht="15.75" customHeight="1">
      <c r="A78" s="142">
        <v>71</v>
      </c>
      <c r="B78" s="143" t="s">
        <v>98</v>
      </c>
      <c r="C78" s="280">
        <v>3.0807926700000001</v>
      </c>
      <c r="D78" s="145">
        <v>121.8768</v>
      </c>
      <c r="E78" s="144">
        <v>120.4502</v>
      </c>
      <c r="F78" s="144">
        <f t="shared" si="4"/>
        <v>-1.1705263019705203</v>
      </c>
      <c r="G78" s="144">
        <f t="shared" si="5"/>
        <v>-3.3621416617111301E-2</v>
      </c>
      <c r="H78" s="144">
        <f t="shared" si="6"/>
        <v>-2.5357668927152228</v>
      </c>
      <c r="I78" s="158"/>
      <c r="K78" s="78"/>
      <c r="L78" s="78"/>
      <c r="M78" s="78"/>
    </row>
    <row r="79" spans="1:13" ht="15.75" customHeight="1">
      <c r="A79" s="142">
        <v>711</v>
      </c>
      <c r="B79" s="143" t="s">
        <v>203</v>
      </c>
      <c r="C79" s="280">
        <v>2.88743076</v>
      </c>
      <c r="D79" s="145">
        <v>120.2246</v>
      </c>
      <c r="E79" s="144">
        <v>118.5719</v>
      </c>
      <c r="F79" s="144">
        <f t="shared" si="4"/>
        <v>-1.3746770627641847</v>
      </c>
      <c r="G79" s="144">
        <f t="shared" si="5"/>
        <v>-3.6505384074998759E-2</v>
      </c>
      <c r="H79" s="144">
        <f t="shared" si="6"/>
        <v>-2.7532791195991186</v>
      </c>
      <c r="I79" s="158"/>
      <c r="K79" s="78"/>
      <c r="L79" s="78"/>
      <c r="M79" s="78"/>
    </row>
    <row r="80" spans="1:13" ht="15.75" customHeight="1">
      <c r="A80" s="128">
        <v>712</v>
      </c>
      <c r="B80" s="143" t="s">
        <v>99</v>
      </c>
      <c r="C80" s="280">
        <v>0.193361908</v>
      </c>
      <c r="D80" s="145">
        <v>146.54849999999999</v>
      </c>
      <c r="E80" s="144">
        <v>148.4982</v>
      </c>
      <c r="F80" s="144">
        <f t="shared" si="4"/>
        <v>1.3304127984933301</v>
      </c>
      <c r="G80" s="144">
        <f t="shared" si="5"/>
        <v>2.8839653006196455E-3</v>
      </c>
      <c r="H80" s="144">
        <f t="shared" si="6"/>
        <v>0.21751206418021327</v>
      </c>
      <c r="I80" s="158"/>
      <c r="K80" s="78"/>
      <c r="L80" s="78"/>
      <c r="M80" s="78"/>
    </row>
    <row r="81" spans="1:13" ht="15.75" customHeight="1">
      <c r="A81" s="128">
        <v>72</v>
      </c>
      <c r="B81" s="143" t="s">
        <v>204</v>
      </c>
      <c r="C81" s="280">
        <v>8.4404824699999992</v>
      </c>
      <c r="D81" s="145">
        <v>140.6028</v>
      </c>
      <c r="E81" s="144">
        <v>142.42150000000001</v>
      </c>
      <c r="F81" s="144">
        <f t="shared" si="4"/>
        <v>1.2935019786234792</v>
      </c>
      <c r="G81" s="144">
        <f t="shared" si="5"/>
        <v>0.11743016070890175</v>
      </c>
      <c r="H81" s="144">
        <f t="shared" si="6"/>
        <v>8.8567212120476508</v>
      </c>
      <c r="I81" s="158"/>
      <c r="K81" s="78"/>
      <c r="L81" s="78"/>
      <c r="M81" s="78"/>
    </row>
    <row r="82" spans="1:13" ht="15.75" customHeight="1">
      <c r="A82" s="128">
        <v>721</v>
      </c>
      <c r="B82" s="143" t="s">
        <v>205</v>
      </c>
      <c r="C82" s="280">
        <v>0.53260233000000001</v>
      </c>
      <c r="D82" s="145">
        <v>138.6463</v>
      </c>
      <c r="E82" s="144">
        <v>144.875</v>
      </c>
      <c r="F82" s="144">
        <f t="shared" si="4"/>
        <v>4.4925107990620772</v>
      </c>
      <c r="G82" s="144">
        <f t="shared" si="5"/>
        <v>2.5377672716688865E-2</v>
      </c>
      <c r="H82" s="144">
        <f t="shared" si="6"/>
        <v>1.9140140054774115</v>
      </c>
      <c r="I82" s="158"/>
      <c r="K82" s="78"/>
      <c r="L82" s="78"/>
      <c r="M82" s="78"/>
    </row>
    <row r="83" spans="1:13" ht="15.75" customHeight="1">
      <c r="A83" s="128">
        <v>722</v>
      </c>
      <c r="B83" s="143" t="s">
        <v>206</v>
      </c>
      <c r="C83" s="280">
        <v>6.94065201</v>
      </c>
      <c r="D83" s="145">
        <v>139.04390000000001</v>
      </c>
      <c r="E83" s="144">
        <v>139.12819999999999</v>
      </c>
      <c r="F83" s="144">
        <f t="shared" si="4"/>
        <v>6.0628333929058087E-2</v>
      </c>
      <c r="G83" s="144">
        <f t="shared" si="5"/>
        <v>4.4758874898096256E-3</v>
      </c>
      <c r="H83" s="144">
        <f t="shared" si="6"/>
        <v>0.33757671312401261</v>
      </c>
      <c r="I83" s="158"/>
      <c r="K83" s="78"/>
      <c r="L83" s="78"/>
      <c r="M83" s="78"/>
    </row>
    <row r="84" spans="1:13" ht="15.75" customHeight="1">
      <c r="A84" s="142">
        <v>723</v>
      </c>
      <c r="B84" s="143" t="s">
        <v>207</v>
      </c>
      <c r="C84" s="280">
        <v>0.87730871399999999</v>
      </c>
      <c r="D84" s="145">
        <v>155.8032</v>
      </c>
      <c r="E84" s="144">
        <v>167.01609999999999</v>
      </c>
      <c r="F84" s="144">
        <f t="shared" si="4"/>
        <v>7.1968354950347591</v>
      </c>
      <c r="G84" s="144">
        <f t="shared" si="5"/>
        <v>7.5252634439578581E-2</v>
      </c>
      <c r="H84" s="144">
        <f t="shared" si="6"/>
        <v>5.6756424387057836</v>
      </c>
      <c r="I84" s="158"/>
      <c r="K84" s="78"/>
      <c r="L84" s="78"/>
      <c r="M84" s="78"/>
    </row>
    <row r="85" spans="1:13" ht="15.75" customHeight="1">
      <c r="A85" s="142">
        <v>724</v>
      </c>
      <c r="B85" s="143" t="s">
        <v>208</v>
      </c>
      <c r="C85" s="280">
        <v>8.9919413000000004E-2</v>
      </c>
      <c r="D85" s="145">
        <v>124.21980000000001</v>
      </c>
      <c r="E85" s="144">
        <v>142.12889999999999</v>
      </c>
      <c r="F85" s="144">
        <f t="shared" si="4"/>
        <v>14.417266812537122</v>
      </c>
      <c r="G85" s="144">
        <f t="shared" si="5"/>
        <v>1.2319087524351664E-2</v>
      </c>
      <c r="H85" s="144">
        <f t="shared" si="6"/>
        <v>0.92912010961529889</v>
      </c>
      <c r="I85" s="158"/>
      <c r="K85" s="78"/>
      <c r="L85" s="78"/>
      <c r="M85" s="78"/>
    </row>
    <row r="86" spans="1:13" ht="15.75" customHeight="1">
      <c r="A86" s="147">
        <v>73</v>
      </c>
      <c r="B86" s="147" t="s">
        <v>101</v>
      </c>
      <c r="C86" s="283">
        <v>5.1250031099999998</v>
      </c>
      <c r="D86" s="148">
        <v>136.8091</v>
      </c>
      <c r="E86" s="148">
        <v>138.61150000000001</v>
      </c>
      <c r="F86" s="148">
        <f t="shared" si="4"/>
        <v>1.3174562218448926</v>
      </c>
      <c r="G86" s="148">
        <f t="shared" si="5"/>
        <v>7.066374141662482E-2</v>
      </c>
      <c r="H86" s="148">
        <f t="shared" si="6"/>
        <v>5.3295427149988477</v>
      </c>
      <c r="I86" s="158"/>
      <c r="K86" s="78"/>
      <c r="L86" s="78"/>
      <c r="M86" s="78"/>
    </row>
    <row r="87" spans="1:13" ht="15.75" customHeight="1">
      <c r="A87" s="142">
        <v>732</v>
      </c>
      <c r="B87" s="143" t="s">
        <v>209</v>
      </c>
      <c r="C87" s="280">
        <v>4.8476457000000002</v>
      </c>
      <c r="D87" s="145">
        <v>135.62719999999999</v>
      </c>
      <c r="E87" s="144">
        <v>138.00919999999999</v>
      </c>
      <c r="F87" s="144">
        <f t="shared" si="4"/>
        <v>1.7562848750103166</v>
      </c>
      <c r="G87" s="144">
        <f t="shared" si="5"/>
        <v>8.8333196075641621E-2</v>
      </c>
      <c r="H87" s="144">
        <f t="shared" si="6"/>
        <v>6.6621938238716396</v>
      </c>
      <c r="I87" s="158"/>
      <c r="K87" s="78"/>
      <c r="L87" s="78"/>
      <c r="M87" s="78"/>
    </row>
    <row r="88" spans="1:13" ht="15.75" customHeight="1">
      <c r="A88" s="142">
        <v>733</v>
      </c>
      <c r="B88" s="143" t="s">
        <v>210</v>
      </c>
      <c r="C88" s="280">
        <v>0.27735740599999997</v>
      </c>
      <c r="D88" s="145">
        <v>157.46610000000001</v>
      </c>
      <c r="E88" s="144">
        <v>149.1379</v>
      </c>
      <c r="F88" s="144">
        <f t="shared" si="4"/>
        <v>-5.2888844011504732</v>
      </c>
      <c r="G88" s="144">
        <f t="shared" si="5"/>
        <v>-1.7670231090781984E-2</v>
      </c>
      <c r="H88" s="144">
        <f t="shared" si="6"/>
        <v>-1.3327096682722095</v>
      </c>
      <c r="I88" s="158"/>
      <c r="K88" s="78"/>
      <c r="L88" s="78"/>
      <c r="M88" s="78"/>
    </row>
    <row r="89" spans="1:13" ht="15.75" customHeight="1">
      <c r="A89" s="142">
        <v>8</v>
      </c>
      <c r="B89" s="143" t="s">
        <v>19</v>
      </c>
      <c r="C89" s="280">
        <v>5.0611789700000003</v>
      </c>
      <c r="D89" s="145">
        <v>97.522300000000001</v>
      </c>
      <c r="E89" s="144">
        <v>98.488100000000003</v>
      </c>
      <c r="F89" s="144">
        <f t="shared" si="4"/>
        <v>0.99033759458093673</v>
      </c>
      <c r="G89" s="144">
        <f t="shared" si="5"/>
        <v>3.739299160987445E-2</v>
      </c>
      <c r="H89" s="144">
        <f t="shared" si="6"/>
        <v>2.8202235266803135</v>
      </c>
      <c r="I89" s="158"/>
      <c r="K89" s="78"/>
      <c r="L89" s="78"/>
      <c r="M89" s="78"/>
    </row>
    <row r="90" spans="1:13" ht="15.75" customHeight="1">
      <c r="A90" s="142">
        <v>82</v>
      </c>
      <c r="B90" s="143" t="s">
        <v>211</v>
      </c>
      <c r="C90" s="280">
        <v>0.221632303</v>
      </c>
      <c r="D90" s="145">
        <v>91.410499999999999</v>
      </c>
      <c r="E90" s="144">
        <v>91.537099999999995</v>
      </c>
      <c r="F90" s="144">
        <f t="shared" si="4"/>
        <v>0.1384961246246208</v>
      </c>
      <c r="G90" s="144">
        <f t="shared" si="5"/>
        <v>2.1464366793500078E-4</v>
      </c>
      <c r="H90" s="144">
        <f t="shared" si="6"/>
        <v>1.6188678575890989E-2</v>
      </c>
      <c r="I90" s="158"/>
      <c r="K90" s="78"/>
      <c r="L90" s="78"/>
      <c r="M90" s="78"/>
    </row>
    <row r="91" spans="1:13" ht="15.75" customHeight="1">
      <c r="A91" s="142">
        <v>821</v>
      </c>
      <c r="B91" s="143" t="s">
        <v>211</v>
      </c>
      <c r="C91" s="280">
        <v>0.221632303</v>
      </c>
      <c r="D91" s="145">
        <v>91.410499999999999</v>
      </c>
      <c r="E91" s="144">
        <v>91.537099999999995</v>
      </c>
      <c r="F91" s="144">
        <f t="shared" si="4"/>
        <v>0.1384961246246208</v>
      </c>
      <c r="G91" s="144">
        <f t="shared" si="5"/>
        <v>2.1464366793500078E-4</v>
      </c>
      <c r="H91" s="144">
        <f t="shared" si="6"/>
        <v>1.6188678575890989E-2</v>
      </c>
      <c r="I91" s="158"/>
      <c r="K91" s="78"/>
      <c r="L91" s="78"/>
      <c r="M91" s="78"/>
    </row>
    <row r="92" spans="1:13" ht="15.75" customHeight="1">
      <c r="A92" s="142">
        <v>83</v>
      </c>
      <c r="B92" s="143" t="s">
        <v>212</v>
      </c>
      <c r="C92" s="280">
        <v>4.8395466599999999</v>
      </c>
      <c r="D92" s="145">
        <v>97.802199999999999</v>
      </c>
      <c r="E92" s="144">
        <v>98.806399999999996</v>
      </c>
      <c r="F92" s="144">
        <f t="shared" si="4"/>
        <v>1.0267662690614188</v>
      </c>
      <c r="G92" s="144">
        <f t="shared" si="5"/>
        <v>3.7177160355349417E-2</v>
      </c>
      <c r="H92" s="144">
        <f t="shared" si="6"/>
        <v>2.8039452789232207</v>
      </c>
      <c r="I92" s="158"/>
      <c r="K92" s="78"/>
      <c r="L92" s="78"/>
      <c r="M92" s="78"/>
    </row>
    <row r="93" spans="1:13" ht="15.75" customHeight="1">
      <c r="A93" s="142">
        <v>831</v>
      </c>
      <c r="B93" s="143" t="s">
        <v>213</v>
      </c>
      <c r="C93" s="280">
        <v>4.8395466599999999</v>
      </c>
      <c r="D93" s="145">
        <v>97.802199999999999</v>
      </c>
      <c r="E93" s="144">
        <v>98.806399999999996</v>
      </c>
      <c r="F93" s="144">
        <f t="shared" si="4"/>
        <v>1.0267662690614188</v>
      </c>
      <c r="G93" s="144">
        <f t="shared" si="5"/>
        <v>3.7177160355349417E-2</v>
      </c>
      <c r="H93" s="144">
        <f t="shared" si="6"/>
        <v>2.8039452789232207</v>
      </c>
      <c r="I93" s="158"/>
      <c r="K93" s="78"/>
      <c r="L93" s="78"/>
      <c r="M93" s="78"/>
    </row>
    <row r="94" spans="1:13" ht="15.75" customHeight="1">
      <c r="A94" s="142">
        <v>9</v>
      </c>
      <c r="B94" s="143" t="s">
        <v>102</v>
      </c>
      <c r="C94" s="280">
        <v>3.0303016</v>
      </c>
      <c r="D94" s="145">
        <v>118.20140000000001</v>
      </c>
      <c r="E94" s="144">
        <v>119.1292</v>
      </c>
      <c r="F94" s="144">
        <f t="shared" si="4"/>
        <v>0.78493148135301283</v>
      </c>
      <c r="G94" s="144">
        <f t="shared" si="5"/>
        <v>2.1507579630666386E-2</v>
      </c>
      <c r="H94" s="144">
        <f t="shared" si="6"/>
        <v>1.6221270207312863</v>
      </c>
      <c r="I94" s="158"/>
      <c r="K94" s="78"/>
      <c r="L94" s="78"/>
      <c r="M94" s="78"/>
    </row>
    <row r="95" spans="1:13" ht="15.75" customHeight="1">
      <c r="A95" s="142">
        <v>91</v>
      </c>
      <c r="B95" s="143" t="s">
        <v>103</v>
      </c>
      <c r="C95" s="280">
        <v>0.320875994</v>
      </c>
      <c r="D95" s="145">
        <v>101.0067</v>
      </c>
      <c r="E95" s="144">
        <v>100.2949</v>
      </c>
      <c r="F95" s="144">
        <f t="shared" si="4"/>
        <v>-0.70470572744183446</v>
      </c>
      <c r="G95" s="144">
        <f t="shared" si="5"/>
        <v>-1.7472157137222418E-3</v>
      </c>
      <c r="H95" s="144">
        <f t="shared" si="6"/>
        <v>-0.13177706970960237</v>
      </c>
      <c r="I95" s="158"/>
      <c r="K95" s="78"/>
      <c r="L95" s="78"/>
      <c r="M95" s="78"/>
    </row>
    <row r="96" spans="1:13" ht="15.75" customHeight="1">
      <c r="A96" s="142">
        <v>911</v>
      </c>
      <c r="B96" s="143" t="s">
        <v>214</v>
      </c>
      <c r="C96" s="280">
        <v>0.23513193199999999</v>
      </c>
      <c r="D96" s="149">
        <v>97.586699999999993</v>
      </c>
      <c r="E96" s="144">
        <v>96.515600000000006</v>
      </c>
      <c r="F96" s="144">
        <f t="shared" si="4"/>
        <v>-1.0975880934594451</v>
      </c>
      <c r="G96" s="144">
        <f t="shared" si="5"/>
        <v>-1.9266061746698868E-3</v>
      </c>
      <c r="H96" s="144">
        <f t="shared" si="6"/>
        <v>-0.14530690983860062</v>
      </c>
      <c r="I96" s="158"/>
      <c r="K96" s="78"/>
      <c r="L96" s="78"/>
      <c r="M96" s="78"/>
    </row>
    <row r="97" spans="1:13" ht="15.75" customHeight="1">
      <c r="A97" s="142">
        <v>913</v>
      </c>
      <c r="B97" s="143" t="s">
        <v>215</v>
      </c>
      <c r="C97" s="280">
        <v>8.5744061999999996E-2</v>
      </c>
      <c r="D97" s="149">
        <v>110.3853</v>
      </c>
      <c r="E97" s="144">
        <v>110.6589</v>
      </c>
      <c r="F97" s="144">
        <f t="shared" si="4"/>
        <v>0.24785908993316674</v>
      </c>
      <c r="G97" s="144">
        <f t="shared" si="5"/>
        <v>1.7946157007389847E-4</v>
      </c>
      <c r="H97" s="144">
        <f t="shared" si="6"/>
        <v>1.3535203263162916E-2</v>
      </c>
      <c r="I97" s="158"/>
      <c r="K97" s="78"/>
      <c r="L97" s="78"/>
      <c r="M97" s="78"/>
    </row>
    <row r="98" spans="1:13" ht="15.75" customHeight="1">
      <c r="A98" s="142">
        <v>93</v>
      </c>
      <c r="B98" s="143" t="s">
        <v>104</v>
      </c>
      <c r="C98" s="280">
        <v>0.234422204</v>
      </c>
      <c r="D98" s="149">
        <v>124.3085</v>
      </c>
      <c r="E98" s="144">
        <v>125.98609999999999</v>
      </c>
      <c r="F98" s="144">
        <f t="shared" si="4"/>
        <v>1.3495456867390399</v>
      </c>
      <c r="G98" s="144">
        <f t="shared" si="5"/>
        <v>3.0084200779547403E-3</v>
      </c>
      <c r="H98" s="144">
        <f t="shared" si="6"/>
        <v>0.22689859026269729</v>
      </c>
      <c r="I98" s="158"/>
      <c r="K98" s="78"/>
      <c r="L98" s="78"/>
      <c r="M98" s="78"/>
    </row>
    <row r="99" spans="1:13" ht="15.75" customHeight="1">
      <c r="A99" s="142">
        <v>931</v>
      </c>
      <c r="B99" s="143" t="s">
        <v>106</v>
      </c>
      <c r="C99" s="280">
        <v>8.3218986999999994E-2</v>
      </c>
      <c r="D99" s="149">
        <v>102.94499999999999</v>
      </c>
      <c r="E99" s="144">
        <v>102.91119999999999</v>
      </c>
      <c r="F99" s="144">
        <f t="shared" si="4"/>
        <v>-3.2833066200399497E-2</v>
      </c>
      <c r="G99" s="144">
        <f t="shared" si="5"/>
        <v>-2.1517432112421387E-5</v>
      </c>
      <c r="H99" s="144">
        <f t="shared" si="6"/>
        <v>-1.6228701065247831E-3</v>
      </c>
      <c r="I99" s="158"/>
      <c r="K99" s="78"/>
      <c r="L99" s="78"/>
      <c r="M99" s="78"/>
    </row>
    <row r="100" spans="1:13" ht="15.75" customHeight="1">
      <c r="A100" s="142">
        <v>932</v>
      </c>
      <c r="B100" s="143" t="s">
        <v>105</v>
      </c>
      <c r="C100" s="280">
        <v>1.7544493000000001E-2</v>
      </c>
      <c r="D100" s="149">
        <v>109.959</v>
      </c>
      <c r="E100" s="144">
        <v>110.2022</v>
      </c>
      <c r="F100" s="144">
        <f t="shared" si="4"/>
        <v>0.22117334642912656</v>
      </c>
      <c r="G100" s="144">
        <f t="shared" si="5"/>
        <v>3.264041781490513E-5</v>
      </c>
      <c r="H100" s="144">
        <f t="shared" si="6"/>
        <v>2.4617788061108746E-3</v>
      </c>
      <c r="I100" s="158"/>
      <c r="K100" s="78"/>
      <c r="L100" s="78"/>
      <c r="M100" s="78"/>
    </row>
    <row r="101" spans="1:13" ht="15.75" customHeight="1">
      <c r="A101" s="142">
        <v>934</v>
      </c>
      <c r="B101" s="143" t="s">
        <v>216</v>
      </c>
      <c r="C101" s="280">
        <v>8.0524990000000005E-2</v>
      </c>
      <c r="D101" s="149">
        <v>141.8092</v>
      </c>
      <c r="E101" s="144">
        <v>144.35749999999999</v>
      </c>
      <c r="F101" s="144">
        <f t="shared" si="4"/>
        <v>1.796992014622445</v>
      </c>
      <c r="G101" s="144">
        <f t="shared" si="5"/>
        <v>1.5697574395816974E-3</v>
      </c>
      <c r="H101" s="144">
        <f t="shared" si="6"/>
        <v>0.11839295738832216</v>
      </c>
      <c r="I101" s="158"/>
      <c r="K101" s="78"/>
      <c r="L101" s="78"/>
      <c r="M101" s="78"/>
    </row>
    <row r="102" spans="1:13" ht="15.75" customHeight="1">
      <c r="A102" s="142">
        <v>935</v>
      </c>
      <c r="B102" s="143" t="s">
        <v>217</v>
      </c>
      <c r="C102" s="280">
        <v>5.3133734000000002E-2</v>
      </c>
      <c r="D102" s="149">
        <v>135.9837</v>
      </c>
      <c r="E102" s="144">
        <v>139.49590000000001</v>
      </c>
      <c r="F102" s="144">
        <f t="shared" si="4"/>
        <v>2.5828095573219523</v>
      </c>
      <c r="G102" s="144">
        <f t="shared" si="5"/>
        <v>1.4275814365967501E-3</v>
      </c>
      <c r="H102" s="144">
        <f t="shared" si="6"/>
        <v>0.10766987556778029</v>
      </c>
      <c r="I102" s="158"/>
      <c r="K102" s="78"/>
      <c r="L102" s="78"/>
      <c r="M102" s="78"/>
    </row>
    <row r="103" spans="1:13" ht="15.75" customHeight="1">
      <c r="A103" s="142">
        <v>94</v>
      </c>
      <c r="B103" s="143" t="s">
        <v>107</v>
      </c>
      <c r="C103" s="280">
        <v>1.63590277</v>
      </c>
      <c r="D103" s="149">
        <v>113.3477</v>
      </c>
      <c r="E103" s="144">
        <v>114.3553</v>
      </c>
      <c r="F103" s="144">
        <f t="shared" si="4"/>
        <v>0.88894613653387466</v>
      </c>
      <c r="G103" s="144">
        <f t="shared" si="5"/>
        <v>1.2609473776808756E-2</v>
      </c>
      <c r="H103" s="144">
        <f t="shared" si="6"/>
        <v>0.95102138324294183</v>
      </c>
      <c r="I103" s="158"/>
      <c r="K103" s="78"/>
      <c r="L103" s="78"/>
      <c r="M103" s="78"/>
    </row>
    <row r="104" spans="1:13" ht="15.75" customHeight="1">
      <c r="A104" s="142">
        <v>941</v>
      </c>
      <c r="B104" s="143" t="s">
        <v>218</v>
      </c>
      <c r="C104" s="280">
        <v>0.21271047800000001</v>
      </c>
      <c r="D104" s="149">
        <v>117.9841</v>
      </c>
      <c r="E104" s="144">
        <v>123.5121</v>
      </c>
      <c r="F104" s="144">
        <f t="shared" si="4"/>
        <v>4.6853770974224496</v>
      </c>
      <c r="G104" s="144">
        <f t="shared" si="5"/>
        <v>8.9951463593274366E-3</v>
      </c>
      <c r="H104" s="144">
        <f t="shared" si="6"/>
        <v>0.67842454685569831</v>
      </c>
      <c r="I104" s="158"/>
      <c r="K104" s="78"/>
      <c r="L104" s="78"/>
      <c r="M104" s="78"/>
    </row>
    <row r="105" spans="1:13" ht="15.75" customHeight="1">
      <c r="A105" s="142">
        <v>942</v>
      </c>
      <c r="B105" s="143" t="s">
        <v>219</v>
      </c>
      <c r="C105" s="280">
        <v>0.631497635</v>
      </c>
      <c r="D105" s="149">
        <v>110.96810000000001</v>
      </c>
      <c r="E105" s="144">
        <v>111.71639999999999</v>
      </c>
      <c r="F105" s="144">
        <f t="shared" si="4"/>
        <v>0.67433794036302341</v>
      </c>
      <c r="G105" s="144">
        <f t="shared" si="5"/>
        <v>3.614920826414003E-3</v>
      </c>
      <c r="H105" s="144">
        <f t="shared" si="6"/>
        <v>0.27264159198878396</v>
      </c>
      <c r="I105" s="158"/>
      <c r="K105" s="78"/>
      <c r="L105" s="78"/>
      <c r="M105" s="78"/>
    </row>
    <row r="106" spans="1:13" ht="15.75" customHeight="1">
      <c r="A106" s="142">
        <v>943</v>
      </c>
      <c r="B106" s="143" t="s">
        <v>108</v>
      </c>
      <c r="C106" s="280">
        <v>0.791694652</v>
      </c>
      <c r="D106" s="149">
        <v>114</v>
      </c>
      <c r="E106" s="144">
        <v>114</v>
      </c>
      <c r="F106" s="144">
        <f t="shared" si="4"/>
        <v>0</v>
      </c>
      <c r="G106" s="144">
        <f t="shared" si="5"/>
        <v>0</v>
      </c>
      <c r="H106" s="144">
        <f t="shared" si="6"/>
        <v>0</v>
      </c>
      <c r="I106" s="158"/>
      <c r="K106" s="78"/>
      <c r="L106" s="78"/>
      <c r="M106" s="78"/>
    </row>
    <row r="107" spans="1:13" ht="15.75" customHeight="1">
      <c r="A107" s="142">
        <v>95</v>
      </c>
      <c r="B107" s="143" t="s">
        <v>109</v>
      </c>
      <c r="C107" s="280">
        <v>0.59547164399999997</v>
      </c>
      <c r="D107" s="149">
        <v>125.2972</v>
      </c>
      <c r="E107" s="144">
        <v>126.3965</v>
      </c>
      <c r="F107" s="144">
        <f t="shared" si="4"/>
        <v>0.87735400312216605</v>
      </c>
      <c r="G107" s="144">
        <f t="shared" si="5"/>
        <v>5.0075884567953345E-3</v>
      </c>
      <c r="H107" s="144">
        <f t="shared" si="6"/>
        <v>0.37767822711616372</v>
      </c>
      <c r="I107" s="158"/>
      <c r="K107" s="78"/>
      <c r="L107" s="78"/>
      <c r="M107" s="78"/>
    </row>
    <row r="108" spans="1:13" ht="15.75" customHeight="1">
      <c r="A108" s="142">
        <v>951</v>
      </c>
      <c r="B108" s="143" t="s">
        <v>110</v>
      </c>
      <c r="C108" s="280">
        <v>0.37345707</v>
      </c>
      <c r="D108" s="149">
        <v>122.765</v>
      </c>
      <c r="E108" s="144">
        <v>123.91549999999999</v>
      </c>
      <c r="F108" s="144">
        <f t="shared" si="4"/>
        <v>0.93715635563882405</v>
      </c>
      <c r="G108" s="144">
        <f t="shared" si="5"/>
        <v>3.2868404632349388E-3</v>
      </c>
      <c r="H108" s="144">
        <f t="shared" si="6"/>
        <v>0.24789738407590112</v>
      </c>
      <c r="I108" s="158"/>
      <c r="K108" s="78"/>
      <c r="L108" s="78"/>
      <c r="M108" s="78"/>
    </row>
    <row r="109" spans="1:13" ht="15.75" customHeight="1">
      <c r="A109" s="142">
        <v>954</v>
      </c>
      <c r="B109" s="143" t="s">
        <v>111</v>
      </c>
      <c r="C109" s="280">
        <v>0.22201457399999999</v>
      </c>
      <c r="D109" s="149">
        <v>129.55670000000001</v>
      </c>
      <c r="E109" s="144">
        <v>130.56979999999999</v>
      </c>
      <c r="F109" s="144">
        <f t="shared" si="4"/>
        <v>0.78197422441292908</v>
      </c>
      <c r="G109" s="144">
        <f t="shared" si="5"/>
        <v>1.7206205911736018E-3</v>
      </c>
      <c r="H109" s="144">
        <f t="shared" si="6"/>
        <v>0.12977123420199849</v>
      </c>
      <c r="I109" s="158"/>
      <c r="K109" s="78"/>
      <c r="L109" s="78"/>
      <c r="M109" s="78"/>
    </row>
    <row r="110" spans="1:13" ht="15.75" customHeight="1">
      <c r="A110" s="142">
        <v>96</v>
      </c>
      <c r="B110" s="143" t="s">
        <v>112</v>
      </c>
      <c r="C110" s="280">
        <v>0.24362898999999999</v>
      </c>
      <c r="D110" s="149">
        <v>150.22</v>
      </c>
      <c r="E110" s="144">
        <v>151.63</v>
      </c>
      <c r="F110" s="144">
        <f t="shared" si="4"/>
        <v>0.93862335241645667</v>
      </c>
      <c r="G110" s="144">
        <f t="shared" si="5"/>
        <v>2.6278428718960784E-3</v>
      </c>
      <c r="H110" s="144">
        <f t="shared" si="6"/>
        <v>0.19819500854762889</v>
      </c>
      <c r="I110" s="158"/>
      <c r="K110" s="78"/>
      <c r="L110" s="78"/>
      <c r="M110" s="78"/>
    </row>
    <row r="111" spans="1:13" ht="15.75" customHeight="1">
      <c r="A111" s="142">
        <v>961</v>
      </c>
      <c r="B111" s="143" t="s">
        <v>113</v>
      </c>
      <c r="C111" s="280">
        <v>0.24362898999999999</v>
      </c>
      <c r="D111" s="149">
        <v>150.22</v>
      </c>
      <c r="E111" s="144">
        <v>151.63</v>
      </c>
      <c r="F111" s="144">
        <f t="shared" si="4"/>
        <v>0.93862335241645667</v>
      </c>
      <c r="G111" s="144">
        <f t="shared" si="5"/>
        <v>2.6278428718960784E-3</v>
      </c>
      <c r="H111" s="144">
        <f t="shared" si="6"/>
        <v>0.19819500854762889</v>
      </c>
      <c r="I111" s="158"/>
      <c r="K111" s="78"/>
      <c r="L111" s="78"/>
      <c r="M111" s="78"/>
    </row>
    <row r="112" spans="1:13" ht="15.75" customHeight="1">
      <c r="A112" s="142">
        <v>10</v>
      </c>
      <c r="B112" s="143" t="s">
        <v>20</v>
      </c>
      <c r="C112" s="280">
        <v>3.06259931</v>
      </c>
      <c r="D112" s="149">
        <v>123.1768</v>
      </c>
      <c r="E112" s="144">
        <v>124.57899999999999</v>
      </c>
      <c r="F112" s="144">
        <f t="shared" si="4"/>
        <v>1.1383637178429717</v>
      </c>
      <c r="G112" s="144">
        <f t="shared" si="5"/>
        <v>3.285121672313749E-2</v>
      </c>
      <c r="H112" s="144">
        <f t="shared" si="6"/>
        <v>2.4776775083756712</v>
      </c>
      <c r="I112" s="158"/>
      <c r="K112" s="78"/>
      <c r="L112" s="78"/>
      <c r="M112" s="78"/>
    </row>
    <row r="113" spans="1:13" ht="15.75" customHeight="1">
      <c r="A113" s="142">
        <v>101</v>
      </c>
      <c r="B113" s="143" t="s">
        <v>114</v>
      </c>
      <c r="C113" s="280">
        <v>1.06848023</v>
      </c>
      <c r="D113" s="149">
        <v>124.5376</v>
      </c>
      <c r="E113" s="144">
        <v>124.5376</v>
      </c>
      <c r="F113" s="144">
        <f t="shared" si="4"/>
        <v>0</v>
      </c>
      <c r="G113" s="144">
        <f t="shared" si="5"/>
        <v>0</v>
      </c>
      <c r="H113" s="144">
        <f t="shared" si="6"/>
        <v>0</v>
      </c>
      <c r="I113" s="158"/>
      <c r="K113" s="78"/>
      <c r="L113" s="78"/>
      <c r="M113" s="78"/>
    </row>
    <row r="114" spans="1:13" ht="15.75" customHeight="1">
      <c r="A114" s="142">
        <v>1011</v>
      </c>
      <c r="B114" s="143" t="s">
        <v>220</v>
      </c>
      <c r="C114" s="280">
        <v>1.06848023</v>
      </c>
      <c r="D114" s="149">
        <v>124.5376</v>
      </c>
      <c r="E114" s="144">
        <v>124.5376</v>
      </c>
      <c r="F114" s="144">
        <f t="shared" si="4"/>
        <v>0</v>
      </c>
      <c r="G114" s="144">
        <f t="shared" si="5"/>
        <v>0</v>
      </c>
      <c r="H114" s="144">
        <f t="shared" si="6"/>
        <v>0</v>
      </c>
      <c r="I114" s="158"/>
      <c r="K114" s="78"/>
      <c r="L114" s="78"/>
      <c r="M114" s="78"/>
    </row>
    <row r="115" spans="1:13" ht="15.75" customHeight="1">
      <c r="A115" s="128">
        <v>102</v>
      </c>
      <c r="B115" s="143" t="s">
        <v>115</v>
      </c>
      <c r="C115" s="280">
        <v>0.42618938899999997</v>
      </c>
      <c r="D115" s="149">
        <v>123.6858</v>
      </c>
      <c r="E115" s="144">
        <v>123.6858</v>
      </c>
      <c r="F115" s="144">
        <f t="shared" si="4"/>
        <v>0</v>
      </c>
      <c r="G115" s="144">
        <f t="shared" si="5"/>
        <v>0</v>
      </c>
      <c r="H115" s="144">
        <f t="shared" si="6"/>
        <v>0</v>
      </c>
      <c r="I115" s="158"/>
      <c r="K115" s="78"/>
      <c r="L115" s="78"/>
      <c r="M115" s="78"/>
    </row>
    <row r="116" spans="1:13" ht="15.75" customHeight="1">
      <c r="A116" s="142">
        <v>1021</v>
      </c>
      <c r="B116" s="143" t="s">
        <v>116</v>
      </c>
      <c r="C116" s="280">
        <v>0.42618938899999997</v>
      </c>
      <c r="D116" s="149">
        <v>123.6858</v>
      </c>
      <c r="E116" s="144">
        <v>123.6858</v>
      </c>
      <c r="F116" s="144">
        <f t="shared" si="4"/>
        <v>0</v>
      </c>
      <c r="G116" s="144">
        <f t="shared" si="5"/>
        <v>0</v>
      </c>
      <c r="H116" s="144">
        <f t="shared" si="6"/>
        <v>0</v>
      </c>
      <c r="I116" s="158"/>
      <c r="K116" s="78"/>
      <c r="L116" s="78"/>
      <c r="M116" s="78"/>
    </row>
    <row r="117" spans="1:13" ht="15.75" customHeight="1">
      <c r="A117" s="142">
        <v>104</v>
      </c>
      <c r="B117" s="150" t="s">
        <v>117</v>
      </c>
      <c r="C117" s="284">
        <v>1.34465119</v>
      </c>
      <c r="D117" s="149">
        <v>121.7863</v>
      </c>
      <c r="E117" s="151">
        <v>124.62779999999999</v>
      </c>
      <c r="F117" s="151">
        <f t="shared" si="4"/>
        <v>2.3331852597541669</v>
      </c>
      <c r="G117" s="151">
        <f t="shared" si="5"/>
        <v>2.9228640599019255E-2</v>
      </c>
      <c r="H117" s="151">
        <f t="shared" si="6"/>
        <v>2.2044585448057505</v>
      </c>
      <c r="I117" s="158"/>
      <c r="K117" s="78"/>
      <c r="L117" s="78"/>
      <c r="M117" s="78"/>
    </row>
    <row r="118" spans="1:13" ht="15.75" customHeight="1">
      <c r="A118" s="142">
        <v>1041</v>
      </c>
      <c r="B118" s="143" t="s">
        <v>221</v>
      </c>
      <c r="C118" s="280">
        <v>1.34465119</v>
      </c>
      <c r="D118" s="149">
        <v>121.7863</v>
      </c>
      <c r="E118" s="144">
        <v>124.62779999999999</v>
      </c>
      <c r="F118" s="144">
        <f t="shared" si="4"/>
        <v>2.3331852597541669</v>
      </c>
      <c r="G118" s="144">
        <f t="shared" si="5"/>
        <v>2.9228640599019255E-2</v>
      </c>
      <c r="H118" s="144">
        <f t="shared" si="6"/>
        <v>2.2044585448057505</v>
      </c>
      <c r="I118" s="158"/>
      <c r="K118" s="78"/>
      <c r="L118" s="78"/>
      <c r="M118" s="78"/>
    </row>
    <row r="119" spans="1:13" ht="15.75" customHeight="1">
      <c r="A119" s="142">
        <v>105</v>
      </c>
      <c r="B119" s="143" t="s">
        <v>118</v>
      </c>
      <c r="C119" s="280">
        <v>0.22327849699999999</v>
      </c>
      <c r="D119" s="145">
        <v>124.0669</v>
      </c>
      <c r="E119" s="144">
        <v>126.1878</v>
      </c>
      <c r="F119" s="144">
        <f t="shared" si="4"/>
        <v>1.7094809332706795</v>
      </c>
      <c r="G119" s="144">
        <f t="shared" si="5"/>
        <v>3.6225835306015679E-3</v>
      </c>
      <c r="H119" s="144">
        <f t="shared" si="6"/>
        <v>0.27321952217562828</v>
      </c>
      <c r="I119" s="158"/>
      <c r="K119" s="78"/>
      <c r="L119" s="78"/>
      <c r="M119" s="78"/>
    </row>
    <row r="120" spans="1:13" ht="15.75" customHeight="1">
      <c r="A120" s="142">
        <v>1051</v>
      </c>
      <c r="B120" s="143" t="s">
        <v>119</v>
      </c>
      <c r="C120" s="280">
        <v>0.22327849699999999</v>
      </c>
      <c r="D120" s="145">
        <v>124.0669</v>
      </c>
      <c r="E120" s="144">
        <v>126.1878</v>
      </c>
      <c r="F120" s="144">
        <f t="shared" si="4"/>
        <v>1.7094809332706795</v>
      </c>
      <c r="G120" s="144">
        <f t="shared" si="5"/>
        <v>3.6225835306015679E-3</v>
      </c>
      <c r="H120" s="144">
        <f t="shared" si="6"/>
        <v>0.27321952217562828</v>
      </c>
      <c r="I120" s="158"/>
      <c r="K120" s="78"/>
      <c r="L120" s="78"/>
      <c r="M120" s="78"/>
    </row>
    <row r="121" spans="1:13" ht="15.75" customHeight="1">
      <c r="A121" s="146">
        <v>11</v>
      </c>
      <c r="B121" s="143" t="s">
        <v>120</v>
      </c>
      <c r="C121" s="280">
        <v>8.6166370699999995</v>
      </c>
      <c r="D121" s="145">
        <v>140.69470000000001</v>
      </c>
      <c r="E121" s="144">
        <v>144.3296</v>
      </c>
      <c r="F121" s="144">
        <f t="shared" si="4"/>
        <v>2.5835372618868924</v>
      </c>
      <c r="G121" s="144">
        <f t="shared" si="5"/>
        <v>0.23959711514315027</v>
      </c>
      <c r="H121" s="144">
        <f t="shared" si="6"/>
        <v>18.070696993203565</v>
      </c>
      <c r="I121" s="158"/>
      <c r="K121" s="78"/>
      <c r="L121" s="78"/>
      <c r="M121" s="78"/>
    </row>
    <row r="122" spans="1:13" ht="15.75" customHeight="1">
      <c r="A122" s="64">
        <v>111</v>
      </c>
      <c r="B122" s="154" t="s">
        <v>121</v>
      </c>
      <c r="C122" s="280">
        <v>8.5719378099999997</v>
      </c>
      <c r="D122" s="145">
        <v>140.75919999999999</v>
      </c>
      <c r="E122" s="144">
        <v>144.42590000000001</v>
      </c>
      <c r="F122" s="144">
        <f t="shared" si="4"/>
        <v>2.6049451829791792</v>
      </c>
      <c r="G122" s="144">
        <f t="shared" si="5"/>
        <v>0.24043943917571006</v>
      </c>
      <c r="H122" s="144">
        <f t="shared" si="6"/>
        <v>18.13422606513495</v>
      </c>
      <c r="I122" s="158"/>
      <c r="K122" s="78"/>
      <c r="L122" s="78"/>
      <c r="M122" s="78"/>
    </row>
    <row r="123" spans="1:13" ht="15.75" customHeight="1">
      <c r="A123" s="64">
        <v>1111</v>
      </c>
      <c r="B123" s="131" t="s">
        <v>222</v>
      </c>
      <c r="C123" s="280">
        <v>8.5719378099999997</v>
      </c>
      <c r="D123" s="145">
        <v>140.75919999999999</v>
      </c>
      <c r="E123" s="144">
        <v>144.42590000000001</v>
      </c>
      <c r="F123" s="144">
        <f t="shared" si="4"/>
        <v>2.6049451829791792</v>
      </c>
      <c r="G123" s="144">
        <f t="shared" si="5"/>
        <v>0.24043943917571006</v>
      </c>
      <c r="H123" s="144">
        <f t="shared" si="6"/>
        <v>18.13422606513495</v>
      </c>
      <c r="I123" s="158"/>
      <c r="K123" s="78"/>
      <c r="L123" s="78"/>
      <c r="M123" s="78"/>
    </row>
    <row r="124" spans="1:13" ht="15.75" customHeight="1">
      <c r="A124" s="64">
        <v>112</v>
      </c>
      <c r="B124" s="154" t="s">
        <v>122</v>
      </c>
      <c r="C124" s="280">
        <v>4.4699265000000002E-2</v>
      </c>
      <c r="D124" s="145">
        <v>128.34020000000001</v>
      </c>
      <c r="E124" s="144">
        <v>125.8655</v>
      </c>
      <c r="F124" s="144">
        <f t="shared" si="4"/>
        <v>-1.9282344892714964</v>
      </c>
      <c r="G124" s="144">
        <f t="shared" si="5"/>
        <v>-8.4620240736448785E-4</v>
      </c>
      <c r="H124" s="144">
        <f t="shared" si="6"/>
        <v>-6.382158353311973E-2</v>
      </c>
      <c r="I124" s="158"/>
      <c r="K124" s="78"/>
      <c r="L124" s="78"/>
      <c r="M124" s="78"/>
    </row>
    <row r="125" spans="1:13" ht="15.75" customHeight="1">
      <c r="A125" s="64">
        <v>1121</v>
      </c>
      <c r="B125" s="154" t="s">
        <v>123</v>
      </c>
      <c r="C125" s="280">
        <v>4.4699265000000002E-2</v>
      </c>
      <c r="D125" s="145">
        <v>128.34020000000001</v>
      </c>
      <c r="E125" s="144">
        <v>125.8655</v>
      </c>
      <c r="F125" s="144">
        <f t="shared" si="4"/>
        <v>-1.9282344892714964</v>
      </c>
      <c r="G125" s="144">
        <f t="shared" si="5"/>
        <v>-8.4620240736448785E-4</v>
      </c>
      <c r="H125" s="144">
        <f t="shared" si="6"/>
        <v>-6.382158353311973E-2</v>
      </c>
      <c r="I125" s="158"/>
      <c r="K125" s="78"/>
      <c r="L125" s="78"/>
      <c r="M125" s="78"/>
    </row>
    <row r="126" spans="1:13" ht="15.75" customHeight="1">
      <c r="A126" s="262">
        <v>12</v>
      </c>
      <c r="B126" s="263" t="s">
        <v>124</v>
      </c>
      <c r="C126" s="280">
        <v>10.309428199999999</v>
      </c>
      <c r="D126" s="145">
        <v>137.93690000000001</v>
      </c>
      <c r="E126" s="144">
        <v>141.65369999999999</v>
      </c>
      <c r="F126" s="144">
        <f t="shared" si="4"/>
        <v>2.6945654136057762</v>
      </c>
      <c r="G126" s="144">
        <f t="shared" si="5"/>
        <v>0.29312650306574078</v>
      </c>
      <c r="H126" s="144">
        <f t="shared" si="6"/>
        <v>22.107946560264715</v>
      </c>
      <c r="K126" s="78"/>
      <c r="L126" s="78"/>
      <c r="M126" s="78"/>
    </row>
    <row r="127" spans="1:13" ht="15.75" customHeight="1">
      <c r="A127" s="267">
        <v>121</v>
      </c>
      <c r="B127" s="263" t="s">
        <v>125</v>
      </c>
      <c r="C127" s="280">
        <v>8.6317942700000003</v>
      </c>
      <c r="D127" s="145">
        <v>140.7176</v>
      </c>
      <c r="E127" s="144">
        <v>144.96019999999999</v>
      </c>
      <c r="F127" s="144">
        <f t="shared" si="4"/>
        <v>3.0149746726777504</v>
      </c>
      <c r="G127" s="144">
        <f t="shared" si="5"/>
        <v>0.28014603792706538</v>
      </c>
      <c r="H127" s="144">
        <f t="shared" si="6"/>
        <v>21.128944570980742</v>
      </c>
      <c r="K127" s="78"/>
      <c r="L127" s="78"/>
      <c r="M127" s="78"/>
    </row>
    <row r="128" spans="1:13" ht="15.75" customHeight="1">
      <c r="A128" s="262">
        <v>1211</v>
      </c>
      <c r="B128" s="263" t="s">
        <v>223</v>
      </c>
      <c r="C128" s="280">
        <v>3.52017968</v>
      </c>
      <c r="D128" s="145">
        <v>155.02969999999999</v>
      </c>
      <c r="E128" s="144">
        <v>161.80099999999999</v>
      </c>
      <c r="F128" s="144">
        <f t="shared" si="4"/>
        <v>4.3677437291048005</v>
      </c>
      <c r="G128" s="144">
        <f t="shared" si="5"/>
        <v>0.18234262532078752</v>
      </c>
      <c r="H128" s="144">
        <f t="shared" si="6"/>
        <v>13.752495847658791</v>
      </c>
      <c r="K128" s="78"/>
      <c r="L128" s="78"/>
      <c r="M128" s="78"/>
    </row>
    <row r="129" spans="1:13" ht="15.75" customHeight="1">
      <c r="A129" s="262">
        <v>1213</v>
      </c>
      <c r="B129" s="263" t="s">
        <v>224</v>
      </c>
      <c r="C129" s="280">
        <v>5.1116145900000003</v>
      </c>
      <c r="D129" s="145">
        <v>130.8614</v>
      </c>
      <c r="E129" s="144">
        <v>133.36250000000001</v>
      </c>
      <c r="F129" s="144">
        <f t="shared" si="4"/>
        <v>1.9112587821924709</v>
      </c>
      <c r="G129" s="144">
        <f t="shared" si="5"/>
        <v>9.7800364522031807E-2</v>
      </c>
      <c r="H129" s="144">
        <f t="shared" si="6"/>
        <v>7.3762188332133505</v>
      </c>
      <c r="K129" s="78"/>
      <c r="L129" s="78"/>
      <c r="M129" s="78"/>
    </row>
    <row r="130" spans="1:13" ht="15.75" customHeight="1">
      <c r="A130" s="262">
        <v>123</v>
      </c>
      <c r="B130" s="263" t="s">
        <v>225</v>
      </c>
      <c r="C130" s="280">
        <v>0.165576482</v>
      </c>
      <c r="D130" s="145">
        <v>108.812</v>
      </c>
      <c r="E130" s="144">
        <v>109.31319999999999</v>
      </c>
      <c r="F130" s="144">
        <f t="shared" si="4"/>
        <v>0.46061096202625329</v>
      </c>
      <c r="G130" s="144">
        <f t="shared" si="5"/>
        <v>6.3483524409356908E-4</v>
      </c>
      <c r="H130" s="144">
        <f t="shared" si="6"/>
        <v>4.7880022803142991E-2</v>
      </c>
      <c r="K130" s="78"/>
      <c r="L130" s="78"/>
      <c r="M130" s="78"/>
    </row>
    <row r="131" spans="1:13" ht="15.75" customHeight="1">
      <c r="A131" s="262">
        <v>1231</v>
      </c>
      <c r="B131" s="263" t="s">
        <v>226</v>
      </c>
      <c r="C131" s="280">
        <v>4.7365668999999999E-2</v>
      </c>
      <c r="D131" s="145">
        <v>126.8556</v>
      </c>
      <c r="E131" s="144">
        <v>129.1148</v>
      </c>
      <c r="F131" s="144">
        <f t="shared" si="4"/>
        <v>1.7809225607698931</v>
      </c>
      <c r="G131" s="144">
        <f t="shared" si="5"/>
        <v>8.1859610015758881E-4</v>
      </c>
      <c r="H131" s="144">
        <f t="shared" si="6"/>
        <v>6.1739483286048259E-2</v>
      </c>
      <c r="K131" s="78"/>
      <c r="L131" s="78"/>
      <c r="M131" s="78"/>
    </row>
    <row r="132" spans="1:13" ht="15.75" customHeight="1">
      <c r="A132" s="262">
        <v>1232</v>
      </c>
      <c r="B132" s="263" t="s">
        <v>126</v>
      </c>
      <c r="C132" s="280">
        <v>0.118210813</v>
      </c>
      <c r="D132" s="145">
        <v>101.5821</v>
      </c>
      <c r="E132" s="144">
        <v>101.379</v>
      </c>
      <c r="F132" s="144">
        <f t="shared" si="4"/>
        <v>-0.19993679988894453</v>
      </c>
      <c r="G132" s="144">
        <f t="shared" si="5"/>
        <v>-1.836616340042155E-4</v>
      </c>
      <c r="H132" s="144">
        <f t="shared" si="6"/>
        <v>-1.3851977038137193E-2</v>
      </c>
      <c r="K132" s="78"/>
      <c r="L132" s="78"/>
      <c r="M132" s="78"/>
    </row>
    <row r="133" spans="1:13" ht="15.75" customHeight="1">
      <c r="A133" s="262">
        <v>124</v>
      </c>
      <c r="B133" s="263" t="s">
        <v>227</v>
      </c>
      <c r="C133" s="280">
        <v>0.16129607700000001</v>
      </c>
      <c r="D133" s="145">
        <v>112.4772</v>
      </c>
      <c r="E133" s="144">
        <v>114.8676</v>
      </c>
      <c r="F133" s="144">
        <f t="shared" si="4"/>
        <v>2.1252307134245862</v>
      </c>
      <c r="G133" s="144">
        <f t="shared" si="5"/>
        <v>2.9494816669022807E-3</v>
      </c>
      <c r="H133" s="144">
        <f t="shared" si="6"/>
        <v>0.22245338579204438</v>
      </c>
      <c r="K133" s="78"/>
      <c r="L133" s="78"/>
      <c r="M133" s="78"/>
    </row>
    <row r="134" spans="1:13" ht="15.75" customHeight="1">
      <c r="A134" s="262">
        <v>1241</v>
      </c>
      <c r="B134" s="263" t="s">
        <v>227</v>
      </c>
      <c r="C134" s="280">
        <v>0.16129607700000001</v>
      </c>
      <c r="D134" s="145">
        <v>112.4772</v>
      </c>
      <c r="E134" s="144">
        <v>114.8676</v>
      </c>
      <c r="F134" s="144">
        <f t="shared" si="4"/>
        <v>2.1252307134245862</v>
      </c>
      <c r="G134" s="144">
        <f t="shared" si="5"/>
        <v>2.9494816669022807E-3</v>
      </c>
      <c r="H134" s="144">
        <f t="shared" si="6"/>
        <v>0.22245338579204438</v>
      </c>
      <c r="K134" s="78"/>
      <c r="L134" s="78"/>
      <c r="M134" s="78"/>
    </row>
    <row r="135" spans="1:13" ht="15.75" customHeight="1">
      <c r="A135" s="262">
        <v>125</v>
      </c>
      <c r="B135" s="263" t="s">
        <v>127</v>
      </c>
      <c r="C135" s="280">
        <v>0.97482866300000004</v>
      </c>
      <c r="D135" s="145">
        <v>124.4803</v>
      </c>
      <c r="E135" s="144">
        <v>124.2822</v>
      </c>
      <c r="F135" s="144">
        <f t="shared" si="4"/>
        <v>-0.15914164731286595</v>
      </c>
      <c r="G135" s="144">
        <f t="shared" si="5"/>
        <v>-1.4772842990491018E-3</v>
      </c>
      <c r="H135" s="144">
        <f t="shared" si="6"/>
        <v>-0.11141852407105925</v>
      </c>
      <c r="K135" s="78"/>
      <c r="L135" s="78"/>
      <c r="M135" s="78"/>
    </row>
    <row r="136" spans="1:13" ht="15.75" customHeight="1">
      <c r="A136" s="262">
        <v>1253</v>
      </c>
      <c r="B136" s="263" t="s">
        <v>228</v>
      </c>
      <c r="C136" s="280">
        <v>0.35284890200000002</v>
      </c>
      <c r="D136" s="145">
        <v>163.2294</v>
      </c>
      <c r="E136" s="144">
        <v>163.2294</v>
      </c>
      <c r="F136" s="144">
        <f t="shared" ref="F136:F140" si="7">(E136/D136-1)*100</f>
        <v>0</v>
      </c>
      <c r="G136" s="144">
        <f t="shared" si="5"/>
        <v>0</v>
      </c>
      <c r="H136" s="144">
        <f t="shared" si="6"/>
        <v>0</v>
      </c>
      <c r="K136" s="78"/>
      <c r="L136" s="78"/>
      <c r="M136" s="78"/>
    </row>
    <row r="137" spans="1:13" ht="15.75" customHeight="1">
      <c r="A137" s="262">
        <v>1254</v>
      </c>
      <c r="B137" s="263" t="s">
        <v>128</v>
      </c>
      <c r="C137" s="280">
        <v>0.56943624000000004</v>
      </c>
      <c r="D137" s="145">
        <v>102.7285</v>
      </c>
      <c r="E137" s="144">
        <v>102.38939999999999</v>
      </c>
      <c r="F137" s="144">
        <f t="shared" si="7"/>
        <v>-0.33009340153901112</v>
      </c>
      <c r="G137" s="144">
        <f t="shared" ref="G137:G139" si="8">(E137-D137)/$D$7*C137</f>
        <v>-1.4771486741635006E-3</v>
      </c>
      <c r="H137" s="144">
        <f t="shared" ref="H137:H138" si="9">(G137/$G$7)*100</f>
        <v>-0.11140829508223785</v>
      </c>
      <c r="K137" s="78"/>
      <c r="L137" s="78"/>
      <c r="M137" s="78"/>
    </row>
    <row r="138" spans="1:13" ht="15.75" customHeight="1">
      <c r="A138" s="262">
        <v>1255</v>
      </c>
      <c r="B138" s="263" t="s">
        <v>229</v>
      </c>
      <c r="C138" s="280">
        <v>5.2543522000000002E-2</v>
      </c>
      <c r="D138" s="145">
        <v>100</v>
      </c>
      <c r="E138" s="144">
        <v>100</v>
      </c>
      <c r="F138" s="144">
        <f t="shared" si="7"/>
        <v>0</v>
      </c>
      <c r="G138" s="144">
        <f t="shared" si="8"/>
        <v>0</v>
      </c>
      <c r="H138" s="144">
        <f t="shared" si="9"/>
        <v>0</v>
      </c>
      <c r="K138" s="78"/>
      <c r="L138" s="78"/>
      <c r="M138" s="78"/>
    </row>
    <row r="139" spans="1:13" ht="15.75" customHeight="1">
      <c r="A139" s="262">
        <v>127</v>
      </c>
      <c r="B139" s="263" t="s">
        <v>230</v>
      </c>
      <c r="C139" s="280">
        <v>0.37593274199999999</v>
      </c>
      <c r="D139" s="145">
        <v>132.73519999999999</v>
      </c>
      <c r="E139" s="144">
        <v>136.51599999999999</v>
      </c>
      <c r="F139" s="144">
        <f t="shared" si="7"/>
        <v>2.8483778229135837</v>
      </c>
      <c r="G139" s="144">
        <f t="shared" si="8"/>
        <v>1.0872894470353878E-2</v>
      </c>
      <c r="H139" s="144">
        <f>(G139/$G$7)*100</f>
        <v>0.82004652391350219</v>
      </c>
      <c r="K139" s="78"/>
      <c r="L139" s="78"/>
      <c r="M139" s="78"/>
    </row>
    <row r="140" spans="1:13" ht="15.75" customHeight="1">
      <c r="A140" s="264">
        <v>1271</v>
      </c>
      <c r="B140" s="265" t="s">
        <v>129</v>
      </c>
      <c r="C140" s="285">
        <v>0.37593274199999999</v>
      </c>
      <c r="D140" s="266">
        <v>132.73519999999999</v>
      </c>
      <c r="E140" s="155">
        <v>136.51599999999999</v>
      </c>
      <c r="F140" s="155">
        <f t="shared" si="7"/>
        <v>2.8483778229135837</v>
      </c>
      <c r="G140" s="155">
        <f>(E140-D140)/$D$7*C140</f>
        <v>1.0872894470353878E-2</v>
      </c>
      <c r="H140" s="155">
        <f>(G140/$G$7)*100</f>
        <v>0.82004652391350219</v>
      </c>
      <c r="K140" s="78"/>
      <c r="L140" s="78"/>
      <c r="M140" s="78"/>
    </row>
    <row r="141" spans="1:13" ht="15.75" customHeight="1">
      <c r="A141" s="220" t="s">
        <v>308</v>
      </c>
      <c r="D141" s="156"/>
      <c r="E141" s="156"/>
      <c r="F141" s="156"/>
      <c r="K141" s="78"/>
      <c r="L141" s="78"/>
      <c r="M141" s="78"/>
    </row>
    <row r="142" spans="1:13">
      <c r="D142" s="156"/>
      <c r="E142" s="156"/>
      <c r="F142" s="156"/>
      <c r="K142" s="78"/>
      <c r="L142" s="78"/>
      <c r="M142" s="78"/>
    </row>
    <row r="143" spans="1:13">
      <c r="D143" s="156"/>
      <c r="E143" s="156"/>
      <c r="F143" s="156"/>
      <c r="K143" s="78"/>
      <c r="L143" s="78"/>
      <c r="M143" s="78"/>
    </row>
    <row r="144" spans="1:13">
      <c r="D144" s="156"/>
      <c r="E144" s="156"/>
      <c r="F144" s="156"/>
      <c r="K144" s="78"/>
      <c r="L144" s="78"/>
      <c r="M144" s="78"/>
    </row>
    <row r="145" spans="11:13">
      <c r="K145" s="78"/>
      <c r="L145" s="78"/>
      <c r="M145" s="78"/>
    </row>
    <row r="146" spans="11:13">
      <c r="K146" s="78"/>
      <c r="L146" s="78"/>
      <c r="M146" s="78"/>
    </row>
    <row r="147" spans="11:13">
      <c r="K147" s="78"/>
      <c r="L147" s="78"/>
      <c r="M147" s="78"/>
    </row>
    <row r="148" spans="11:13">
      <c r="K148" s="78"/>
      <c r="L148" s="78"/>
      <c r="M148" s="78"/>
    </row>
    <row r="149" spans="11:13">
      <c r="K149" s="78"/>
      <c r="L149" s="78"/>
      <c r="M149" s="78"/>
    </row>
    <row r="150" spans="11:13">
      <c r="K150" s="78"/>
      <c r="L150" s="78"/>
      <c r="M150" s="78"/>
    </row>
    <row r="151" spans="11:13">
      <c r="K151" s="78"/>
      <c r="L151" s="78"/>
      <c r="M151" s="78"/>
    </row>
    <row r="152" spans="11:13">
      <c r="K152" s="78"/>
      <c r="L152" s="78"/>
      <c r="M152" s="78"/>
    </row>
    <row r="153" spans="11:13">
      <c r="K153" s="78"/>
      <c r="L153" s="78"/>
      <c r="M153" s="78"/>
    </row>
    <row r="154" spans="11:13">
      <c r="K154" s="78"/>
      <c r="L154" s="78"/>
      <c r="M154" s="78"/>
    </row>
    <row r="155" spans="11:13">
      <c r="K155" s="78"/>
      <c r="L155" s="78"/>
      <c r="M155" s="78"/>
    </row>
    <row r="156" spans="11:13">
      <c r="K156" s="78"/>
      <c r="L156" s="78"/>
      <c r="M156" s="78"/>
    </row>
    <row r="157" spans="11:13">
      <c r="K157" s="78"/>
      <c r="L157" s="78"/>
      <c r="M157" s="78"/>
    </row>
    <row r="158" spans="11:13">
      <c r="K158" s="78"/>
      <c r="L158" s="78"/>
      <c r="M158" s="78"/>
    </row>
    <row r="159" spans="11:13">
      <c r="K159" s="78"/>
      <c r="L159" s="78"/>
      <c r="M159" s="78"/>
    </row>
    <row r="160" spans="11:13">
      <c r="K160" s="78"/>
      <c r="L160" s="78"/>
      <c r="M160" s="78"/>
    </row>
    <row r="161" spans="11:13">
      <c r="K161" s="78"/>
      <c r="L161" s="78"/>
      <c r="M161" s="78"/>
    </row>
    <row r="162" spans="11:13">
      <c r="K162" s="78"/>
      <c r="L162" s="78"/>
      <c r="M162" s="78"/>
    </row>
    <row r="163" spans="11:13">
      <c r="K163" s="78"/>
      <c r="L163" s="78"/>
      <c r="M163" s="78"/>
    </row>
    <row r="164" spans="11:13">
      <c r="K164" s="78"/>
      <c r="L164" s="78"/>
      <c r="M164" s="78"/>
    </row>
    <row r="165" spans="11:13">
      <c r="K165" s="78"/>
      <c r="L165" s="78"/>
      <c r="M165" s="78"/>
    </row>
    <row r="166" spans="11:13">
      <c r="K166" s="78"/>
      <c r="L166" s="78"/>
      <c r="M166" s="78"/>
    </row>
    <row r="167" spans="11:13">
      <c r="K167" s="78"/>
      <c r="L167" s="78"/>
      <c r="M167" s="78"/>
    </row>
    <row r="168" spans="11:13">
      <c r="K168" s="78"/>
      <c r="L168" s="78"/>
      <c r="M168" s="78"/>
    </row>
    <row r="169" spans="11:13">
      <c r="K169" s="78"/>
      <c r="L169" s="78"/>
      <c r="M169" s="78"/>
    </row>
    <row r="170" spans="11:13">
      <c r="K170" s="78"/>
      <c r="L170" s="78"/>
      <c r="M170" s="78"/>
    </row>
    <row r="171" spans="11:13">
      <c r="K171" s="78"/>
      <c r="L171" s="78"/>
      <c r="M171" s="78"/>
    </row>
    <row r="172" spans="11:13">
      <c r="K172" s="78"/>
      <c r="L172" s="78"/>
      <c r="M172" s="78"/>
    </row>
    <row r="173" spans="11:13">
      <c r="K173" s="78"/>
      <c r="L173" s="78"/>
      <c r="M173" s="78"/>
    </row>
    <row r="174" spans="11:13">
      <c r="K174" s="78"/>
      <c r="L174" s="78"/>
      <c r="M174" s="78"/>
    </row>
    <row r="175" spans="11:13">
      <c r="K175" s="78"/>
      <c r="L175" s="78"/>
      <c r="M175" s="78"/>
    </row>
    <row r="176" spans="11:13">
      <c r="K176" s="78"/>
      <c r="L176" s="78"/>
      <c r="M176" s="78"/>
    </row>
    <row r="177" spans="11:13">
      <c r="K177" s="78"/>
      <c r="L177" s="78"/>
      <c r="M177" s="78"/>
    </row>
    <row r="178" spans="11:13">
      <c r="K178" s="78"/>
      <c r="L178" s="78"/>
      <c r="M178" s="78"/>
    </row>
    <row r="179" spans="11:13">
      <c r="K179" s="78"/>
      <c r="L179" s="78"/>
      <c r="M179" s="78"/>
    </row>
    <row r="180" spans="11:13">
      <c r="K180" s="78"/>
      <c r="L180" s="78"/>
      <c r="M180" s="78"/>
    </row>
    <row r="181" spans="11:13">
      <c r="K181" s="78"/>
      <c r="L181" s="78"/>
      <c r="M181" s="78"/>
    </row>
    <row r="182" spans="11:13">
      <c r="K182" s="78"/>
      <c r="L182" s="78"/>
      <c r="M182" s="78"/>
    </row>
    <row r="183" spans="11:13">
      <c r="K183" s="78"/>
      <c r="L183" s="78"/>
      <c r="M183" s="78"/>
    </row>
    <row r="184" spans="11:13">
      <c r="K184" s="78"/>
      <c r="L184" s="78"/>
      <c r="M184" s="78"/>
    </row>
    <row r="185" spans="11:13">
      <c r="K185" s="78"/>
      <c r="L185" s="78"/>
      <c r="M185" s="78"/>
    </row>
    <row r="186" spans="11:13">
      <c r="K186" s="78"/>
      <c r="L186" s="78"/>
      <c r="M186" s="78"/>
    </row>
    <row r="187" spans="11:13">
      <c r="K187" s="78"/>
      <c r="L187" s="78"/>
      <c r="M187" s="78"/>
    </row>
    <row r="188" spans="11:13">
      <c r="K188" s="78"/>
      <c r="L188" s="78"/>
      <c r="M188" s="78"/>
    </row>
    <row r="189" spans="11:13">
      <c r="K189" s="78"/>
      <c r="L189" s="78"/>
      <c r="M189" s="78"/>
    </row>
    <row r="190" spans="11:13">
      <c r="K190" s="78"/>
      <c r="L190" s="78"/>
      <c r="M190" s="78"/>
    </row>
    <row r="191" spans="11:13">
      <c r="K191" s="78"/>
      <c r="L191" s="78"/>
      <c r="M191" s="78"/>
    </row>
    <row r="192" spans="11:13">
      <c r="K192" s="78"/>
      <c r="L192" s="78"/>
      <c r="M192" s="78"/>
    </row>
    <row r="193" spans="11:13">
      <c r="K193" s="78"/>
      <c r="L193" s="78"/>
      <c r="M193" s="78"/>
    </row>
    <row r="194" spans="11:13">
      <c r="K194" s="78"/>
      <c r="L194" s="78"/>
      <c r="M194" s="78"/>
    </row>
    <row r="195" spans="11:13">
      <c r="K195" s="78"/>
      <c r="L195" s="78"/>
      <c r="M195" s="78"/>
    </row>
    <row r="196" spans="11:13">
      <c r="K196" s="78"/>
      <c r="L196" s="78"/>
      <c r="M196" s="78"/>
    </row>
    <row r="197" spans="11:13">
      <c r="K197" s="78"/>
      <c r="L197" s="78"/>
      <c r="M197" s="78"/>
    </row>
    <row r="198" spans="11:13">
      <c r="K198" s="78"/>
      <c r="L198" s="78"/>
      <c r="M198" s="78"/>
    </row>
    <row r="199" spans="11:13">
      <c r="K199" s="78"/>
      <c r="L199" s="78"/>
      <c r="M199" s="78"/>
    </row>
    <row r="200" spans="11:13">
      <c r="K200" s="78"/>
      <c r="L200" s="78"/>
      <c r="M200" s="78"/>
    </row>
    <row r="201" spans="11:13">
      <c r="K201" s="78"/>
      <c r="L201" s="78"/>
      <c r="M201" s="78"/>
    </row>
    <row r="202" spans="11:13">
      <c r="K202" s="78"/>
      <c r="L202" s="78"/>
      <c r="M202" s="78"/>
    </row>
    <row r="203" spans="11:13">
      <c r="K203" s="78"/>
      <c r="L203" s="78"/>
      <c r="M203" s="78"/>
    </row>
    <row r="204" spans="11:13">
      <c r="K204" s="78"/>
      <c r="L204" s="78"/>
      <c r="M204" s="78"/>
    </row>
    <row r="205" spans="11:13">
      <c r="K205" s="78"/>
      <c r="L205" s="78"/>
      <c r="M205" s="78"/>
    </row>
    <row r="206" spans="11:13">
      <c r="K206" s="78"/>
      <c r="L206" s="78"/>
      <c r="M206" s="78"/>
    </row>
    <row r="207" spans="11:13">
      <c r="K207" s="78"/>
      <c r="L207" s="78"/>
      <c r="M207" s="78"/>
    </row>
    <row r="208" spans="11:13">
      <c r="K208" s="78"/>
      <c r="L208" s="78"/>
      <c r="M208" s="78"/>
    </row>
    <row r="209" spans="11:13">
      <c r="K209" s="78"/>
      <c r="L209" s="78"/>
      <c r="M209" s="78"/>
    </row>
    <row r="210" spans="11:13">
      <c r="K210" s="78"/>
      <c r="L210" s="78"/>
      <c r="M210" s="78"/>
    </row>
    <row r="211" spans="11:13">
      <c r="K211" s="78"/>
      <c r="L211" s="78"/>
      <c r="M211" s="78"/>
    </row>
    <row r="212" spans="11:13">
      <c r="K212" s="78"/>
      <c r="L212" s="78"/>
      <c r="M212" s="78"/>
    </row>
    <row r="213" spans="11:13">
      <c r="K213" s="78"/>
      <c r="L213" s="78"/>
      <c r="M213" s="78"/>
    </row>
    <row r="214" spans="11:13">
      <c r="K214" s="78"/>
      <c r="L214" s="78"/>
      <c r="M214" s="78"/>
    </row>
    <row r="215" spans="11:13">
      <c r="K215" s="78"/>
      <c r="L215" s="78"/>
      <c r="M215" s="78"/>
    </row>
    <row r="216" spans="11:13">
      <c r="K216" s="78"/>
      <c r="L216" s="78"/>
      <c r="M216" s="78"/>
    </row>
    <row r="217" spans="11:13">
      <c r="K217" s="78"/>
      <c r="L217" s="78"/>
      <c r="M217" s="78"/>
    </row>
    <row r="218" spans="11:13">
      <c r="K218" s="78"/>
      <c r="L218" s="78"/>
      <c r="M218" s="78"/>
    </row>
    <row r="219" spans="11:13">
      <c r="K219" s="78"/>
      <c r="L219" s="78"/>
      <c r="M219" s="78"/>
    </row>
    <row r="220" spans="11:13">
      <c r="K220" s="78"/>
      <c r="L220" s="78"/>
      <c r="M220" s="78"/>
    </row>
    <row r="221" spans="11:13">
      <c r="K221" s="78"/>
      <c r="L221" s="78"/>
      <c r="M221" s="78"/>
    </row>
    <row r="222" spans="11:13">
      <c r="K222" s="78"/>
      <c r="L222" s="78"/>
      <c r="M222" s="78"/>
    </row>
    <row r="223" spans="11:13">
      <c r="K223" s="78"/>
      <c r="L223" s="78"/>
      <c r="M223" s="78"/>
    </row>
    <row r="224" spans="11:13">
      <c r="K224" s="78"/>
      <c r="L224" s="78"/>
      <c r="M224" s="78"/>
    </row>
    <row r="225" spans="11:13">
      <c r="K225" s="78"/>
      <c r="L225" s="78"/>
      <c r="M225" s="78"/>
    </row>
    <row r="226" spans="11:13">
      <c r="K226" s="78"/>
      <c r="L226" s="78"/>
      <c r="M226" s="78"/>
    </row>
    <row r="227" spans="11:13">
      <c r="K227" s="78"/>
      <c r="L227" s="78"/>
      <c r="M227" s="78"/>
    </row>
    <row r="228" spans="11:13">
      <c r="K228" s="78"/>
      <c r="L228" s="78"/>
      <c r="M228" s="78"/>
    </row>
    <row r="229" spans="11:13">
      <c r="K229" s="78"/>
      <c r="L229" s="78"/>
      <c r="M229" s="78"/>
    </row>
    <row r="230" spans="11:13">
      <c r="K230" s="78"/>
      <c r="L230" s="78"/>
      <c r="M230" s="78"/>
    </row>
    <row r="231" spans="11:13">
      <c r="K231" s="78"/>
      <c r="L231" s="78"/>
      <c r="M231" s="78"/>
    </row>
    <row r="232" spans="11:13">
      <c r="K232" s="78"/>
      <c r="L232" s="78"/>
      <c r="M232" s="78"/>
    </row>
    <row r="233" spans="11:13">
      <c r="K233" s="78"/>
      <c r="L233" s="78"/>
      <c r="M233" s="78"/>
    </row>
    <row r="234" spans="11:13">
      <c r="K234" s="78"/>
      <c r="L234" s="78"/>
      <c r="M234" s="78"/>
    </row>
    <row r="235" spans="11:13">
      <c r="K235" s="78"/>
      <c r="L235" s="78"/>
      <c r="M235" s="78"/>
    </row>
    <row r="236" spans="11:13">
      <c r="K236" s="78"/>
      <c r="L236" s="78"/>
      <c r="M236" s="78"/>
    </row>
    <row r="237" spans="11:13">
      <c r="K237" s="78"/>
      <c r="L237" s="78"/>
      <c r="M237" s="78"/>
    </row>
    <row r="238" spans="11:13">
      <c r="K238" s="78"/>
      <c r="L238" s="78"/>
      <c r="M238" s="78"/>
    </row>
    <row r="239" spans="11:13">
      <c r="K239" s="78"/>
      <c r="L239" s="78"/>
      <c r="M239" s="78"/>
    </row>
    <row r="240" spans="11:13">
      <c r="K240" s="78"/>
      <c r="L240" s="78"/>
      <c r="M240" s="78"/>
    </row>
    <row r="241" spans="11:13">
      <c r="K241" s="78"/>
      <c r="L241" s="78"/>
      <c r="M241" s="78"/>
    </row>
    <row r="242" spans="11:13">
      <c r="K242" s="78"/>
      <c r="L242" s="78"/>
      <c r="M242" s="78"/>
    </row>
    <row r="243" spans="11:13">
      <c r="K243" s="78"/>
      <c r="L243" s="78"/>
      <c r="M243" s="78"/>
    </row>
    <row r="244" spans="11:13">
      <c r="K244" s="78"/>
      <c r="L244" s="78"/>
      <c r="M244" s="78"/>
    </row>
    <row r="245" spans="11:13">
      <c r="K245" s="78"/>
      <c r="L245" s="78"/>
      <c r="M245" s="78"/>
    </row>
    <row r="246" spans="11:13">
      <c r="K246" s="78"/>
      <c r="L246" s="78"/>
      <c r="M246" s="78"/>
    </row>
    <row r="247" spans="11:13">
      <c r="K247" s="78"/>
      <c r="L247" s="78"/>
      <c r="M247" s="78"/>
    </row>
    <row r="248" spans="11:13">
      <c r="K248" s="78"/>
      <c r="L248" s="78"/>
      <c r="M248" s="78"/>
    </row>
    <row r="249" spans="11:13">
      <c r="K249" s="78"/>
      <c r="L249" s="78"/>
      <c r="M249" s="78"/>
    </row>
    <row r="250" spans="11:13">
      <c r="K250" s="78"/>
      <c r="L250" s="78"/>
      <c r="M250" s="78"/>
    </row>
    <row r="251" spans="11:13">
      <c r="K251" s="78"/>
      <c r="L251" s="78"/>
      <c r="M251" s="78"/>
    </row>
    <row r="252" spans="11:13">
      <c r="K252" s="78"/>
      <c r="L252" s="78"/>
      <c r="M252" s="78"/>
    </row>
    <row r="253" spans="11:13">
      <c r="K253" s="78"/>
      <c r="L253" s="78"/>
      <c r="M253" s="78"/>
    </row>
    <row r="254" spans="11:13">
      <c r="K254" s="78"/>
      <c r="L254" s="78"/>
      <c r="M254" s="78"/>
    </row>
    <row r="255" spans="11:13">
      <c r="K255" s="78"/>
      <c r="L255" s="78"/>
      <c r="M255" s="78"/>
    </row>
    <row r="256" spans="11:13">
      <c r="K256" s="78"/>
      <c r="L256" s="78"/>
      <c r="M256" s="78"/>
    </row>
    <row r="257" spans="11:13">
      <c r="K257" s="78"/>
      <c r="L257" s="78"/>
      <c r="M257" s="78"/>
    </row>
    <row r="258" spans="11:13">
      <c r="K258" s="78"/>
      <c r="L258" s="78"/>
      <c r="M258" s="78"/>
    </row>
    <row r="259" spans="11:13">
      <c r="K259" s="78"/>
      <c r="L259" s="78"/>
      <c r="M259" s="78"/>
    </row>
    <row r="260" spans="11:13">
      <c r="K260" s="78"/>
      <c r="L260" s="78"/>
      <c r="M260" s="78"/>
    </row>
    <row r="261" spans="11:13">
      <c r="K261" s="78"/>
      <c r="L261" s="78"/>
      <c r="M261" s="78"/>
    </row>
    <row r="262" spans="11:13">
      <c r="K262" s="78"/>
      <c r="L262" s="78"/>
      <c r="M262" s="78"/>
    </row>
    <row r="263" spans="11:13">
      <c r="K263" s="78"/>
      <c r="L263" s="78"/>
      <c r="M263" s="78"/>
    </row>
    <row r="264" spans="11:13">
      <c r="K264" s="78"/>
      <c r="L264" s="78"/>
      <c r="M264" s="78"/>
    </row>
    <row r="265" spans="11:13">
      <c r="K265" s="78"/>
      <c r="L265" s="78"/>
      <c r="M265" s="78"/>
    </row>
    <row r="266" spans="11:13">
      <c r="K266" s="78"/>
      <c r="L266" s="78"/>
      <c r="M266" s="78"/>
    </row>
    <row r="267" spans="11:13">
      <c r="K267" s="78"/>
      <c r="L267" s="78"/>
      <c r="M267" s="78"/>
    </row>
    <row r="268" spans="11:13">
      <c r="K268" s="78"/>
      <c r="L268" s="78"/>
      <c r="M268" s="78"/>
    </row>
    <row r="269" spans="11:13">
      <c r="K269" s="78"/>
      <c r="L269" s="78"/>
      <c r="M269" s="78"/>
    </row>
    <row r="270" spans="11:13">
      <c r="K270" s="78"/>
      <c r="L270" s="78"/>
      <c r="M270" s="78"/>
    </row>
    <row r="271" spans="11:13">
      <c r="K271" s="78"/>
      <c r="L271" s="78"/>
      <c r="M271" s="78"/>
    </row>
    <row r="272" spans="11:13">
      <c r="K272" s="78"/>
      <c r="L272" s="78"/>
      <c r="M272" s="78"/>
    </row>
    <row r="273" spans="11:13">
      <c r="K273" s="78"/>
      <c r="L273" s="78"/>
      <c r="M273" s="78"/>
    </row>
    <row r="274" spans="11:13">
      <c r="K274" s="78"/>
      <c r="L274" s="78"/>
      <c r="M274" s="78"/>
    </row>
    <row r="275" spans="11:13">
      <c r="K275" s="78"/>
      <c r="L275" s="78"/>
      <c r="M275" s="78"/>
    </row>
    <row r="276" spans="11:13">
      <c r="K276" s="78"/>
      <c r="L276" s="78"/>
      <c r="M276" s="78"/>
    </row>
    <row r="277" spans="11:13">
      <c r="K277" s="78"/>
      <c r="L277" s="78"/>
      <c r="M277" s="78"/>
    </row>
    <row r="278" spans="11:13">
      <c r="K278" s="78"/>
      <c r="L278" s="78"/>
      <c r="M278" s="78"/>
    </row>
    <row r="279" spans="11:13">
      <c r="K279" s="78"/>
      <c r="L279" s="78"/>
      <c r="M279" s="78"/>
    </row>
    <row r="280" spans="11:13">
      <c r="K280" s="78"/>
      <c r="L280" s="78"/>
      <c r="M280" s="78"/>
    </row>
    <row r="281" spans="11:13">
      <c r="K281" s="78"/>
      <c r="L281" s="78"/>
      <c r="M281" s="78"/>
    </row>
    <row r="282" spans="11:13">
      <c r="K282" s="78"/>
      <c r="L282" s="78"/>
      <c r="M282" s="78"/>
    </row>
    <row r="283" spans="11:13">
      <c r="K283" s="78"/>
      <c r="L283" s="78"/>
      <c r="M283" s="78"/>
    </row>
    <row r="284" spans="11:13">
      <c r="K284" s="78"/>
      <c r="L284" s="78"/>
      <c r="M284" s="78"/>
    </row>
    <row r="285" spans="11:13">
      <c r="K285" s="78"/>
      <c r="L285" s="78"/>
      <c r="M285" s="78"/>
    </row>
    <row r="286" spans="11:13">
      <c r="K286" s="78"/>
      <c r="L286" s="78"/>
      <c r="M286" s="78"/>
    </row>
    <row r="287" spans="11:13">
      <c r="K287" s="78"/>
      <c r="L287" s="78"/>
      <c r="M287" s="78"/>
    </row>
    <row r="288" spans="11:13">
      <c r="K288" s="78"/>
      <c r="L288" s="78"/>
      <c r="M288" s="78"/>
    </row>
    <row r="289" spans="11:13">
      <c r="K289" s="78"/>
      <c r="L289" s="78"/>
      <c r="M289" s="78"/>
    </row>
    <row r="290" spans="11:13">
      <c r="K290" s="78"/>
      <c r="L290" s="78"/>
      <c r="M290" s="78"/>
    </row>
    <row r="291" spans="11:13">
      <c r="K291" s="78"/>
      <c r="L291" s="78"/>
      <c r="M291" s="78"/>
    </row>
    <row r="292" spans="11:13">
      <c r="K292" s="78"/>
      <c r="L292" s="78"/>
      <c r="M292" s="78"/>
    </row>
    <row r="293" spans="11:13">
      <c r="K293" s="78"/>
      <c r="L293" s="78"/>
      <c r="M293" s="78"/>
    </row>
    <row r="294" spans="11:13">
      <c r="K294" s="78"/>
      <c r="L294" s="78"/>
      <c r="M294" s="78"/>
    </row>
    <row r="295" spans="11:13">
      <c r="K295" s="78"/>
      <c r="L295" s="78"/>
      <c r="M295" s="78"/>
    </row>
    <row r="296" spans="11:13">
      <c r="K296" s="78"/>
      <c r="L296" s="78"/>
      <c r="M296" s="78"/>
    </row>
    <row r="297" spans="11:13">
      <c r="K297" s="78"/>
      <c r="L297" s="78"/>
      <c r="M297" s="78"/>
    </row>
    <row r="298" spans="11:13">
      <c r="K298" s="78"/>
      <c r="L298" s="78"/>
      <c r="M298" s="78"/>
    </row>
    <row r="299" spans="11:13">
      <c r="K299" s="78"/>
      <c r="L299" s="78"/>
      <c r="M299" s="78"/>
    </row>
    <row r="300" spans="11:13">
      <c r="K300" s="78"/>
      <c r="L300" s="78"/>
      <c r="M300" s="78"/>
    </row>
    <row r="301" spans="11:13">
      <c r="K301" s="78"/>
      <c r="L301" s="78"/>
      <c r="M301" s="78"/>
    </row>
    <row r="302" spans="11:13">
      <c r="K302" s="78"/>
      <c r="L302" s="78"/>
      <c r="M302" s="78"/>
    </row>
    <row r="303" spans="11:13">
      <c r="K303" s="78"/>
      <c r="L303" s="78"/>
      <c r="M303" s="78"/>
    </row>
    <row r="304" spans="11:13">
      <c r="K304" s="78"/>
      <c r="L304" s="78"/>
      <c r="M304" s="78"/>
    </row>
    <row r="305" spans="11:13">
      <c r="K305" s="78"/>
      <c r="L305" s="78"/>
      <c r="M305" s="78"/>
    </row>
    <row r="306" spans="11:13">
      <c r="K306" s="78"/>
      <c r="L306" s="78"/>
      <c r="M306" s="78"/>
    </row>
    <row r="307" spans="11:13">
      <c r="K307" s="78"/>
      <c r="L307" s="78"/>
      <c r="M307" s="78"/>
    </row>
    <row r="308" spans="11:13">
      <c r="K308" s="78"/>
      <c r="L308" s="78"/>
      <c r="M308" s="78"/>
    </row>
    <row r="309" spans="11:13">
      <c r="K309" s="78"/>
      <c r="L309" s="78"/>
      <c r="M309" s="78"/>
    </row>
    <row r="310" spans="11:13">
      <c r="K310" s="78"/>
      <c r="L310" s="78"/>
      <c r="M310" s="78"/>
    </row>
    <row r="311" spans="11:13">
      <c r="K311" s="78"/>
      <c r="L311" s="78"/>
      <c r="M311" s="78"/>
    </row>
    <row r="312" spans="11:13">
      <c r="K312" s="78"/>
      <c r="L312" s="78"/>
      <c r="M312" s="78"/>
    </row>
    <row r="313" spans="11:13">
      <c r="K313" s="78"/>
      <c r="L313" s="78"/>
      <c r="M313" s="78"/>
    </row>
    <row r="314" spans="11:13">
      <c r="K314" s="78"/>
      <c r="L314" s="78"/>
      <c r="M314" s="78"/>
    </row>
    <row r="315" spans="11:13">
      <c r="K315" s="78"/>
      <c r="L315" s="78"/>
      <c r="M315" s="78"/>
    </row>
    <row r="316" spans="11:13">
      <c r="K316" s="78"/>
      <c r="L316" s="78"/>
      <c r="M316" s="78"/>
    </row>
    <row r="317" spans="11:13">
      <c r="K317" s="78"/>
      <c r="L317" s="78"/>
      <c r="M317" s="78"/>
    </row>
    <row r="318" spans="11:13">
      <c r="K318" s="78"/>
      <c r="L318" s="78"/>
      <c r="M318" s="78"/>
    </row>
    <row r="319" spans="11:13">
      <c r="K319" s="78"/>
      <c r="L319" s="78"/>
      <c r="M319" s="78"/>
    </row>
    <row r="320" spans="11:13">
      <c r="K320" s="78"/>
      <c r="L320" s="78"/>
      <c r="M320" s="78"/>
    </row>
    <row r="321" spans="11:13">
      <c r="K321" s="78"/>
      <c r="L321" s="78"/>
      <c r="M321" s="78"/>
    </row>
    <row r="322" spans="11:13">
      <c r="K322" s="78"/>
      <c r="L322" s="78"/>
      <c r="M322" s="78"/>
    </row>
    <row r="323" spans="11:13">
      <c r="K323" s="78"/>
      <c r="L323" s="78"/>
      <c r="M323" s="78"/>
    </row>
    <row r="324" spans="11:13">
      <c r="K324" s="78"/>
      <c r="L324" s="78"/>
      <c r="M324" s="78"/>
    </row>
    <row r="325" spans="11:13">
      <c r="K325" s="78"/>
      <c r="L325" s="78"/>
      <c r="M325" s="78"/>
    </row>
    <row r="326" spans="11:13">
      <c r="K326" s="78"/>
      <c r="L326" s="78"/>
      <c r="M326" s="78"/>
    </row>
    <row r="327" spans="11:13">
      <c r="K327" s="78"/>
      <c r="L327" s="78"/>
      <c r="M327" s="78"/>
    </row>
    <row r="328" spans="11:13">
      <c r="K328" s="78"/>
      <c r="L328" s="78"/>
      <c r="M328" s="78"/>
    </row>
    <row r="329" spans="11:13">
      <c r="K329" s="78"/>
      <c r="L329" s="78"/>
      <c r="M329" s="78"/>
    </row>
    <row r="330" spans="11:13">
      <c r="K330" s="78"/>
      <c r="L330" s="78"/>
      <c r="M330" s="78"/>
    </row>
    <row r="331" spans="11:13">
      <c r="K331" s="78"/>
      <c r="L331" s="78"/>
      <c r="M331" s="78"/>
    </row>
    <row r="332" spans="11:13">
      <c r="K332" s="78"/>
      <c r="L332" s="78"/>
      <c r="M332" s="78"/>
    </row>
    <row r="333" spans="11:13">
      <c r="K333" s="78"/>
      <c r="L333" s="78"/>
      <c r="M333" s="78"/>
    </row>
    <row r="334" spans="11:13">
      <c r="K334" s="78"/>
      <c r="L334" s="78"/>
      <c r="M334" s="78"/>
    </row>
    <row r="335" spans="11:13">
      <c r="K335" s="78"/>
      <c r="L335" s="78"/>
      <c r="M335" s="78"/>
    </row>
    <row r="336" spans="11:13">
      <c r="K336" s="78"/>
      <c r="L336" s="78"/>
      <c r="M336" s="78"/>
    </row>
    <row r="337" spans="11:13">
      <c r="K337" s="78"/>
      <c r="L337" s="78"/>
      <c r="M337" s="78"/>
    </row>
    <row r="338" spans="11:13">
      <c r="K338" s="78"/>
      <c r="L338" s="78"/>
      <c r="M338" s="78"/>
    </row>
    <row r="339" spans="11:13">
      <c r="K339" s="78"/>
      <c r="L339" s="78"/>
      <c r="M339" s="78"/>
    </row>
    <row r="340" spans="11:13">
      <c r="K340" s="78"/>
      <c r="L340" s="78"/>
      <c r="M340" s="78"/>
    </row>
    <row r="341" spans="11:13">
      <c r="K341" s="78"/>
      <c r="L341" s="78"/>
      <c r="M341" s="78"/>
    </row>
    <row r="342" spans="11:13">
      <c r="K342" s="78"/>
      <c r="L342" s="78"/>
      <c r="M342" s="78"/>
    </row>
    <row r="343" spans="11:13">
      <c r="K343" s="78"/>
      <c r="L343" s="78"/>
      <c r="M343" s="78"/>
    </row>
    <row r="344" spans="11:13">
      <c r="K344" s="78"/>
      <c r="L344" s="78"/>
      <c r="M344" s="78"/>
    </row>
    <row r="345" spans="11:13">
      <c r="K345" s="78"/>
      <c r="L345" s="78"/>
      <c r="M345" s="78"/>
    </row>
    <row r="346" spans="11:13">
      <c r="K346" s="78"/>
      <c r="L346" s="78"/>
      <c r="M346" s="78"/>
    </row>
    <row r="347" spans="11:13">
      <c r="K347" s="78"/>
      <c r="L347" s="78"/>
      <c r="M347" s="78"/>
    </row>
    <row r="348" spans="11:13">
      <c r="K348" s="78"/>
      <c r="L348" s="78"/>
      <c r="M348" s="78"/>
    </row>
    <row r="349" spans="11:13">
      <c r="K349" s="78"/>
      <c r="L349" s="78"/>
      <c r="M349" s="78"/>
    </row>
    <row r="350" spans="11:13">
      <c r="K350" s="78"/>
      <c r="L350" s="78"/>
      <c r="M350" s="78"/>
    </row>
    <row r="351" spans="11:13">
      <c r="K351" s="78"/>
      <c r="L351" s="78"/>
      <c r="M351" s="78"/>
    </row>
    <row r="352" spans="11:13">
      <c r="K352" s="78"/>
      <c r="L352" s="78"/>
      <c r="M352" s="78"/>
    </row>
    <row r="353" spans="11:13">
      <c r="K353" s="78"/>
      <c r="L353" s="78"/>
      <c r="M353" s="78"/>
    </row>
    <row r="354" spans="11:13">
      <c r="K354" s="78"/>
      <c r="L354" s="78"/>
      <c r="M354" s="78"/>
    </row>
    <row r="355" spans="11:13">
      <c r="K355" s="78"/>
      <c r="L355" s="78"/>
      <c r="M355" s="78"/>
    </row>
    <row r="356" spans="11:13">
      <c r="K356" s="78"/>
      <c r="L356" s="78"/>
      <c r="M356" s="78"/>
    </row>
    <row r="357" spans="11:13">
      <c r="K357" s="78"/>
      <c r="L357" s="78"/>
      <c r="M357" s="78"/>
    </row>
    <row r="358" spans="11:13">
      <c r="K358" s="78"/>
      <c r="L358" s="78"/>
      <c r="M358" s="78"/>
    </row>
    <row r="359" spans="11:13">
      <c r="K359" s="78"/>
      <c r="L359" s="78"/>
      <c r="M359" s="78"/>
    </row>
    <row r="360" spans="11:13">
      <c r="K360" s="78"/>
      <c r="L360" s="78"/>
      <c r="M360" s="78"/>
    </row>
    <row r="361" spans="11:13">
      <c r="K361" s="78"/>
      <c r="L361" s="78"/>
      <c r="M361" s="78"/>
    </row>
    <row r="362" spans="11:13">
      <c r="K362" s="78"/>
      <c r="L362" s="78"/>
      <c r="M362" s="78"/>
    </row>
    <row r="363" spans="11:13">
      <c r="K363" s="78"/>
      <c r="L363" s="78"/>
      <c r="M363" s="78"/>
    </row>
    <row r="364" spans="11:13">
      <c r="K364" s="78"/>
      <c r="L364" s="78"/>
      <c r="M364" s="78"/>
    </row>
    <row r="365" spans="11:13">
      <c r="K365" s="78"/>
      <c r="L365" s="78"/>
      <c r="M365" s="78"/>
    </row>
    <row r="366" spans="11:13">
      <c r="K366" s="78"/>
      <c r="L366" s="78"/>
      <c r="M366" s="78"/>
    </row>
    <row r="367" spans="11:13">
      <c r="K367" s="78"/>
      <c r="L367" s="78"/>
      <c r="M367" s="78"/>
    </row>
    <row r="368" spans="11:13">
      <c r="K368" s="78"/>
      <c r="L368" s="78"/>
      <c r="M368" s="78"/>
    </row>
    <row r="369" spans="11:13">
      <c r="K369" s="78"/>
      <c r="L369" s="78"/>
      <c r="M369" s="78"/>
    </row>
    <row r="370" spans="11:13">
      <c r="K370" s="78"/>
      <c r="L370" s="78"/>
      <c r="M370" s="78"/>
    </row>
    <row r="371" spans="11:13">
      <c r="K371" s="78"/>
      <c r="L371" s="78"/>
      <c r="M371" s="78"/>
    </row>
    <row r="372" spans="11:13">
      <c r="K372" s="78"/>
      <c r="L372" s="78"/>
      <c r="M372" s="78"/>
    </row>
    <row r="373" spans="11:13">
      <c r="K373" s="78"/>
      <c r="L373" s="78"/>
      <c r="M373" s="78"/>
    </row>
    <row r="374" spans="11:13">
      <c r="K374" s="78"/>
      <c r="L374" s="78"/>
      <c r="M374" s="78"/>
    </row>
    <row r="375" spans="11:13">
      <c r="K375" s="78"/>
      <c r="L375" s="78"/>
      <c r="M375" s="78"/>
    </row>
    <row r="376" spans="11:13">
      <c r="K376" s="78"/>
      <c r="L376" s="78"/>
      <c r="M376" s="78"/>
    </row>
    <row r="377" spans="11:13">
      <c r="K377" s="78"/>
      <c r="L377" s="78"/>
      <c r="M377" s="78"/>
    </row>
    <row r="378" spans="11:13">
      <c r="K378" s="78"/>
      <c r="L378" s="78"/>
      <c r="M378" s="78"/>
    </row>
    <row r="379" spans="11:13">
      <c r="K379" s="78"/>
      <c r="L379" s="78"/>
      <c r="M379" s="78"/>
    </row>
    <row r="380" spans="11:13">
      <c r="K380" s="78"/>
      <c r="L380" s="78"/>
      <c r="M380" s="78"/>
    </row>
    <row r="381" spans="11:13">
      <c r="K381" s="78"/>
      <c r="L381" s="78"/>
      <c r="M381" s="78"/>
    </row>
    <row r="382" spans="11:13">
      <c r="K382" s="78"/>
      <c r="L382" s="78"/>
      <c r="M382" s="78"/>
    </row>
    <row r="383" spans="11:13">
      <c r="K383" s="78"/>
      <c r="L383" s="78"/>
      <c r="M383" s="78"/>
    </row>
    <row r="384" spans="11:13">
      <c r="K384" s="78"/>
      <c r="L384" s="78"/>
      <c r="M384" s="78"/>
    </row>
    <row r="385" spans="11:13">
      <c r="K385" s="78"/>
      <c r="L385" s="78"/>
      <c r="M385" s="78"/>
    </row>
    <row r="386" spans="11:13">
      <c r="K386" s="78"/>
      <c r="L386" s="78"/>
      <c r="M386" s="78"/>
    </row>
    <row r="387" spans="11:13">
      <c r="K387" s="78"/>
      <c r="L387" s="78"/>
      <c r="M387" s="78"/>
    </row>
    <row r="388" spans="11:13">
      <c r="K388" s="78"/>
      <c r="L388" s="78"/>
      <c r="M388" s="78"/>
    </row>
    <row r="389" spans="11:13">
      <c r="K389" s="78"/>
      <c r="L389" s="78"/>
      <c r="M389" s="78"/>
    </row>
    <row r="390" spans="11:13">
      <c r="K390" s="78"/>
      <c r="L390" s="78"/>
      <c r="M390" s="78"/>
    </row>
    <row r="391" spans="11:13">
      <c r="K391" s="78"/>
      <c r="L391" s="78"/>
      <c r="M391" s="78"/>
    </row>
    <row r="392" spans="11:13">
      <c r="K392" s="78"/>
      <c r="L392" s="78"/>
      <c r="M392" s="78"/>
    </row>
    <row r="393" spans="11:13">
      <c r="K393" s="78"/>
      <c r="L393" s="78"/>
      <c r="M393" s="78"/>
    </row>
    <row r="394" spans="11:13">
      <c r="K394" s="78"/>
      <c r="L394" s="78"/>
      <c r="M394" s="78"/>
    </row>
    <row r="395" spans="11:13">
      <c r="K395" s="78"/>
      <c r="L395" s="78"/>
      <c r="M395" s="78"/>
    </row>
    <row r="396" spans="11:13">
      <c r="K396" s="78"/>
      <c r="L396" s="78"/>
      <c r="M396" s="78"/>
    </row>
    <row r="397" spans="11:13">
      <c r="K397" s="78"/>
      <c r="L397" s="78"/>
      <c r="M397" s="78"/>
    </row>
    <row r="398" spans="11:13">
      <c r="K398" s="78"/>
      <c r="L398" s="78"/>
      <c r="M398" s="78"/>
    </row>
    <row r="399" spans="11:13">
      <c r="K399" s="78"/>
      <c r="L399" s="78"/>
      <c r="M399" s="78"/>
    </row>
    <row r="400" spans="11:13">
      <c r="K400" s="78"/>
      <c r="L400" s="78"/>
      <c r="M400" s="78"/>
    </row>
    <row r="401" spans="11:13">
      <c r="K401" s="78"/>
      <c r="L401" s="78"/>
      <c r="M401" s="78"/>
    </row>
    <row r="402" spans="11:13">
      <c r="K402" s="78"/>
      <c r="L402" s="78"/>
      <c r="M402" s="78"/>
    </row>
    <row r="403" spans="11:13">
      <c r="K403" s="78"/>
      <c r="L403" s="78"/>
      <c r="M403" s="78"/>
    </row>
    <row r="404" spans="11:13">
      <c r="K404" s="78"/>
      <c r="L404" s="78"/>
      <c r="M404" s="78"/>
    </row>
    <row r="405" spans="11:13">
      <c r="K405" s="78"/>
      <c r="L405" s="78"/>
      <c r="M405" s="78"/>
    </row>
    <row r="406" spans="11:13">
      <c r="K406" s="78"/>
      <c r="L406" s="78"/>
      <c r="M406" s="78"/>
    </row>
    <row r="407" spans="11:13">
      <c r="K407" s="78"/>
      <c r="L407" s="78"/>
      <c r="M407" s="78"/>
    </row>
    <row r="408" spans="11:13">
      <c r="K408" s="78"/>
      <c r="L408" s="78"/>
      <c r="M408" s="78"/>
    </row>
    <row r="409" spans="11:13">
      <c r="K409" s="78"/>
      <c r="L409" s="78"/>
      <c r="M409" s="78"/>
    </row>
    <row r="410" spans="11:13">
      <c r="K410" s="78"/>
      <c r="L410" s="78"/>
      <c r="M410" s="78"/>
    </row>
    <row r="411" spans="11:13">
      <c r="K411" s="78"/>
      <c r="L411" s="78"/>
      <c r="M411" s="78"/>
    </row>
    <row r="412" spans="11:13">
      <c r="K412" s="78"/>
      <c r="L412" s="78"/>
      <c r="M412" s="78"/>
    </row>
    <row r="413" spans="11:13">
      <c r="K413" s="78"/>
      <c r="L413" s="78"/>
      <c r="M413" s="78"/>
    </row>
    <row r="414" spans="11:13">
      <c r="K414" s="78"/>
      <c r="L414" s="78"/>
      <c r="M414" s="78"/>
    </row>
    <row r="415" spans="11:13">
      <c r="K415" s="78"/>
      <c r="L415" s="78"/>
      <c r="M415" s="78"/>
    </row>
    <row r="416" spans="11:13">
      <c r="K416" s="78"/>
      <c r="L416" s="78"/>
      <c r="M416" s="78"/>
    </row>
    <row r="417" spans="11:13">
      <c r="K417" s="78"/>
      <c r="L417" s="78"/>
      <c r="M417" s="78"/>
    </row>
    <row r="418" spans="11:13">
      <c r="K418" s="78"/>
      <c r="L418" s="78"/>
      <c r="M418" s="78"/>
    </row>
    <row r="419" spans="11:13">
      <c r="K419" s="78"/>
      <c r="L419" s="78"/>
      <c r="M419" s="78"/>
    </row>
    <row r="420" spans="11:13">
      <c r="K420" s="78"/>
      <c r="L420" s="78"/>
      <c r="M420" s="78"/>
    </row>
    <row r="421" spans="11:13">
      <c r="K421" s="78"/>
      <c r="L421" s="78"/>
      <c r="M421" s="78"/>
    </row>
    <row r="422" spans="11:13">
      <c r="K422" s="78"/>
      <c r="L422" s="78"/>
      <c r="M422" s="78"/>
    </row>
    <row r="423" spans="11:13">
      <c r="K423" s="78"/>
      <c r="L423" s="78"/>
      <c r="M423" s="78"/>
    </row>
    <row r="424" spans="11:13">
      <c r="K424" s="78"/>
      <c r="L424" s="78"/>
      <c r="M424" s="78"/>
    </row>
    <row r="425" spans="11:13">
      <c r="K425" s="78"/>
      <c r="L425" s="78"/>
      <c r="M425" s="78"/>
    </row>
    <row r="426" spans="11:13">
      <c r="K426" s="78"/>
      <c r="L426" s="78"/>
      <c r="M426" s="78"/>
    </row>
    <row r="427" spans="11:13">
      <c r="K427" s="78"/>
      <c r="L427" s="78"/>
      <c r="M427" s="78"/>
    </row>
    <row r="428" spans="11:13">
      <c r="K428" s="78"/>
      <c r="L428" s="78"/>
      <c r="M428" s="78"/>
    </row>
    <row r="429" spans="11:13">
      <c r="K429" s="78"/>
      <c r="L429" s="78"/>
      <c r="M429" s="78"/>
    </row>
    <row r="430" spans="11:13">
      <c r="K430" s="78"/>
      <c r="L430" s="78"/>
      <c r="M430" s="78"/>
    </row>
    <row r="431" spans="11:13">
      <c r="K431" s="78"/>
      <c r="L431" s="78"/>
      <c r="M431" s="78"/>
    </row>
    <row r="432" spans="11:13">
      <c r="K432" s="78"/>
      <c r="L432" s="78"/>
      <c r="M432" s="78"/>
    </row>
    <row r="433" spans="11:13">
      <c r="K433" s="78"/>
      <c r="L433" s="78"/>
      <c r="M433" s="78"/>
    </row>
    <row r="434" spans="11:13">
      <c r="K434" s="78"/>
      <c r="L434" s="78"/>
      <c r="M434" s="78"/>
    </row>
    <row r="435" spans="11:13">
      <c r="K435" s="78"/>
      <c r="L435" s="78"/>
      <c r="M435" s="78"/>
    </row>
    <row r="436" spans="11:13">
      <c r="K436" s="78"/>
      <c r="L436" s="78"/>
      <c r="M436" s="78"/>
    </row>
    <row r="437" spans="11:13">
      <c r="K437" s="78"/>
      <c r="L437" s="78"/>
      <c r="M437" s="78"/>
    </row>
    <row r="438" spans="11:13">
      <c r="K438" s="78"/>
      <c r="L438" s="78"/>
      <c r="M438" s="78"/>
    </row>
    <row r="439" spans="11:13">
      <c r="K439" s="78"/>
      <c r="L439" s="78"/>
      <c r="M439" s="78"/>
    </row>
    <row r="440" spans="11:13">
      <c r="K440" s="78"/>
      <c r="L440" s="78"/>
      <c r="M440" s="78"/>
    </row>
    <row r="441" spans="11:13">
      <c r="K441" s="78"/>
      <c r="L441" s="78"/>
      <c r="M441" s="78"/>
    </row>
    <row r="442" spans="11:13">
      <c r="K442" s="78"/>
      <c r="L442" s="78"/>
      <c r="M442" s="78"/>
    </row>
    <row r="443" spans="11:13">
      <c r="K443" s="78"/>
      <c r="L443" s="78"/>
      <c r="M443" s="78"/>
    </row>
    <row r="444" spans="11:13">
      <c r="K444" s="78"/>
      <c r="L444" s="78"/>
      <c r="M444" s="78"/>
    </row>
    <row r="445" spans="11:13">
      <c r="K445" s="78"/>
      <c r="L445" s="78"/>
      <c r="M445" s="78"/>
    </row>
    <row r="446" spans="11:13">
      <c r="K446" s="78"/>
      <c r="L446" s="78"/>
      <c r="M446" s="78"/>
    </row>
    <row r="447" spans="11:13">
      <c r="K447" s="78"/>
      <c r="L447" s="78"/>
      <c r="M447" s="78"/>
    </row>
    <row r="448" spans="11:13">
      <c r="K448" s="78"/>
      <c r="L448" s="78"/>
      <c r="M448" s="78"/>
    </row>
    <row r="449" spans="11:13">
      <c r="K449" s="78"/>
      <c r="L449" s="78"/>
      <c r="M449" s="78"/>
    </row>
    <row r="450" spans="11:13">
      <c r="K450" s="78"/>
      <c r="L450" s="78"/>
      <c r="M450" s="78"/>
    </row>
    <row r="451" spans="11:13">
      <c r="K451" s="78"/>
      <c r="L451" s="78"/>
      <c r="M451" s="78"/>
    </row>
    <row r="452" spans="11:13">
      <c r="K452" s="78"/>
      <c r="L452" s="78"/>
      <c r="M452" s="78"/>
    </row>
    <row r="453" spans="11:13">
      <c r="K453" s="78"/>
      <c r="L453" s="78"/>
      <c r="M453" s="78"/>
    </row>
    <row r="454" spans="11:13">
      <c r="K454" s="78"/>
      <c r="L454" s="78"/>
      <c r="M454" s="78"/>
    </row>
    <row r="455" spans="11:13">
      <c r="K455" s="78"/>
      <c r="L455" s="78"/>
      <c r="M455" s="78"/>
    </row>
    <row r="456" spans="11:13">
      <c r="K456" s="78"/>
      <c r="L456" s="78"/>
      <c r="M456" s="78"/>
    </row>
    <row r="457" spans="11:13">
      <c r="K457" s="78"/>
      <c r="L457" s="78"/>
      <c r="M457" s="78"/>
    </row>
    <row r="458" spans="11:13">
      <c r="K458" s="78"/>
      <c r="L458" s="78"/>
      <c r="M458" s="78"/>
    </row>
    <row r="459" spans="11:13">
      <c r="K459" s="78"/>
      <c r="L459" s="78"/>
      <c r="M459" s="78"/>
    </row>
    <row r="460" spans="11:13">
      <c r="K460" s="78"/>
      <c r="L460" s="78"/>
      <c r="M460" s="78"/>
    </row>
    <row r="461" spans="11:13">
      <c r="K461" s="78"/>
      <c r="L461" s="78"/>
      <c r="M461" s="78"/>
    </row>
    <row r="462" spans="11:13">
      <c r="K462" s="78"/>
      <c r="L462" s="78"/>
      <c r="M462" s="78"/>
    </row>
    <row r="463" spans="11:13">
      <c r="K463" s="78"/>
      <c r="L463" s="78"/>
      <c r="M463" s="78"/>
    </row>
    <row r="464" spans="11:13">
      <c r="K464" s="78"/>
      <c r="L464" s="78"/>
      <c r="M464" s="78"/>
    </row>
    <row r="465" spans="11:13">
      <c r="K465" s="78"/>
      <c r="L465" s="78"/>
      <c r="M465" s="78"/>
    </row>
    <row r="466" spans="11:13">
      <c r="K466" s="78"/>
      <c r="L466" s="78"/>
      <c r="M466" s="78"/>
    </row>
    <row r="467" spans="11:13">
      <c r="K467" s="78"/>
      <c r="L467" s="78"/>
      <c r="M467" s="78"/>
    </row>
    <row r="468" spans="11:13">
      <c r="K468" s="78"/>
      <c r="L468" s="78"/>
      <c r="M468" s="78"/>
    </row>
    <row r="469" spans="11:13">
      <c r="K469" s="78"/>
      <c r="L469" s="78"/>
      <c r="M469" s="78"/>
    </row>
    <row r="470" spans="11:13">
      <c r="K470" s="78"/>
      <c r="L470" s="78"/>
      <c r="M470" s="78"/>
    </row>
    <row r="471" spans="11:13">
      <c r="K471" s="78"/>
      <c r="L471" s="78"/>
      <c r="M471" s="78"/>
    </row>
    <row r="472" spans="11:13">
      <c r="K472" s="78"/>
      <c r="L472" s="78"/>
      <c r="M472" s="78"/>
    </row>
    <row r="473" spans="11:13">
      <c r="K473" s="78"/>
      <c r="L473" s="78"/>
      <c r="M473" s="78"/>
    </row>
    <row r="474" spans="11:13">
      <c r="K474" s="78"/>
      <c r="L474" s="78"/>
      <c r="M474" s="78"/>
    </row>
    <row r="475" spans="11:13">
      <c r="K475" s="78"/>
      <c r="L475" s="78"/>
      <c r="M475" s="78"/>
    </row>
    <row r="476" spans="11:13">
      <c r="K476" s="78"/>
      <c r="L476" s="78"/>
      <c r="M476" s="78"/>
    </row>
    <row r="477" spans="11:13">
      <c r="K477" s="78"/>
      <c r="L477" s="78"/>
      <c r="M477" s="78"/>
    </row>
    <row r="478" spans="11:13">
      <c r="K478" s="78"/>
      <c r="L478" s="78"/>
      <c r="M478" s="78"/>
    </row>
    <row r="479" spans="11:13">
      <c r="K479" s="78"/>
      <c r="L479" s="78"/>
      <c r="M479" s="78"/>
    </row>
    <row r="480" spans="11:13">
      <c r="K480" s="78"/>
      <c r="L480" s="78"/>
      <c r="M480" s="78"/>
    </row>
    <row r="481" spans="11:13">
      <c r="K481" s="78"/>
      <c r="L481" s="78"/>
      <c r="M481" s="78"/>
    </row>
    <row r="482" spans="11:13">
      <c r="K482" s="78"/>
      <c r="L482" s="78"/>
      <c r="M482" s="78"/>
    </row>
    <row r="483" spans="11:13">
      <c r="K483" s="78"/>
      <c r="L483" s="78"/>
      <c r="M483" s="78"/>
    </row>
    <row r="484" spans="11:13">
      <c r="K484" s="78"/>
      <c r="L484" s="78"/>
      <c r="M484" s="78"/>
    </row>
    <row r="485" spans="11:13">
      <c r="K485" s="78"/>
      <c r="L485" s="78"/>
      <c r="M485" s="78"/>
    </row>
    <row r="486" spans="11:13">
      <c r="K486" s="78"/>
      <c r="L486" s="78"/>
      <c r="M486" s="78"/>
    </row>
    <row r="487" spans="11:13">
      <c r="K487" s="78"/>
      <c r="L487" s="78"/>
      <c r="M487" s="78"/>
    </row>
    <row r="488" spans="11:13">
      <c r="K488" s="78"/>
      <c r="L488" s="78"/>
      <c r="M488" s="78"/>
    </row>
    <row r="489" spans="11:13">
      <c r="K489" s="78"/>
      <c r="L489" s="78"/>
      <c r="M489" s="78"/>
    </row>
    <row r="490" spans="11:13">
      <c r="K490" s="78"/>
      <c r="L490" s="78"/>
      <c r="M490" s="78"/>
    </row>
    <row r="491" spans="11:13">
      <c r="K491" s="78"/>
      <c r="L491" s="78"/>
      <c r="M491" s="78"/>
    </row>
    <row r="492" spans="11:13">
      <c r="K492" s="78"/>
      <c r="L492" s="78"/>
      <c r="M492" s="78"/>
    </row>
    <row r="493" spans="11:13">
      <c r="K493" s="78"/>
      <c r="L493" s="78"/>
      <c r="M493" s="78"/>
    </row>
    <row r="494" spans="11:13">
      <c r="K494" s="78"/>
      <c r="L494" s="78"/>
      <c r="M494" s="78"/>
    </row>
    <row r="495" spans="11:13">
      <c r="K495" s="78"/>
      <c r="L495" s="78"/>
      <c r="M495" s="78"/>
    </row>
    <row r="496" spans="11:13">
      <c r="K496" s="78"/>
      <c r="L496" s="78"/>
      <c r="M496" s="78"/>
    </row>
    <row r="497" spans="11:13">
      <c r="K497" s="78"/>
      <c r="L497" s="78"/>
      <c r="M497" s="78"/>
    </row>
    <row r="498" spans="11:13">
      <c r="K498" s="78"/>
      <c r="L498" s="78"/>
      <c r="M498" s="78"/>
    </row>
    <row r="499" spans="11:13">
      <c r="K499" s="78"/>
      <c r="L499" s="78"/>
      <c r="M499" s="78"/>
    </row>
    <row r="500" spans="11:13">
      <c r="K500" s="78"/>
      <c r="L500" s="78"/>
      <c r="M500" s="78"/>
    </row>
    <row r="501" spans="11:13">
      <c r="K501" s="78"/>
      <c r="L501" s="78"/>
      <c r="M501" s="78"/>
    </row>
    <row r="502" spans="11:13">
      <c r="K502" s="78"/>
      <c r="L502" s="78"/>
      <c r="M502" s="78"/>
    </row>
    <row r="503" spans="11:13">
      <c r="K503" s="78"/>
      <c r="L503" s="78"/>
      <c r="M503" s="78"/>
    </row>
    <row r="504" spans="11:13">
      <c r="K504" s="78"/>
      <c r="L504" s="78"/>
      <c r="M504" s="78"/>
    </row>
    <row r="505" spans="11:13">
      <c r="K505" s="78"/>
      <c r="L505" s="78"/>
      <c r="M505" s="78"/>
    </row>
    <row r="506" spans="11:13">
      <c r="K506" s="78"/>
      <c r="L506" s="78"/>
      <c r="M506" s="78"/>
    </row>
    <row r="507" spans="11:13">
      <c r="K507" s="78"/>
      <c r="L507" s="78"/>
      <c r="M507" s="78"/>
    </row>
    <row r="508" spans="11:13">
      <c r="K508" s="78"/>
      <c r="L508" s="78"/>
      <c r="M508" s="78"/>
    </row>
    <row r="509" spans="11:13">
      <c r="K509" s="78"/>
      <c r="L509" s="78"/>
      <c r="M509" s="78"/>
    </row>
    <row r="510" spans="11:13">
      <c r="K510" s="78"/>
      <c r="L510" s="78"/>
      <c r="M510" s="78"/>
    </row>
    <row r="511" spans="11:13">
      <c r="K511" s="78"/>
      <c r="L511" s="78"/>
      <c r="M511" s="78"/>
    </row>
    <row r="512" spans="11:13">
      <c r="K512" s="78"/>
      <c r="L512" s="78"/>
      <c r="M512" s="78"/>
    </row>
    <row r="513" spans="11:13">
      <c r="K513" s="78"/>
      <c r="L513" s="78"/>
      <c r="M513" s="78"/>
    </row>
    <row r="514" spans="11:13">
      <c r="K514" s="78"/>
      <c r="L514" s="78"/>
      <c r="M514" s="78"/>
    </row>
    <row r="515" spans="11:13">
      <c r="K515" s="78"/>
      <c r="L515" s="78"/>
      <c r="M515" s="78"/>
    </row>
    <row r="516" spans="11:13">
      <c r="K516" s="78"/>
      <c r="L516" s="78"/>
      <c r="M516" s="78"/>
    </row>
    <row r="517" spans="11:13">
      <c r="K517" s="78"/>
      <c r="L517" s="78"/>
      <c r="M517" s="78"/>
    </row>
    <row r="518" spans="11:13">
      <c r="K518" s="78"/>
      <c r="L518" s="78"/>
      <c r="M518" s="78"/>
    </row>
    <row r="519" spans="11:13">
      <c r="K519" s="78"/>
      <c r="L519" s="78"/>
      <c r="M519" s="78"/>
    </row>
    <row r="520" spans="11:13">
      <c r="K520" s="78"/>
      <c r="L520" s="78"/>
      <c r="M520" s="78"/>
    </row>
    <row r="521" spans="11:13">
      <c r="K521" s="78"/>
      <c r="L521" s="78"/>
      <c r="M521" s="78"/>
    </row>
    <row r="522" spans="11:13">
      <c r="K522" s="78"/>
      <c r="L522" s="78"/>
      <c r="M522" s="78"/>
    </row>
    <row r="523" spans="11:13">
      <c r="K523" s="78"/>
      <c r="L523" s="78"/>
      <c r="M523" s="78"/>
    </row>
    <row r="524" spans="11:13">
      <c r="K524" s="78"/>
      <c r="L524" s="78"/>
      <c r="M524" s="78"/>
    </row>
    <row r="525" spans="11:13">
      <c r="K525" s="78"/>
      <c r="L525" s="78"/>
      <c r="M525" s="78"/>
    </row>
    <row r="526" spans="11:13">
      <c r="K526" s="78"/>
      <c r="L526" s="78"/>
      <c r="M526" s="78"/>
    </row>
    <row r="527" spans="11:13">
      <c r="K527" s="78"/>
      <c r="L527" s="78"/>
      <c r="M527" s="78"/>
    </row>
    <row r="528" spans="11:13">
      <c r="K528" s="78"/>
      <c r="L528" s="78"/>
      <c r="M528" s="78"/>
    </row>
    <row r="529" spans="11:13">
      <c r="K529" s="78"/>
      <c r="L529" s="78"/>
      <c r="M529" s="78"/>
    </row>
    <row r="530" spans="11:13">
      <c r="K530" s="78"/>
      <c r="L530" s="78"/>
      <c r="M530" s="78"/>
    </row>
    <row r="531" spans="11:13">
      <c r="K531" s="78"/>
      <c r="L531" s="78"/>
      <c r="M531" s="78"/>
    </row>
    <row r="532" spans="11:13">
      <c r="K532" s="78"/>
      <c r="L532" s="78"/>
      <c r="M532" s="78"/>
    </row>
    <row r="533" spans="11:13">
      <c r="K533" s="78"/>
      <c r="L533" s="78"/>
      <c r="M533" s="78"/>
    </row>
    <row r="534" spans="11:13">
      <c r="K534" s="78"/>
      <c r="L534" s="78"/>
      <c r="M534" s="78"/>
    </row>
    <row r="535" spans="11:13">
      <c r="K535" s="78"/>
      <c r="L535" s="78"/>
      <c r="M535" s="78"/>
    </row>
    <row r="536" spans="11:13">
      <c r="K536" s="78"/>
      <c r="L536" s="78"/>
      <c r="M536" s="78"/>
    </row>
    <row r="537" spans="11:13">
      <c r="K537" s="78"/>
      <c r="L537" s="78"/>
      <c r="M537" s="78"/>
    </row>
    <row r="538" spans="11:13">
      <c r="K538" s="78"/>
      <c r="L538" s="78"/>
      <c r="M538" s="78"/>
    </row>
    <row r="539" spans="11:13">
      <c r="K539" s="78"/>
      <c r="L539" s="78"/>
      <c r="M539" s="78"/>
    </row>
    <row r="540" spans="11:13">
      <c r="K540" s="78"/>
      <c r="L540" s="78"/>
      <c r="M540" s="78"/>
    </row>
    <row r="541" spans="11:13">
      <c r="K541" s="78"/>
      <c r="L541" s="78"/>
      <c r="M541" s="78"/>
    </row>
    <row r="542" spans="11:13">
      <c r="K542" s="78"/>
      <c r="L542" s="78"/>
      <c r="M542" s="78"/>
    </row>
    <row r="543" spans="11:13">
      <c r="K543" s="78"/>
      <c r="L543" s="78"/>
      <c r="M543" s="78"/>
    </row>
    <row r="544" spans="11:13">
      <c r="K544" s="78"/>
      <c r="L544" s="78"/>
      <c r="M544" s="78"/>
    </row>
    <row r="545" spans="11:13">
      <c r="K545" s="78"/>
      <c r="L545" s="78"/>
      <c r="M545" s="78"/>
    </row>
    <row r="546" spans="11:13">
      <c r="K546" s="78"/>
      <c r="L546" s="78"/>
      <c r="M546" s="78"/>
    </row>
    <row r="547" spans="11:13">
      <c r="K547" s="78"/>
      <c r="L547" s="78"/>
      <c r="M547" s="78"/>
    </row>
    <row r="548" spans="11:13">
      <c r="K548" s="78"/>
      <c r="L548" s="78"/>
      <c r="M548" s="78"/>
    </row>
    <row r="549" spans="11:13">
      <c r="K549" s="78"/>
      <c r="L549" s="78"/>
      <c r="M549" s="78"/>
    </row>
    <row r="550" spans="11:13">
      <c r="K550" s="78"/>
      <c r="L550" s="78"/>
      <c r="M550" s="78"/>
    </row>
    <row r="551" spans="11:13">
      <c r="K551" s="78"/>
      <c r="L551" s="78"/>
      <c r="M551" s="78"/>
    </row>
    <row r="552" spans="11:13">
      <c r="K552" s="78"/>
      <c r="L552" s="78"/>
      <c r="M552" s="78"/>
    </row>
    <row r="553" spans="11:13">
      <c r="K553" s="78"/>
      <c r="L553" s="78"/>
      <c r="M553" s="78"/>
    </row>
    <row r="554" spans="11:13">
      <c r="K554" s="78"/>
      <c r="L554" s="78"/>
      <c r="M554" s="78"/>
    </row>
    <row r="555" spans="11:13">
      <c r="K555" s="78"/>
      <c r="L555" s="78"/>
      <c r="M555" s="78"/>
    </row>
    <row r="556" spans="11:13">
      <c r="K556" s="78"/>
      <c r="L556" s="78"/>
      <c r="M556" s="78"/>
    </row>
    <row r="557" spans="11:13">
      <c r="K557" s="78"/>
      <c r="L557" s="78"/>
      <c r="M557" s="78"/>
    </row>
    <row r="558" spans="11:13">
      <c r="K558" s="78"/>
      <c r="L558" s="78"/>
      <c r="M558" s="78"/>
    </row>
    <row r="559" spans="11:13">
      <c r="K559" s="78"/>
      <c r="L559" s="78"/>
      <c r="M559" s="78"/>
    </row>
    <row r="560" spans="11:13">
      <c r="K560" s="78"/>
      <c r="L560" s="78"/>
      <c r="M560" s="78"/>
    </row>
    <row r="561" spans="11:13">
      <c r="K561" s="78"/>
      <c r="L561" s="78"/>
      <c r="M561" s="78"/>
    </row>
    <row r="562" spans="11:13">
      <c r="K562" s="78"/>
      <c r="L562" s="78"/>
      <c r="M562" s="78"/>
    </row>
    <row r="563" spans="11:13">
      <c r="K563" s="78"/>
      <c r="L563" s="78"/>
      <c r="M563" s="78"/>
    </row>
    <row r="564" spans="11:13">
      <c r="K564" s="78"/>
      <c r="L564" s="78"/>
      <c r="M564" s="78"/>
    </row>
    <row r="565" spans="11:13">
      <c r="K565" s="78"/>
      <c r="L565" s="78"/>
      <c r="M565" s="78"/>
    </row>
    <row r="566" spans="11:13">
      <c r="K566" s="78"/>
      <c r="L566" s="78"/>
      <c r="M566" s="78"/>
    </row>
    <row r="567" spans="11:13">
      <c r="K567" s="78"/>
      <c r="L567" s="78"/>
      <c r="M567" s="78"/>
    </row>
    <row r="568" spans="11:13">
      <c r="K568" s="78"/>
      <c r="L568" s="78"/>
      <c r="M568" s="78"/>
    </row>
    <row r="569" spans="11:13">
      <c r="K569" s="78"/>
      <c r="L569" s="78"/>
      <c r="M569" s="78"/>
    </row>
    <row r="570" spans="11:13">
      <c r="K570" s="78"/>
      <c r="L570" s="78"/>
      <c r="M570" s="78"/>
    </row>
    <row r="571" spans="11:13">
      <c r="K571" s="78"/>
      <c r="L571" s="78"/>
      <c r="M571" s="78"/>
    </row>
    <row r="572" spans="11:13">
      <c r="K572" s="78"/>
      <c r="L572" s="78"/>
      <c r="M572" s="78"/>
    </row>
    <row r="573" spans="11:13">
      <c r="K573" s="78"/>
      <c r="L573" s="78"/>
      <c r="M573" s="78"/>
    </row>
    <row r="574" spans="11:13">
      <c r="K574" s="78"/>
      <c r="L574" s="78"/>
      <c r="M574" s="78"/>
    </row>
    <row r="575" spans="11:13">
      <c r="K575" s="78"/>
      <c r="L575" s="78"/>
      <c r="M575" s="78"/>
    </row>
    <row r="576" spans="11:13">
      <c r="K576" s="78"/>
      <c r="L576" s="78"/>
      <c r="M576" s="78"/>
    </row>
    <row r="577" spans="11:13">
      <c r="K577" s="78"/>
      <c r="L577" s="78"/>
      <c r="M577" s="78"/>
    </row>
    <row r="578" spans="11:13">
      <c r="K578" s="78"/>
      <c r="L578" s="78"/>
      <c r="M578" s="78"/>
    </row>
    <row r="579" spans="11:13">
      <c r="K579" s="78"/>
      <c r="L579" s="78"/>
      <c r="M579" s="78"/>
    </row>
    <row r="580" spans="11:13">
      <c r="K580" s="78"/>
      <c r="L580" s="78"/>
      <c r="M580" s="78"/>
    </row>
    <row r="581" spans="11:13">
      <c r="K581" s="78"/>
      <c r="L581" s="78"/>
      <c r="M581" s="78"/>
    </row>
    <row r="582" spans="11:13">
      <c r="K582" s="78"/>
      <c r="L582" s="78"/>
      <c r="M582" s="78"/>
    </row>
    <row r="583" spans="11:13">
      <c r="K583" s="78"/>
      <c r="L583" s="78"/>
      <c r="M583" s="78"/>
    </row>
    <row r="584" spans="11:13">
      <c r="K584" s="78"/>
      <c r="L584" s="78"/>
      <c r="M584" s="78"/>
    </row>
    <row r="585" spans="11:13">
      <c r="K585" s="78"/>
      <c r="L585" s="78"/>
      <c r="M585" s="78"/>
    </row>
    <row r="586" spans="11:13">
      <c r="K586" s="78"/>
      <c r="L586" s="78"/>
      <c r="M586" s="78"/>
    </row>
    <row r="587" spans="11:13">
      <c r="K587" s="78"/>
      <c r="L587" s="78"/>
      <c r="M587" s="78"/>
    </row>
    <row r="588" spans="11:13">
      <c r="K588" s="78"/>
      <c r="L588" s="78"/>
      <c r="M588" s="78"/>
    </row>
    <row r="589" spans="11:13">
      <c r="K589" s="78"/>
      <c r="L589" s="78"/>
      <c r="M589" s="78"/>
    </row>
    <row r="590" spans="11:13">
      <c r="K590" s="78"/>
      <c r="L590" s="78"/>
      <c r="M590" s="78"/>
    </row>
    <row r="591" spans="11:13">
      <c r="K591" s="78"/>
      <c r="L591" s="78"/>
      <c r="M591" s="78"/>
    </row>
    <row r="592" spans="11:13">
      <c r="K592" s="78"/>
      <c r="L592" s="78"/>
      <c r="M592" s="78"/>
    </row>
    <row r="593" spans="11:13">
      <c r="K593" s="78"/>
      <c r="L593" s="78"/>
      <c r="M593" s="78"/>
    </row>
    <row r="594" spans="11:13">
      <c r="K594" s="78"/>
      <c r="L594" s="78"/>
      <c r="M594" s="78"/>
    </row>
    <row r="595" spans="11:13">
      <c r="K595" s="78"/>
      <c r="L595" s="78"/>
      <c r="M595" s="78"/>
    </row>
    <row r="596" spans="11:13">
      <c r="K596" s="78"/>
      <c r="L596" s="78"/>
      <c r="M596" s="78"/>
    </row>
    <row r="597" spans="11:13">
      <c r="K597" s="78"/>
      <c r="L597" s="78"/>
      <c r="M597" s="78"/>
    </row>
    <row r="598" spans="11:13">
      <c r="K598" s="78"/>
      <c r="L598" s="78"/>
      <c r="M598" s="78"/>
    </row>
    <row r="599" spans="11:13">
      <c r="K599" s="78"/>
      <c r="L599" s="78"/>
      <c r="M599" s="78"/>
    </row>
    <row r="600" spans="11:13">
      <c r="K600" s="78"/>
      <c r="L600" s="78"/>
      <c r="M600" s="78"/>
    </row>
    <row r="601" spans="11:13">
      <c r="K601" s="78"/>
      <c r="L601" s="78"/>
      <c r="M601" s="78"/>
    </row>
    <row r="602" spans="11:13">
      <c r="K602" s="78"/>
      <c r="L602" s="78"/>
      <c r="M602" s="78"/>
    </row>
    <row r="603" spans="11:13">
      <c r="K603" s="78"/>
      <c r="L603" s="78"/>
      <c r="M603" s="78"/>
    </row>
    <row r="604" spans="11:13">
      <c r="K604" s="78"/>
      <c r="L604" s="78"/>
      <c r="M604" s="78"/>
    </row>
    <row r="605" spans="11:13">
      <c r="K605" s="78"/>
      <c r="L605" s="78"/>
      <c r="M605" s="78"/>
    </row>
    <row r="606" spans="11:13">
      <c r="K606" s="78"/>
      <c r="L606" s="78"/>
      <c r="M606" s="78"/>
    </row>
    <row r="607" spans="11:13">
      <c r="K607" s="78"/>
      <c r="L607" s="78"/>
      <c r="M607" s="78"/>
    </row>
    <row r="608" spans="11:13">
      <c r="K608" s="78"/>
      <c r="L608" s="78"/>
      <c r="M608" s="78"/>
    </row>
    <row r="609" spans="11:13">
      <c r="K609" s="78"/>
      <c r="L609" s="78"/>
      <c r="M609" s="78"/>
    </row>
    <row r="610" spans="11:13">
      <c r="K610" s="78"/>
      <c r="L610" s="78"/>
      <c r="M610" s="78"/>
    </row>
    <row r="611" spans="11:13">
      <c r="K611" s="78"/>
      <c r="L611" s="78"/>
      <c r="M611" s="78"/>
    </row>
    <row r="612" spans="11:13">
      <c r="K612" s="78"/>
      <c r="L612" s="78"/>
      <c r="M612" s="78"/>
    </row>
    <row r="613" spans="11:13">
      <c r="K613" s="78"/>
      <c r="L613" s="78"/>
      <c r="M613" s="78"/>
    </row>
    <row r="614" spans="11:13">
      <c r="K614" s="78"/>
      <c r="L614" s="78"/>
      <c r="M614" s="78"/>
    </row>
    <row r="615" spans="11:13">
      <c r="K615" s="78"/>
      <c r="L615" s="78"/>
      <c r="M615" s="78"/>
    </row>
    <row r="616" spans="11:13">
      <c r="K616" s="78"/>
      <c r="L616" s="78"/>
      <c r="M616" s="78"/>
    </row>
    <row r="617" spans="11:13">
      <c r="K617" s="78"/>
      <c r="L617" s="78"/>
      <c r="M617" s="78"/>
    </row>
  </sheetData>
  <mergeCells count="11">
    <mergeCell ref="H5:H6"/>
    <mergeCell ref="A1:H1"/>
    <mergeCell ref="A2:H2"/>
    <mergeCell ref="A3:H3"/>
    <mergeCell ref="A4:G4"/>
    <mergeCell ref="A5:A6"/>
    <mergeCell ref="B5:B6"/>
    <mergeCell ref="C5:C6"/>
    <mergeCell ref="D5:D6"/>
    <mergeCell ref="E5:E6"/>
    <mergeCell ref="G5:G6"/>
  </mergeCells>
  <printOptions horizontalCentered="1"/>
  <pageMargins left="0.196850393700787" right="0.196850393700787" top="0.23622047244094499" bottom="0" header="0.31496062992126" footer="0.35433070866141703"/>
  <pageSetup scale="64" orientation="portrait" r:id="rId1"/>
  <rowBreaks count="2" manualBreakCount="2">
    <brk id="46" max="7" man="1"/>
    <brk id="86" max="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O617"/>
  <sheetViews>
    <sheetView showGridLines="0" view="pageBreakPreview" zoomScaleNormal="70" zoomScaleSheetLayoutView="100" workbookViewId="0">
      <selection activeCell="H20" sqref="H20"/>
    </sheetView>
  </sheetViews>
  <sheetFormatPr defaultRowHeight="14.25"/>
  <cols>
    <col min="1" max="1" width="8" style="146" customWidth="1"/>
    <col min="2" max="2" width="75.7109375" style="146" customWidth="1"/>
    <col min="3" max="8" width="12.7109375" style="64" customWidth="1"/>
    <col min="9" max="9" width="12" style="64" customWidth="1"/>
    <col min="10" max="10" width="20.7109375" style="64" customWidth="1"/>
    <col min="11" max="11" width="45.42578125" style="64" customWidth="1"/>
    <col min="12" max="16384" width="9.140625" style="64"/>
  </cols>
  <sheetData>
    <row r="1" spans="1:15" ht="15.75" customHeight="1">
      <c r="A1" s="357" t="s">
        <v>167</v>
      </c>
      <c r="B1" s="357"/>
      <c r="C1" s="357"/>
      <c r="D1" s="357"/>
      <c r="E1" s="357"/>
      <c r="F1" s="357"/>
      <c r="G1" s="357"/>
      <c r="H1" s="357"/>
    </row>
    <row r="2" spans="1:15" ht="15.75" customHeight="1">
      <c r="A2" s="357" t="s">
        <v>993</v>
      </c>
      <c r="B2" s="357"/>
      <c r="C2" s="357"/>
      <c r="D2" s="357"/>
      <c r="E2" s="357"/>
      <c r="F2" s="357"/>
      <c r="G2" s="357"/>
      <c r="H2" s="357"/>
    </row>
    <row r="3" spans="1:15" ht="15.75" customHeight="1">
      <c r="A3" s="357" t="s">
        <v>281</v>
      </c>
      <c r="B3" s="357"/>
      <c r="C3" s="357"/>
      <c r="D3" s="357"/>
      <c r="E3" s="357"/>
      <c r="F3" s="357"/>
      <c r="G3" s="357"/>
      <c r="H3" s="357"/>
    </row>
    <row r="4" spans="1:15" ht="15.75" customHeight="1" thickBot="1">
      <c r="A4" s="348"/>
      <c r="B4" s="348"/>
      <c r="C4" s="348"/>
      <c r="D4" s="348"/>
      <c r="E4" s="348"/>
      <c r="F4" s="348"/>
      <c r="G4" s="348"/>
    </row>
    <row r="5" spans="1:15" ht="17.25" customHeight="1" thickTop="1" thickBot="1">
      <c r="A5" s="358" t="s">
        <v>53</v>
      </c>
      <c r="B5" s="362" t="s">
        <v>142</v>
      </c>
      <c r="C5" s="360" t="s">
        <v>54</v>
      </c>
      <c r="D5" s="361" t="s">
        <v>342</v>
      </c>
      <c r="E5" s="361" t="s">
        <v>994</v>
      </c>
      <c r="F5" s="136" t="s">
        <v>172</v>
      </c>
      <c r="G5" s="360" t="s">
        <v>148</v>
      </c>
      <c r="H5" s="356" t="s">
        <v>130</v>
      </c>
    </row>
    <row r="6" spans="1:15" s="137" customFormat="1" ht="31.5" customHeight="1" thickTop="1" thickBot="1">
      <c r="A6" s="358"/>
      <c r="B6" s="362"/>
      <c r="C6" s="360"/>
      <c r="D6" s="363"/>
      <c r="E6" s="363"/>
      <c r="F6" s="136" t="s">
        <v>995</v>
      </c>
      <c r="G6" s="360"/>
      <c r="H6" s="356"/>
    </row>
    <row r="7" spans="1:15" s="137" customFormat="1" ht="15.75" customHeight="1" thickTop="1">
      <c r="A7" s="268">
        <v>0</v>
      </c>
      <c r="B7" s="269" t="s">
        <v>61</v>
      </c>
      <c r="C7" s="270">
        <v>100.00000138049801</v>
      </c>
      <c r="D7" s="127">
        <v>130.72200000000001</v>
      </c>
      <c r="E7" s="271">
        <v>134.34829999999999</v>
      </c>
      <c r="F7" s="271">
        <f>(E7/D7-1)*100</f>
        <v>2.7740548645216467</v>
      </c>
      <c r="G7" s="271">
        <f>SUM(G8,G22,G29,G36,G51,G67,G77,G89,G94,G112,G121,G126)</f>
        <v>2.7740733022140289</v>
      </c>
      <c r="H7" s="139">
        <f>SUM(H8,H22,H29,H36,H51,H67,H77,H89,H94,H112,H121,H126)</f>
        <v>99.999999999999986</v>
      </c>
      <c r="I7" s="140"/>
      <c r="J7" s="141"/>
      <c r="K7" s="159"/>
    </row>
    <row r="8" spans="1:15" ht="15.75" customHeight="1">
      <c r="A8" s="142">
        <v>1</v>
      </c>
      <c r="B8" s="143" t="s">
        <v>62</v>
      </c>
      <c r="C8" s="280">
        <v>23.835128000000001</v>
      </c>
      <c r="D8" s="145">
        <v>141.8382</v>
      </c>
      <c r="E8" s="144">
        <v>146.50210000000001</v>
      </c>
      <c r="F8" s="144">
        <f>(E8/D8-1)*100</f>
        <v>3.2881832961783264</v>
      </c>
      <c r="G8" s="144">
        <f>(E8-D8)/$D$7*C8</f>
        <v>0.85038978503389095</v>
      </c>
      <c r="H8" s="144">
        <f>(G8/$G$7)*100</f>
        <v>30.654913997953198</v>
      </c>
      <c r="I8" s="140"/>
      <c r="J8" s="146"/>
      <c r="K8" s="78"/>
      <c r="L8" s="78"/>
      <c r="M8" s="78"/>
      <c r="N8" s="78"/>
      <c r="O8" s="78"/>
    </row>
    <row r="9" spans="1:15" ht="15.75" customHeight="1">
      <c r="A9" s="142">
        <v>11</v>
      </c>
      <c r="B9" s="143" t="s">
        <v>63</v>
      </c>
      <c r="C9" s="280">
        <v>21.043777299999999</v>
      </c>
      <c r="D9" s="145">
        <v>142.31049999999999</v>
      </c>
      <c r="E9" s="144">
        <v>146.4102</v>
      </c>
      <c r="F9" s="144">
        <f t="shared" ref="F9:F13" si="0">(E9/D9-1)*100</f>
        <v>2.8808134325998491</v>
      </c>
      <c r="G9" s="144">
        <f t="shared" ref="G9:G72" si="1">(E9-D9)/$D$7*C9</f>
        <v>0.65997440214202852</v>
      </c>
      <c r="H9" s="144">
        <f t="shared" ref="H9:H72" si="2">(G9/$G$7)*100</f>
        <v>23.790806162738857</v>
      </c>
      <c r="I9" s="140"/>
      <c r="J9" s="146"/>
      <c r="K9" s="78"/>
      <c r="L9" s="78"/>
      <c r="M9" s="78"/>
      <c r="N9" s="78"/>
      <c r="O9" s="78"/>
    </row>
    <row r="10" spans="1:15" ht="15.75" customHeight="1">
      <c r="A10" s="142">
        <v>111</v>
      </c>
      <c r="B10" s="143" t="s">
        <v>174</v>
      </c>
      <c r="C10" s="280">
        <v>3.7578867599999999</v>
      </c>
      <c r="D10" s="145">
        <v>145.33279999999999</v>
      </c>
      <c r="E10" s="144">
        <v>149.13130000000001</v>
      </c>
      <c r="F10" s="144">
        <f t="shared" si="0"/>
        <v>2.6136563803903945</v>
      </c>
      <c r="G10" s="144">
        <f t="shared" si="1"/>
        <v>0.10919610209345075</v>
      </c>
      <c r="H10" s="144">
        <f t="shared" si="2"/>
        <v>3.9363091813867976</v>
      </c>
      <c r="I10" s="140"/>
      <c r="J10" s="146"/>
      <c r="K10" s="78"/>
      <c r="L10" s="78"/>
      <c r="M10" s="78"/>
      <c r="N10" s="78"/>
      <c r="O10" s="78"/>
    </row>
    <row r="11" spans="1:15" ht="15.75" customHeight="1">
      <c r="A11" s="142">
        <v>112</v>
      </c>
      <c r="B11" s="143" t="s">
        <v>175</v>
      </c>
      <c r="C11" s="280">
        <v>5.2990781800000004</v>
      </c>
      <c r="D11" s="145">
        <v>146.1722</v>
      </c>
      <c r="E11" s="144">
        <v>153.69489999999999</v>
      </c>
      <c r="F11" s="144">
        <f t="shared" si="0"/>
        <v>5.1464642387540005</v>
      </c>
      <c r="G11" s="144">
        <f t="shared" si="1"/>
        <v>0.30494771671704785</v>
      </c>
      <c r="H11" s="144">
        <f t="shared" si="2"/>
        <v>10.992777893564117</v>
      </c>
      <c r="I11" s="140"/>
      <c r="J11" s="146"/>
      <c r="K11" s="78"/>
      <c r="L11" s="78"/>
      <c r="M11" s="78"/>
      <c r="N11" s="78"/>
      <c r="O11" s="78"/>
    </row>
    <row r="12" spans="1:15" ht="15.75" customHeight="1">
      <c r="A12" s="142">
        <v>113</v>
      </c>
      <c r="B12" s="143" t="s">
        <v>176</v>
      </c>
      <c r="C12" s="280">
        <v>0.87925302500000002</v>
      </c>
      <c r="D12" s="145">
        <v>136.11680000000001</v>
      </c>
      <c r="E12" s="144">
        <v>151.47149999999999</v>
      </c>
      <c r="F12" s="144">
        <f t="shared" si="0"/>
        <v>11.280532601412885</v>
      </c>
      <c r="G12" s="144">
        <f t="shared" si="1"/>
        <v>0.1032776917654831</v>
      </c>
      <c r="H12" s="144">
        <f t="shared" si="2"/>
        <v>3.722961887238367</v>
      </c>
      <c r="I12" s="140"/>
      <c r="J12" s="146"/>
      <c r="K12" s="78"/>
      <c r="L12" s="78"/>
      <c r="M12" s="78"/>
      <c r="N12" s="78"/>
      <c r="O12" s="78"/>
    </row>
    <row r="13" spans="1:15" ht="15.75" customHeight="1">
      <c r="A13" s="142">
        <v>114</v>
      </c>
      <c r="B13" s="143" t="s">
        <v>177</v>
      </c>
      <c r="C13" s="280">
        <v>2.9905282500000001</v>
      </c>
      <c r="D13" s="145">
        <v>136.5018</v>
      </c>
      <c r="E13" s="144">
        <v>141.477</v>
      </c>
      <c r="F13" s="144">
        <f t="shared" si="0"/>
        <v>3.6447871017085465</v>
      </c>
      <c r="G13" s="144">
        <f t="shared" si="1"/>
        <v>0.11381769059071925</v>
      </c>
      <c r="H13" s="144">
        <f t="shared" si="2"/>
        <v>4.1029085460676065</v>
      </c>
      <c r="I13" s="140"/>
      <c r="J13" s="146"/>
      <c r="K13" s="78"/>
      <c r="L13" s="78"/>
      <c r="M13" s="78"/>
      <c r="N13" s="78"/>
      <c r="O13" s="78"/>
    </row>
    <row r="14" spans="1:15" ht="15.75" customHeight="1">
      <c r="A14" s="142">
        <v>115</v>
      </c>
      <c r="B14" s="143" t="s">
        <v>178</v>
      </c>
      <c r="C14" s="280">
        <v>0.65911803199999996</v>
      </c>
      <c r="D14" s="145">
        <v>159.68969999999999</v>
      </c>
      <c r="E14" s="144">
        <v>158.67609999999999</v>
      </c>
      <c r="F14" s="144">
        <f t="shared" ref="F14:F77" si="3">(E14/D14-1)*100</f>
        <v>-0.63473098139704698</v>
      </c>
      <c r="G14" s="144">
        <f t="shared" si="1"/>
        <v>-5.1107085053410878E-3</v>
      </c>
      <c r="H14" s="144">
        <f t="shared" si="2"/>
        <v>-0.18423119898317597</v>
      </c>
      <c r="I14" s="140"/>
      <c r="J14" s="146"/>
      <c r="K14" s="78"/>
      <c r="L14" s="78"/>
      <c r="M14" s="78"/>
      <c r="N14" s="78"/>
      <c r="O14" s="78"/>
    </row>
    <row r="15" spans="1:15" ht="15.75" customHeight="1">
      <c r="A15" s="142">
        <v>116</v>
      </c>
      <c r="B15" s="143" t="s">
        <v>179</v>
      </c>
      <c r="C15" s="280">
        <v>2.1186846799999999</v>
      </c>
      <c r="D15" s="145">
        <v>140.21340000000001</v>
      </c>
      <c r="E15" s="144">
        <v>141.7175</v>
      </c>
      <c r="F15" s="144">
        <f t="shared" si="3"/>
        <v>1.0727220080249067</v>
      </c>
      <c r="G15" s="144">
        <f t="shared" si="1"/>
        <v>2.4377791245452082E-2</v>
      </c>
      <c r="H15" s="144">
        <f t="shared" si="2"/>
        <v>0.87877242558788216</v>
      </c>
      <c r="I15" s="140"/>
      <c r="J15" s="146"/>
      <c r="K15" s="78"/>
      <c r="L15" s="78"/>
      <c r="M15" s="78"/>
      <c r="N15" s="78"/>
      <c r="O15" s="78"/>
    </row>
    <row r="16" spans="1:15" ht="15.75" customHeight="1">
      <c r="A16" s="142">
        <v>117</v>
      </c>
      <c r="B16" s="143" t="s">
        <v>180</v>
      </c>
      <c r="C16" s="280">
        <v>3.42007577</v>
      </c>
      <c r="D16" s="145">
        <v>138.6848</v>
      </c>
      <c r="E16" s="144">
        <v>135.83750000000001</v>
      </c>
      <c r="F16" s="144">
        <f t="shared" si="3"/>
        <v>-2.0530728673942567</v>
      </c>
      <c r="G16" s="144">
        <f t="shared" si="1"/>
        <v>-7.4493824604282097E-2</v>
      </c>
      <c r="H16" s="144">
        <f t="shared" si="2"/>
        <v>-2.6853589104811135</v>
      </c>
      <c r="I16" s="140"/>
      <c r="J16" s="146"/>
      <c r="K16" s="78"/>
      <c r="L16" s="78"/>
      <c r="M16" s="78"/>
      <c r="N16" s="78"/>
      <c r="O16" s="78"/>
    </row>
    <row r="17" spans="1:15" ht="15.75" customHeight="1">
      <c r="A17" s="142">
        <v>118</v>
      </c>
      <c r="B17" s="143" t="s">
        <v>181</v>
      </c>
      <c r="C17" s="280">
        <v>0.62855216700000005</v>
      </c>
      <c r="D17" s="145">
        <v>137.8107</v>
      </c>
      <c r="E17" s="144">
        <v>141.15260000000001</v>
      </c>
      <c r="F17" s="144">
        <f t="shared" si="3"/>
        <v>2.424993124626762</v>
      </c>
      <c r="G17" s="144">
        <f t="shared" si="1"/>
        <v>1.6068898019440541E-2</v>
      </c>
      <c r="H17" s="144">
        <f t="shared" si="2"/>
        <v>0.57925282675896539</v>
      </c>
      <c r="I17" s="140"/>
      <c r="J17" s="146"/>
      <c r="K17" s="78"/>
      <c r="L17" s="78"/>
      <c r="M17" s="78"/>
      <c r="N17" s="78"/>
      <c r="O17" s="78"/>
    </row>
    <row r="18" spans="1:15" ht="15.75" customHeight="1">
      <c r="A18" s="142">
        <v>119</v>
      </c>
      <c r="B18" s="143" t="s">
        <v>64</v>
      </c>
      <c r="C18" s="280">
        <v>1.2906004</v>
      </c>
      <c r="D18" s="145">
        <v>141.69970000000001</v>
      </c>
      <c r="E18" s="144">
        <v>148.57689999999999</v>
      </c>
      <c r="F18" s="144">
        <f t="shared" si="3"/>
        <v>4.8533624277256715</v>
      </c>
      <c r="G18" s="144">
        <f t="shared" si="1"/>
        <v>6.7897653576903527E-2</v>
      </c>
      <c r="H18" s="144">
        <f t="shared" si="2"/>
        <v>2.4475796484077552</v>
      </c>
      <c r="I18" s="140"/>
      <c r="J18" s="146"/>
      <c r="K18" s="78"/>
      <c r="L18" s="78"/>
      <c r="M18" s="78"/>
      <c r="N18" s="78"/>
      <c r="O18" s="78"/>
    </row>
    <row r="19" spans="1:15" ht="15.75" customHeight="1">
      <c r="A19" s="142">
        <v>12</v>
      </c>
      <c r="B19" s="143" t="s">
        <v>65</v>
      </c>
      <c r="C19" s="280">
        <v>2.7913507399999999</v>
      </c>
      <c r="D19" s="145">
        <v>138.2782</v>
      </c>
      <c r="E19" s="144">
        <v>147.1952</v>
      </c>
      <c r="F19" s="144">
        <f t="shared" si="3"/>
        <v>6.4485942108011285</v>
      </c>
      <c r="G19" s="144">
        <f t="shared" si="1"/>
        <v>0.19040769379737155</v>
      </c>
      <c r="H19" s="144">
        <f t="shared" si="2"/>
        <v>6.8638306581662549</v>
      </c>
      <c r="I19" s="140"/>
      <c r="J19" s="146"/>
      <c r="K19" s="78"/>
      <c r="L19" s="78"/>
      <c r="M19" s="78"/>
      <c r="N19" s="78"/>
      <c r="O19" s="78"/>
    </row>
    <row r="20" spans="1:15" ht="15.75" customHeight="1">
      <c r="A20" s="142">
        <v>121</v>
      </c>
      <c r="B20" s="143" t="s">
        <v>182</v>
      </c>
      <c r="C20" s="280">
        <v>0.57634590900000005</v>
      </c>
      <c r="D20" s="145">
        <v>139.79179999999999</v>
      </c>
      <c r="E20" s="144">
        <v>159.54759999999999</v>
      </c>
      <c r="F20" s="144">
        <f t="shared" si="3"/>
        <v>14.132302466954428</v>
      </c>
      <c r="G20" s="144">
        <f t="shared" si="1"/>
        <v>8.7102205512631356E-2</v>
      </c>
      <c r="H20" s="144">
        <f t="shared" si="2"/>
        <v>3.1398667599415555</v>
      </c>
      <c r="I20" s="140"/>
      <c r="J20" s="146"/>
      <c r="K20" s="78"/>
      <c r="L20" s="78"/>
      <c r="M20" s="78"/>
      <c r="N20" s="78"/>
      <c r="O20" s="78"/>
    </row>
    <row r="21" spans="1:15" ht="15.75" customHeight="1">
      <c r="A21" s="128">
        <v>122</v>
      </c>
      <c r="B21" s="143" t="s">
        <v>66</v>
      </c>
      <c r="C21" s="280">
        <v>2.2150048299999998</v>
      </c>
      <c r="D21" s="145">
        <v>137.8844</v>
      </c>
      <c r="E21" s="144">
        <v>143.9811</v>
      </c>
      <c r="F21" s="144">
        <f t="shared" si="3"/>
        <v>4.4216024437862433</v>
      </c>
      <c r="G21" s="144">
        <f t="shared" si="1"/>
        <v>0.10330487559141532</v>
      </c>
      <c r="H21" s="144">
        <f t="shared" si="2"/>
        <v>3.723941811810314</v>
      </c>
      <c r="I21" s="140"/>
      <c r="J21" s="146"/>
      <c r="K21" s="78"/>
      <c r="L21" s="78"/>
      <c r="M21" s="78"/>
      <c r="N21" s="78"/>
      <c r="O21" s="78"/>
    </row>
    <row r="22" spans="1:15" ht="15.75" customHeight="1">
      <c r="A22" s="142">
        <v>2</v>
      </c>
      <c r="B22" s="143" t="s">
        <v>67</v>
      </c>
      <c r="C22" s="280">
        <v>2.3590851499999999</v>
      </c>
      <c r="D22" s="145">
        <v>133.221</v>
      </c>
      <c r="E22" s="144">
        <v>138.0335</v>
      </c>
      <c r="F22" s="144">
        <f t="shared" si="3"/>
        <v>3.6124184625547118</v>
      </c>
      <c r="G22" s="144">
        <f t="shared" si="1"/>
        <v>8.6849170639792833E-2</v>
      </c>
      <c r="H22" s="144">
        <f t="shared" si="2"/>
        <v>3.13074534009167</v>
      </c>
      <c r="I22" s="140"/>
      <c r="J22" s="146"/>
      <c r="K22" s="78"/>
      <c r="L22" s="78"/>
      <c r="M22" s="78"/>
      <c r="N22" s="78"/>
      <c r="O22" s="78"/>
    </row>
    <row r="23" spans="1:15" ht="15.75" customHeight="1">
      <c r="A23" s="142">
        <v>21</v>
      </c>
      <c r="B23" s="143" t="s">
        <v>15</v>
      </c>
      <c r="C23" s="280">
        <v>2.13972074</v>
      </c>
      <c r="D23" s="145">
        <v>133.8732</v>
      </c>
      <c r="E23" s="144">
        <v>138.72219999999999</v>
      </c>
      <c r="F23" s="144">
        <f t="shared" si="3"/>
        <v>3.6220841811505089</v>
      </c>
      <c r="G23" s="144">
        <f t="shared" si="1"/>
        <v>7.9370770553234937E-2</v>
      </c>
      <c r="H23" s="144">
        <f t="shared" si="2"/>
        <v>2.8611634195061808</v>
      </c>
      <c r="I23" s="140"/>
      <c r="J23" s="146"/>
      <c r="K23" s="78"/>
      <c r="L23" s="78"/>
      <c r="M23" s="78"/>
      <c r="N23" s="78"/>
      <c r="O23" s="78"/>
    </row>
    <row r="24" spans="1:15" ht="15.75" customHeight="1">
      <c r="A24" s="142">
        <v>211</v>
      </c>
      <c r="B24" s="143" t="s">
        <v>68</v>
      </c>
      <c r="C24" s="280">
        <v>0.49473110799999998</v>
      </c>
      <c r="D24" s="145">
        <v>132.60310000000001</v>
      </c>
      <c r="E24" s="144">
        <v>135.2269</v>
      </c>
      <c r="F24" s="144">
        <f t="shared" si="3"/>
        <v>1.9786867727828339</v>
      </c>
      <c r="G24" s="144">
        <f t="shared" si="1"/>
        <v>9.930046060880297E-3</v>
      </c>
      <c r="H24" s="144">
        <f t="shared" si="2"/>
        <v>0.35795903637279453</v>
      </c>
      <c r="I24" s="140"/>
      <c r="J24" s="146"/>
      <c r="K24" s="78"/>
      <c r="L24" s="78"/>
      <c r="M24" s="78"/>
      <c r="N24" s="78"/>
      <c r="O24" s="78"/>
    </row>
    <row r="25" spans="1:15" ht="15.75" customHeight="1">
      <c r="A25" s="142">
        <v>212</v>
      </c>
      <c r="B25" s="143" t="s">
        <v>69</v>
      </c>
      <c r="C25" s="280">
        <v>0.121235303</v>
      </c>
      <c r="D25" s="145">
        <v>128.31370000000001</v>
      </c>
      <c r="E25" s="144">
        <v>131.6722</v>
      </c>
      <c r="F25" s="144">
        <f t="shared" si="3"/>
        <v>2.6174134172734398</v>
      </c>
      <c r="G25" s="144">
        <f t="shared" si="1"/>
        <v>3.1147684791045043E-3</v>
      </c>
      <c r="H25" s="144">
        <f t="shared" si="2"/>
        <v>0.11228140498733619</v>
      </c>
      <c r="I25" s="140"/>
      <c r="J25" s="146"/>
      <c r="K25" s="78"/>
      <c r="L25" s="78"/>
      <c r="M25" s="78"/>
      <c r="N25" s="78"/>
      <c r="O25" s="78"/>
    </row>
    <row r="26" spans="1:15" ht="15.75" customHeight="1">
      <c r="A26" s="142">
        <v>213</v>
      </c>
      <c r="B26" s="143" t="s">
        <v>70</v>
      </c>
      <c r="C26" s="280">
        <v>1.52375433</v>
      </c>
      <c r="D26" s="145">
        <v>134.72790000000001</v>
      </c>
      <c r="E26" s="144">
        <v>140.4179</v>
      </c>
      <c r="F26" s="144">
        <f t="shared" si="3"/>
        <v>4.2233271653458582</v>
      </c>
      <c r="G26" s="144">
        <f t="shared" si="1"/>
        <v>6.6325194976362023E-2</v>
      </c>
      <c r="H26" s="144">
        <f t="shared" si="2"/>
        <v>2.3908955442319026</v>
      </c>
      <c r="I26" s="140"/>
      <c r="J26" s="146"/>
      <c r="K26" s="78"/>
      <c r="L26" s="78"/>
      <c r="M26" s="78"/>
      <c r="N26" s="78"/>
      <c r="O26" s="78"/>
    </row>
    <row r="27" spans="1:15" ht="15.75" customHeight="1">
      <c r="A27" s="142">
        <v>22</v>
      </c>
      <c r="B27" s="143" t="s">
        <v>71</v>
      </c>
      <c r="C27" s="280">
        <v>0.21936440700000001</v>
      </c>
      <c r="D27" s="145">
        <v>126.8591</v>
      </c>
      <c r="E27" s="144">
        <v>131.3167</v>
      </c>
      <c r="F27" s="144">
        <f t="shared" si="3"/>
        <v>3.5138196629173724</v>
      </c>
      <c r="G27" s="144">
        <f t="shared" si="1"/>
        <v>7.4802923811079997E-3</v>
      </c>
      <c r="H27" s="144">
        <f t="shared" si="2"/>
        <v>0.2696501341596802</v>
      </c>
      <c r="I27" s="140"/>
      <c r="J27" s="146"/>
      <c r="K27" s="78"/>
      <c r="L27" s="78"/>
      <c r="M27" s="78"/>
      <c r="N27" s="78"/>
      <c r="O27" s="78"/>
    </row>
    <row r="28" spans="1:15" ht="15.75" customHeight="1">
      <c r="A28" s="142">
        <v>221</v>
      </c>
      <c r="B28" s="143" t="s">
        <v>71</v>
      </c>
      <c r="C28" s="280">
        <v>0.21936440700000001</v>
      </c>
      <c r="D28" s="145">
        <v>126.8591</v>
      </c>
      <c r="E28" s="144">
        <v>131.3167</v>
      </c>
      <c r="F28" s="144">
        <f t="shared" si="3"/>
        <v>3.5138196629173724</v>
      </c>
      <c r="G28" s="144">
        <f t="shared" si="1"/>
        <v>7.4802923811079997E-3</v>
      </c>
      <c r="H28" s="144">
        <f t="shared" si="2"/>
        <v>0.2696501341596802</v>
      </c>
      <c r="I28" s="140"/>
      <c r="J28" s="146"/>
      <c r="K28" s="78"/>
      <c r="L28" s="78"/>
      <c r="M28" s="78"/>
      <c r="N28" s="78"/>
      <c r="O28" s="78"/>
    </row>
    <row r="29" spans="1:15" ht="15.75" customHeight="1">
      <c r="A29" s="142">
        <v>3</v>
      </c>
      <c r="B29" s="143" t="s">
        <v>72</v>
      </c>
      <c r="C29" s="280">
        <v>4.1869516899999999</v>
      </c>
      <c r="D29" s="145">
        <v>98.392099999999999</v>
      </c>
      <c r="E29" s="144">
        <v>97.242000000000004</v>
      </c>
      <c r="F29" s="144">
        <f t="shared" si="3"/>
        <v>-1.1688946571929981</v>
      </c>
      <c r="G29" s="144">
        <f t="shared" si="1"/>
        <v>-3.6837052207501247E-2</v>
      </c>
      <c r="H29" s="144">
        <f t="shared" si="2"/>
        <v>-1.3279047881720014</v>
      </c>
      <c r="I29" s="140"/>
      <c r="J29" s="146"/>
      <c r="K29" s="78"/>
      <c r="L29" s="78"/>
      <c r="M29" s="78"/>
      <c r="N29" s="78"/>
      <c r="O29" s="78"/>
    </row>
    <row r="30" spans="1:15" ht="15.75" customHeight="1">
      <c r="A30" s="142">
        <v>31</v>
      </c>
      <c r="B30" s="143" t="s">
        <v>183</v>
      </c>
      <c r="C30" s="280">
        <v>2.9123703299999999</v>
      </c>
      <c r="D30" s="145">
        <v>101.87860000000001</v>
      </c>
      <c r="E30" s="144">
        <v>101.44070000000001</v>
      </c>
      <c r="F30" s="144">
        <f t="shared" si="3"/>
        <v>-0.42982530187890555</v>
      </c>
      <c r="G30" s="144">
        <f t="shared" si="1"/>
        <v>-9.7560239860696521E-3</v>
      </c>
      <c r="H30" s="144">
        <f t="shared" si="2"/>
        <v>-0.35168587572228982</v>
      </c>
      <c r="I30" s="140"/>
      <c r="J30" s="146"/>
      <c r="K30" s="78"/>
      <c r="L30" s="78"/>
      <c r="M30" s="78"/>
      <c r="N30" s="78"/>
      <c r="O30" s="78"/>
    </row>
    <row r="31" spans="1:15" ht="15.75" customHeight="1">
      <c r="A31" s="142">
        <v>312</v>
      </c>
      <c r="B31" s="143" t="s">
        <v>184</v>
      </c>
      <c r="C31" s="280">
        <v>2.6880314799999998</v>
      </c>
      <c r="D31" s="145">
        <v>100.49469999999999</v>
      </c>
      <c r="E31" s="144">
        <v>99.797300000000007</v>
      </c>
      <c r="F31" s="144">
        <f t="shared" si="3"/>
        <v>-0.69396694552049665</v>
      </c>
      <c r="G31" s="144">
        <f t="shared" si="1"/>
        <v>-1.4340609493061355E-2</v>
      </c>
      <c r="H31" s="144">
        <f t="shared" si="2"/>
        <v>-0.51695135386710589</v>
      </c>
      <c r="I31" s="140"/>
      <c r="J31" s="146"/>
      <c r="K31" s="78"/>
      <c r="L31" s="78"/>
      <c r="M31" s="78"/>
      <c r="N31" s="78"/>
      <c r="O31" s="78"/>
    </row>
    <row r="32" spans="1:15" ht="15.75" customHeight="1">
      <c r="A32" s="142">
        <v>313</v>
      </c>
      <c r="B32" s="143" t="s">
        <v>185</v>
      </c>
      <c r="C32" s="280">
        <v>8.1715649000000001E-2</v>
      </c>
      <c r="D32" s="145">
        <v>106.73690000000001</v>
      </c>
      <c r="E32" s="144">
        <v>106.25</v>
      </c>
      <c r="F32" s="144">
        <f t="shared" si="3"/>
        <v>-0.45616839162464506</v>
      </c>
      <c r="G32" s="144">
        <f t="shared" si="1"/>
        <v>-3.0436613192959456E-4</v>
      </c>
      <c r="H32" s="144">
        <f t="shared" si="2"/>
        <v>-1.0971812882041562E-2</v>
      </c>
      <c r="I32" s="140"/>
      <c r="J32" s="146"/>
      <c r="K32" s="78"/>
      <c r="L32" s="78"/>
      <c r="M32" s="78"/>
      <c r="N32" s="78"/>
      <c r="O32" s="78"/>
    </row>
    <row r="33" spans="1:15" ht="15.75" customHeight="1">
      <c r="A33" s="128">
        <v>314</v>
      </c>
      <c r="B33" s="143" t="s">
        <v>186</v>
      </c>
      <c r="C33" s="280">
        <v>0.14262319900000001</v>
      </c>
      <c r="D33" s="145">
        <v>125.17829999999999</v>
      </c>
      <c r="E33" s="144">
        <v>129.66</v>
      </c>
      <c r="F33" s="144">
        <f t="shared" si="3"/>
        <v>3.5802531269397253</v>
      </c>
      <c r="G33" s="144">
        <f t="shared" si="1"/>
        <v>4.8897231602813649E-3</v>
      </c>
      <c r="H33" s="144">
        <f t="shared" si="2"/>
        <v>0.17626510288602701</v>
      </c>
      <c r="I33" s="140"/>
      <c r="J33" s="146"/>
      <c r="K33" s="78"/>
      <c r="L33" s="78"/>
      <c r="M33" s="78"/>
      <c r="N33" s="78"/>
      <c r="O33" s="78"/>
    </row>
    <row r="34" spans="1:15" ht="15.75" customHeight="1">
      <c r="A34" s="142">
        <v>32</v>
      </c>
      <c r="B34" s="143" t="s">
        <v>73</v>
      </c>
      <c r="C34" s="280">
        <v>1.27458136</v>
      </c>
      <c r="D34" s="145">
        <v>90.4255</v>
      </c>
      <c r="E34" s="144">
        <v>87.647999999999996</v>
      </c>
      <c r="F34" s="144">
        <f t="shared" si="3"/>
        <v>-3.0715893193844712</v>
      </c>
      <c r="G34" s="144">
        <f t="shared" si="1"/>
        <v>-2.7081514415324155E-2</v>
      </c>
      <c r="H34" s="144">
        <f t="shared" si="2"/>
        <v>-0.976236438803185</v>
      </c>
      <c r="I34" s="140"/>
      <c r="J34" s="146"/>
      <c r="K34" s="78"/>
      <c r="L34" s="78"/>
      <c r="M34" s="78"/>
      <c r="N34" s="78"/>
      <c r="O34" s="78"/>
    </row>
    <row r="35" spans="1:15" ht="15.75" customHeight="1">
      <c r="A35" s="142">
        <v>321</v>
      </c>
      <c r="B35" s="143" t="s">
        <v>187</v>
      </c>
      <c r="C35" s="280">
        <v>1.27458136</v>
      </c>
      <c r="D35" s="145">
        <v>90.4255</v>
      </c>
      <c r="E35" s="144">
        <v>87.647999999999996</v>
      </c>
      <c r="F35" s="144">
        <f t="shared" si="3"/>
        <v>-3.0715893193844712</v>
      </c>
      <c r="G35" s="144">
        <f t="shared" si="1"/>
        <v>-2.7081514415324155E-2</v>
      </c>
      <c r="H35" s="144">
        <f t="shared" si="2"/>
        <v>-0.976236438803185</v>
      </c>
      <c r="I35" s="140"/>
      <c r="J35" s="146"/>
      <c r="K35" s="78"/>
      <c r="L35" s="78"/>
      <c r="M35" s="78"/>
      <c r="N35" s="78"/>
      <c r="O35" s="78"/>
    </row>
    <row r="36" spans="1:15" ht="15.75" customHeight="1">
      <c r="A36" s="142">
        <v>4</v>
      </c>
      <c r="B36" s="143" t="s">
        <v>16</v>
      </c>
      <c r="C36" s="280">
        <v>12.9784343</v>
      </c>
      <c r="D36" s="145">
        <v>123.2454</v>
      </c>
      <c r="E36" s="144">
        <v>125.9025</v>
      </c>
      <c r="F36" s="144">
        <f t="shared" si="3"/>
        <v>2.1559425341635574</v>
      </c>
      <c r="G36" s="144">
        <f t="shared" si="1"/>
        <v>0.26380408637054203</v>
      </c>
      <c r="H36" s="144">
        <f t="shared" si="2"/>
        <v>9.5096292574531507</v>
      </c>
      <c r="I36" s="140"/>
      <c r="J36" s="146"/>
      <c r="K36" s="78"/>
      <c r="L36" s="78"/>
      <c r="M36" s="78"/>
      <c r="N36" s="78"/>
      <c r="O36" s="78"/>
    </row>
    <row r="37" spans="1:15" ht="15.75" customHeight="1">
      <c r="A37" s="142">
        <v>41</v>
      </c>
      <c r="B37" s="143" t="s">
        <v>74</v>
      </c>
      <c r="C37" s="280">
        <v>6.3978329399999998</v>
      </c>
      <c r="D37" s="145">
        <v>114.9542</v>
      </c>
      <c r="E37" s="144">
        <v>117.4126</v>
      </c>
      <c r="F37" s="144">
        <f t="shared" si="3"/>
        <v>2.1385908474853332</v>
      </c>
      <c r="G37" s="144">
        <f t="shared" si="1"/>
        <v>0.12031970517354372</v>
      </c>
      <c r="H37" s="144">
        <f t="shared" si="2"/>
        <v>4.3372936496492285</v>
      </c>
      <c r="I37" s="140"/>
      <c r="J37" s="146"/>
      <c r="K37" s="78"/>
      <c r="L37" s="78"/>
      <c r="M37" s="78"/>
      <c r="N37" s="78"/>
      <c r="O37" s="78"/>
    </row>
    <row r="38" spans="1:15" ht="15.75" customHeight="1">
      <c r="A38" s="142">
        <v>411</v>
      </c>
      <c r="B38" s="143" t="s">
        <v>188</v>
      </c>
      <c r="C38" s="280">
        <v>6.3978329399999998</v>
      </c>
      <c r="D38" s="145">
        <v>114.9542</v>
      </c>
      <c r="E38" s="144">
        <v>117.4126</v>
      </c>
      <c r="F38" s="144">
        <f t="shared" si="3"/>
        <v>2.1385908474853332</v>
      </c>
      <c r="G38" s="144">
        <f t="shared" si="1"/>
        <v>0.12031970517354372</v>
      </c>
      <c r="H38" s="144">
        <f t="shared" si="2"/>
        <v>4.3372936496492285</v>
      </c>
      <c r="I38" s="140"/>
      <c r="J38" s="146"/>
      <c r="K38" s="78"/>
      <c r="L38" s="78"/>
      <c r="M38" s="78"/>
      <c r="N38" s="78"/>
      <c r="O38" s="78"/>
    </row>
    <row r="39" spans="1:15" ht="15.75" customHeight="1">
      <c r="A39" s="142">
        <v>43</v>
      </c>
      <c r="B39" s="143" t="s">
        <v>75</v>
      </c>
      <c r="C39" s="280">
        <v>0.96549262499999999</v>
      </c>
      <c r="D39" s="145">
        <v>136.56399999999999</v>
      </c>
      <c r="E39" s="144">
        <v>142.60310000000001</v>
      </c>
      <c r="F39" s="144">
        <f t="shared" si="3"/>
        <v>4.4221756831961612</v>
      </c>
      <c r="G39" s="144">
        <f t="shared" si="1"/>
        <v>4.4603865543959835E-2</v>
      </c>
      <c r="H39" s="144">
        <f t="shared" si="2"/>
        <v>1.6078834509657993</v>
      </c>
      <c r="I39" s="140"/>
      <c r="J39" s="146"/>
      <c r="K39" s="78"/>
      <c r="L39" s="78"/>
      <c r="M39" s="78"/>
      <c r="N39" s="78"/>
      <c r="O39" s="78"/>
    </row>
    <row r="40" spans="1:15" ht="15.75" customHeight="1">
      <c r="A40" s="142">
        <v>431</v>
      </c>
      <c r="B40" s="143" t="s">
        <v>189</v>
      </c>
      <c r="C40" s="280">
        <v>0.33477081199999997</v>
      </c>
      <c r="D40" s="145">
        <v>135.63560000000001</v>
      </c>
      <c r="E40" s="144">
        <v>139.33969999999999</v>
      </c>
      <c r="F40" s="144">
        <f t="shared" si="3"/>
        <v>2.730920200891207</v>
      </c>
      <c r="G40" s="144">
        <f t="shared" si="1"/>
        <v>9.4859668971496308E-3</v>
      </c>
      <c r="H40" s="144">
        <f t="shared" si="2"/>
        <v>0.34195083776548879</v>
      </c>
      <c r="I40" s="140"/>
      <c r="J40" s="146"/>
      <c r="K40" s="78"/>
      <c r="L40" s="78"/>
      <c r="M40" s="78"/>
      <c r="N40" s="78"/>
      <c r="O40" s="78"/>
    </row>
    <row r="41" spans="1:15" ht="15.75" customHeight="1">
      <c r="A41" s="128">
        <v>432</v>
      </c>
      <c r="B41" s="143" t="s">
        <v>190</v>
      </c>
      <c r="C41" s="280">
        <v>0.63072181299999996</v>
      </c>
      <c r="D41" s="145">
        <v>137.05680000000001</v>
      </c>
      <c r="E41" s="144">
        <v>144.33529999999999</v>
      </c>
      <c r="F41" s="144">
        <f t="shared" si="3"/>
        <v>5.3105719672427609</v>
      </c>
      <c r="G41" s="144">
        <f t="shared" si="1"/>
        <v>3.5118103424981922E-2</v>
      </c>
      <c r="H41" s="144">
        <f t="shared" si="2"/>
        <v>1.265939995059022</v>
      </c>
      <c r="I41" s="140"/>
      <c r="J41" s="146"/>
      <c r="K41" s="78"/>
      <c r="L41" s="78"/>
      <c r="M41" s="78"/>
      <c r="N41" s="78"/>
      <c r="O41" s="78"/>
    </row>
    <row r="42" spans="1:15" ht="15.75" customHeight="1">
      <c r="A42" s="128">
        <v>44</v>
      </c>
      <c r="B42" s="143" t="s">
        <v>76</v>
      </c>
      <c r="C42" s="282">
        <v>0.82742868800000002</v>
      </c>
      <c r="D42" s="145">
        <v>117.4744</v>
      </c>
      <c r="E42" s="144">
        <v>120.8338</v>
      </c>
      <c r="F42" s="144">
        <f t="shared" si="3"/>
        <v>2.8596868764598771</v>
      </c>
      <c r="G42" s="144">
        <f t="shared" si="1"/>
        <v>2.1263933649020017E-2</v>
      </c>
      <c r="H42" s="144">
        <f t="shared" si="2"/>
        <v>0.76652385616663254</v>
      </c>
      <c r="I42" s="140"/>
      <c r="J42" s="146"/>
      <c r="K42" s="78"/>
      <c r="L42" s="78"/>
      <c r="M42" s="78"/>
      <c r="N42" s="78"/>
      <c r="O42" s="78"/>
    </row>
    <row r="43" spans="1:15" ht="15.75" customHeight="1">
      <c r="A43" s="128">
        <v>441</v>
      </c>
      <c r="B43" s="143" t="s">
        <v>77</v>
      </c>
      <c r="C43" s="280">
        <v>0.38879435499999998</v>
      </c>
      <c r="D43" s="145">
        <v>118.8349</v>
      </c>
      <c r="E43" s="144">
        <v>119.1887</v>
      </c>
      <c r="F43" s="144">
        <f t="shared" si="3"/>
        <v>0.2977239851255753</v>
      </c>
      <c r="G43" s="144">
        <f t="shared" si="1"/>
        <v>1.0522746194136954E-3</v>
      </c>
      <c r="H43" s="144">
        <f t="shared" si="2"/>
        <v>3.7932473470468839E-2</v>
      </c>
      <c r="I43" s="140"/>
      <c r="J43" s="146"/>
      <c r="K43" s="78"/>
      <c r="L43" s="78"/>
      <c r="M43" s="78"/>
      <c r="N43" s="78"/>
      <c r="O43" s="78"/>
    </row>
    <row r="44" spans="1:15" ht="15.75" customHeight="1">
      <c r="A44" s="142">
        <v>442</v>
      </c>
      <c r="B44" s="143" t="s">
        <v>78</v>
      </c>
      <c r="C44" s="280">
        <v>0.106279659</v>
      </c>
      <c r="D44" s="145">
        <v>144.4539</v>
      </c>
      <c r="E44" s="144">
        <v>148.9254</v>
      </c>
      <c r="F44" s="144">
        <f t="shared" si="3"/>
        <v>3.0954512131551981</v>
      </c>
      <c r="G44" s="144">
        <f t="shared" si="1"/>
        <v>3.6354209331137762E-3</v>
      </c>
      <c r="H44" s="144">
        <f t="shared" si="2"/>
        <v>0.13104992323787165</v>
      </c>
      <c r="I44" s="140"/>
      <c r="J44" s="146"/>
      <c r="K44" s="78"/>
      <c r="L44" s="78"/>
      <c r="M44" s="78"/>
      <c r="N44" s="78"/>
      <c r="O44" s="78"/>
    </row>
    <row r="45" spans="1:15" ht="15.75" customHeight="1">
      <c r="A45" s="142">
        <v>443</v>
      </c>
      <c r="B45" s="143" t="s">
        <v>191</v>
      </c>
      <c r="C45" s="280">
        <v>0.33235467400000002</v>
      </c>
      <c r="D45" s="145">
        <v>107.25539999999999</v>
      </c>
      <c r="E45" s="144">
        <v>113.7752</v>
      </c>
      <c r="F45" s="144">
        <f t="shared" si="3"/>
        <v>6.0787615355497371</v>
      </c>
      <c r="G45" s="144">
        <f t="shared" si="1"/>
        <v>1.6576291699524189E-2</v>
      </c>
      <c r="H45" s="144">
        <f t="shared" si="2"/>
        <v>0.59754339174434956</v>
      </c>
      <c r="I45" s="140"/>
      <c r="J45" s="146"/>
      <c r="K45" s="78"/>
      <c r="L45" s="78"/>
      <c r="M45" s="78"/>
      <c r="N45" s="78"/>
      <c r="O45" s="78"/>
    </row>
    <row r="46" spans="1:15" ht="15.75" customHeight="1">
      <c r="A46" s="147">
        <v>45</v>
      </c>
      <c r="B46" s="147" t="s">
        <v>79</v>
      </c>
      <c r="C46" s="283">
        <v>4.7876800299999998</v>
      </c>
      <c r="D46" s="148">
        <v>132.63659999999999</v>
      </c>
      <c r="E46" s="148">
        <v>134.75569999999999</v>
      </c>
      <c r="F46" s="148">
        <f t="shared" si="3"/>
        <v>1.5976736436247529</v>
      </c>
      <c r="G46" s="148">
        <f t="shared" si="1"/>
        <v>7.7611823194053131E-2</v>
      </c>
      <c r="H46" s="148">
        <f t="shared" si="2"/>
        <v>2.7977567547371582</v>
      </c>
      <c r="I46" s="140"/>
      <c r="J46" s="146"/>
      <c r="K46" s="78"/>
      <c r="L46" s="78"/>
      <c r="M46" s="78"/>
      <c r="N46" s="78"/>
      <c r="O46" s="78"/>
    </row>
    <row r="47" spans="1:15" ht="15.75" customHeight="1">
      <c r="A47" s="142">
        <v>451</v>
      </c>
      <c r="B47" s="143" t="s">
        <v>80</v>
      </c>
      <c r="C47" s="280">
        <v>2.57638408</v>
      </c>
      <c r="D47" s="145">
        <v>131.59399999999999</v>
      </c>
      <c r="E47" s="144">
        <v>131.59399999999999</v>
      </c>
      <c r="F47" s="144">
        <f t="shared" si="3"/>
        <v>0</v>
      </c>
      <c r="G47" s="144">
        <f t="shared" si="1"/>
        <v>0</v>
      </c>
      <c r="H47" s="144">
        <f t="shared" si="2"/>
        <v>0</v>
      </c>
      <c r="I47" s="140"/>
      <c r="J47" s="146"/>
      <c r="K47" s="78"/>
      <c r="L47" s="78"/>
      <c r="M47" s="78"/>
      <c r="N47" s="78"/>
      <c r="O47" s="78"/>
    </row>
    <row r="48" spans="1:15" ht="15.75" customHeight="1">
      <c r="A48" s="142">
        <v>452</v>
      </c>
      <c r="B48" s="143" t="s">
        <v>81</v>
      </c>
      <c r="C48" s="280">
        <v>2.0601282599999999</v>
      </c>
      <c r="D48" s="145">
        <v>133.4727</v>
      </c>
      <c r="E48" s="144">
        <v>138.10300000000001</v>
      </c>
      <c r="F48" s="144">
        <f t="shared" si="3"/>
        <v>3.4690989243493231</v>
      </c>
      <c r="G48" s="144">
        <f t="shared" si="1"/>
        <v>7.2971740657869447E-2</v>
      </c>
      <c r="H48" s="144">
        <f t="shared" si="2"/>
        <v>2.6304907155708404</v>
      </c>
      <c r="I48" s="140"/>
      <c r="J48" s="146"/>
      <c r="K48" s="78"/>
      <c r="L48" s="78"/>
      <c r="M48" s="78"/>
      <c r="N48" s="78"/>
      <c r="O48" s="78"/>
    </row>
    <row r="49" spans="1:15" ht="15.75" customHeight="1">
      <c r="A49" s="142">
        <v>453</v>
      </c>
      <c r="B49" s="143" t="s">
        <v>192</v>
      </c>
      <c r="C49" s="280">
        <v>2.5658726999999999E-2</v>
      </c>
      <c r="D49" s="145">
        <v>144.49469999999999</v>
      </c>
      <c r="E49" s="144">
        <v>148.51169999999999</v>
      </c>
      <c r="F49" s="144">
        <f t="shared" si="3"/>
        <v>2.7800327624473375</v>
      </c>
      <c r="G49" s="144">
        <f t="shared" si="1"/>
        <v>7.8847559216505166E-4</v>
      </c>
      <c r="H49" s="144">
        <f t="shared" si="2"/>
        <v>2.8423026584616838E-2</v>
      </c>
      <c r="I49" s="140"/>
      <c r="J49" s="146"/>
      <c r="K49" s="78"/>
      <c r="L49" s="78"/>
      <c r="M49" s="78"/>
      <c r="N49" s="78"/>
      <c r="O49" s="78"/>
    </row>
    <row r="50" spans="1:15" ht="15.75" customHeight="1">
      <c r="A50" s="142">
        <v>454</v>
      </c>
      <c r="B50" s="143" t="s">
        <v>193</v>
      </c>
      <c r="C50" s="280">
        <v>0.125508962</v>
      </c>
      <c r="D50" s="145">
        <v>137.88900000000001</v>
      </c>
      <c r="E50" s="144">
        <v>141.90289999999999</v>
      </c>
      <c r="F50" s="144">
        <f t="shared" si="3"/>
        <v>2.910964616466849</v>
      </c>
      <c r="G50" s="144">
        <f t="shared" si="1"/>
        <v>3.8538304384250336E-3</v>
      </c>
      <c r="H50" s="144">
        <f t="shared" si="2"/>
        <v>0.13892316527285831</v>
      </c>
      <c r="I50" s="140"/>
      <c r="J50" s="146"/>
      <c r="K50" s="78"/>
      <c r="L50" s="78"/>
      <c r="M50" s="78"/>
      <c r="N50" s="78"/>
      <c r="O50" s="78"/>
    </row>
    <row r="51" spans="1:15" ht="15.75" customHeight="1">
      <c r="A51" s="142">
        <v>5</v>
      </c>
      <c r="B51" s="143" t="s">
        <v>82</v>
      </c>
      <c r="C51" s="280">
        <v>5.1732337099999999</v>
      </c>
      <c r="D51" s="145">
        <v>122.59610000000001</v>
      </c>
      <c r="E51" s="144">
        <v>124.23309999999999</v>
      </c>
      <c r="F51" s="144">
        <f t="shared" si="3"/>
        <v>1.3352790178480234</v>
      </c>
      <c r="G51" s="144">
        <f t="shared" si="1"/>
        <v>6.4783154964504278E-2</v>
      </c>
      <c r="H51" s="144">
        <f t="shared" si="2"/>
        <v>2.335307971595411</v>
      </c>
      <c r="I51" s="140"/>
      <c r="J51" s="146"/>
      <c r="K51" s="78"/>
      <c r="L51" s="78"/>
      <c r="M51" s="78"/>
      <c r="N51" s="78"/>
      <c r="O51" s="78"/>
    </row>
    <row r="52" spans="1:15" ht="15.75" customHeight="1">
      <c r="A52" s="142">
        <v>51</v>
      </c>
      <c r="B52" s="143" t="s">
        <v>83</v>
      </c>
      <c r="C52" s="280">
        <v>0.49294528100000001</v>
      </c>
      <c r="D52" s="145">
        <v>139.3561</v>
      </c>
      <c r="E52" s="144">
        <v>141.09039999999999</v>
      </c>
      <c r="F52" s="144">
        <f t="shared" si="3"/>
        <v>1.2445095693693897</v>
      </c>
      <c r="G52" s="144">
        <f t="shared" si="1"/>
        <v>6.5399473756391066E-3</v>
      </c>
      <c r="H52" s="144">
        <f t="shared" si="2"/>
        <v>0.23575250770841122</v>
      </c>
      <c r="I52" s="140"/>
      <c r="J52" s="146"/>
      <c r="K52" s="78"/>
      <c r="L52" s="78"/>
      <c r="M52" s="78"/>
      <c r="N52" s="78"/>
      <c r="O52" s="78"/>
    </row>
    <row r="53" spans="1:15" ht="15.75" customHeight="1">
      <c r="A53" s="142">
        <v>511</v>
      </c>
      <c r="B53" s="143" t="s">
        <v>84</v>
      </c>
      <c r="C53" s="280">
        <v>0.43024714200000003</v>
      </c>
      <c r="D53" s="145">
        <v>126.53740000000001</v>
      </c>
      <c r="E53" s="144">
        <v>126.27030000000001</v>
      </c>
      <c r="F53" s="144">
        <f t="shared" si="3"/>
        <v>-0.21108383766380578</v>
      </c>
      <c r="G53" s="144">
        <f t="shared" si="1"/>
        <v>-8.791099556937598E-4</v>
      </c>
      <c r="H53" s="144">
        <f t="shared" si="2"/>
        <v>-3.1690220838509538E-2</v>
      </c>
      <c r="I53" s="140"/>
      <c r="J53" s="146"/>
      <c r="K53" s="78"/>
      <c r="L53" s="78"/>
      <c r="M53" s="78"/>
      <c r="N53" s="78"/>
      <c r="O53" s="78"/>
    </row>
    <row r="54" spans="1:15" ht="15.75" customHeight="1">
      <c r="A54" s="142">
        <v>513</v>
      </c>
      <c r="B54" s="143" t="s">
        <v>85</v>
      </c>
      <c r="C54" s="280">
        <v>6.2698139E-2</v>
      </c>
      <c r="D54" s="145">
        <v>227.32069999999999</v>
      </c>
      <c r="E54" s="144">
        <v>242.78870000000001</v>
      </c>
      <c r="F54" s="144">
        <f t="shared" si="3"/>
        <v>6.8044837095785793</v>
      </c>
      <c r="G54" s="144">
        <f t="shared" si="1"/>
        <v>7.4189104668839299E-3</v>
      </c>
      <c r="H54" s="144">
        <f t="shared" si="2"/>
        <v>0.26743743436638057</v>
      </c>
      <c r="I54" s="140"/>
      <c r="J54" s="146"/>
      <c r="K54" s="78"/>
      <c r="L54" s="78"/>
      <c r="M54" s="78"/>
      <c r="N54" s="78"/>
      <c r="O54" s="78"/>
    </row>
    <row r="55" spans="1:15" ht="15.75" customHeight="1">
      <c r="A55" s="142">
        <v>52</v>
      </c>
      <c r="B55" s="143" t="s">
        <v>86</v>
      </c>
      <c r="C55" s="280">
        <v>0.276162403</v>
      </c>
      <c r="D55" s="145">
        <v>106.7953</v>
      </c>
      <c r="E55" s="144">
        <v>106.0034</v>
      </c>
      <c r="F55" s="144">
        <f t="shared" si="3"/>
        <v>-0.74151203283290279</v>
      </c>
      <c r="G55" s="144">
        <f t="shared" si="1"/>
        <v>-1.6729625230313145E-3</v>
      </c>
      <c r="H55" s="144">
        <f t="shared" si="2"/>
        <v>-6.0307077022661887E-2</v>
      </c>
      <c r="I55" s="140"/>
      <c r="J55" s="146"/>
      <c r="K55" s="78"/>
      <c r="L55" s="78"/>
      <c r="M55" s="78"/>
      <c r="N55" s="78"/>
      <c r="O55" s="78"/>
    </row>
    <row r="56" spans="1:15" ht="15.75" customHeight="1">
      <c r="A56" s="142">
        <v>521</v>
      </c>
      <c r="B56" s="143" t="s">
        <v>87</v>
      </c>
      <c r="C56" s="280">
        <v>0.276162403</v>
      </c>
      <c r="D56" s="145">
        <v>106.7953</v>
      </c>
      <c r="E56" s="144">
        <v>106.0034</v>
      </c>
      <c r="F56" s="144">
        <f t="shared" si="3"/>
        <v>-0.74151203283290279</v>
      </c>
      <c r="G56" s="144">
        <f t="shared" si="1"/>
        <v>-1.6729625230313145E-3</v>
      </c>
      <c r="H56" s="144">
        <f t="shared" si="2"/>
        <v>-6.0307077022661887E-2</v>
      </c>
      <c r="I56" s="140"/>
      <c r="J56" s="146"/>
      <c r="K56" s="78"/>
      <c r="L56" s="78"/>
      <c r="M56" s="78"/>
      <c r="N56" s="78"/>
      <c r="O56" s="78"/>
    </row>
    <row r="57" spans="1:15" ht="15.75" customHeight="1">
      <c r="A57" s="142">
        <v>53</v>
      </c>
      <c r="B57" s="143" t="s">
        <v>88</v>
      </c>
      <c r="C57" s="280">
        <v>0.71722896300000005</v>
      </c>
      <c r="D57" s="145">
        <v>114.7907</v>
      </c>
      <c r="E57" s="144">
        <v>111.809</v>
      </c>
      <c r="F57" s="144">
        <f t="shared" si="3"/>
        <v>-2.5975100770358583</v>
      </c>
      <c r="G57" s="144">
        <f t="shared" si="1"/>
        <v>-1.6359615053144098E-2</v>
      </c>
      <c r="H57" s="144">
        <f t="shared" si="2"/>
        <v>-0.58973261593654525</v>
      </c>
      <c r="I57" s="140"/>
      <c r="J57" s="146"/>
      <c r="K57" s="78"/>
      <c r="L57" s="78"/>
      <c r="M57" s="78"/>
      <c r="N57" s="78"/>
      <c r="O57" s="78"/>
    </row>
    <row r="58" spans="1:15" ht="15.75" customHeight="1">
      <c r="A58" s="142">
        <v>531</v>
      </c>
      <c r="B58" s="143" t="s">
        <v>194</v>
      </c>
      <c r="C58" s="280">
        <v>0.63290397799999998</v>
      </c>
      <c r="D58" s="145">
        <v>114.1228</v>
      </c>
      <c r="E58" s="144">
        <v>111.0377</v>
      </c>
      <c r="F58" s="144">
        <f t="shared" si="3"/>
        <v>-2.7033160770678633</v>
      </c>
      <c r="G58" s="144">
        <f t="shared" si="1"/>
        <v>-1.4936828250239424E-2</v>
      </c>
      <c r="H58" s="144">
        <f t="shared" si="2"/>
        <v>-0.53844389181490349</v>
      </c>
      <c r="I58" s="140"/>
      <c r="J58" s="146"/>
      <c r="K58" s="78"/>
      <c r="L58" s="78"/>
      <c r="M58" s="78"/>
      <c r="N58" s="78"/>
      <c r="O58" s="78"/>
    </row>
    <row r="59" spans="1:15" ht="15.75" customHeight="1">
      <c r="A59" s="142">
        <v>532</v>
      </c>
      <c r="B59" s="143" t="s">
        <v>195</v>
      </c>
      <c r="C59" s="280">
        <v>8.4324985000000005E-2</v>
      </c>
      <c r="D59" s="145">
        <v>119.8035</v>
      </c>
      <c r="E59" s="144">
        <v>117.5984</v>
      </c>
      <c r="F59" s="144">
        <f t="shared" si="3"/>
        <v>-1.8405973114308027</v>
      </c>
      <c r="G59" s="144">
        <f t="shared" si="1"/>
        <v>-1.4224462938411296E-3</v>
      </c>
      <c r="H59" s="144">
        <f t="shared" si="2"/>
        <v>-5.1276449425682227E-2</v>
      </c>
      <c r="I59" s="140"/>
      <c r="J59" s="146"/>
      <c r="K59" s="78"/>
      <c r="L59" s="78"/>
      <c r="M59" s="78"/>
      <c r="N59" s="78"/>
      <c r="O59" s="78"/>
    </row>
    <row r="60" spans="1:15" ht="15.75" customHeight="1">
      <c r="A60" s="142">
        <v>54</v>
      </c>
      <c r="B60" s="143" t="s">
        <v>89</v>
      </c>
      <c r="C60" s="280">
        <v>7.8511948999999998E-2</v>
      </c>
      <c r="D60" s="145">
        <v>115.9781</v>
      </c>
      <c r="E60" s="144">
        <v>115.5129</v>
      </c>
      <c r="F60" s="144">
        <f t="shared" si="3"/>
        <v>-0.40111020959990862</v>
      </c>
      <c r="G60" s="144">
        <f t="shared" si="1"/>
        <v>-2.794002438365361E-4</v>
      </c>
      <c r="H60" s="144">
        <f t="shared" si="2"/>
        <v>-1.0071840697704082E-2</v>
      </c>
      <c r="I60" s="140"/>
      <c r="J60" s="146"/>
      <c r="K60" s="78"/>
      <c r="L60" s="78"/>
      <c r="M60" s="78"/>
      <c r="N60" s="78"/>
      <c r="O60" s="78"/>
    </row>
    <row r="61" spans="1:15" ht="15.75" customHeight="1">
      <c r="A61" s="142">
        <v>541</v>
      </c>
      <c r="B61" s="143" t="s">
        <v>196</v>
      </c>
      <c r="C61" s="280">
        <v>7.8511948999999998E-2</v>
      </c>
      <c r="D61" s="145">
        <v>115.9781</v>
      </c>
      <c r="E61" s="144">
        <v>115.5129</v>
      </c>
      <c r="F61" s="144">
        <f t="shared" si="3"/>
        <v>-0.40111020959990862</v>
      </c>
      <c r="G61" s="144">
        <f t="shared" si="1"/>
        <v>-2.794002438365361E-4</v>
      </c>
      <c r="H61" s="144">
        <f t="shared" si="2"/>
        <v>-1.0071840697704082E-2</v>
      </c>
      <c r="I61" s="140"/>
      <c r="J61" s="146"/>
      <c r="K61" s="78"/>
      <c r="L61" s="78"/>
      <c r="M61" s="78"/>
      <c r="N61" s="78"/>
      <c r="O61" s="78"/>
    </row>
    <row r="62" spans="1:15" ht="15.75" customHeight="1">
      <c r="A62" s="142">
        <v>55</v>
      </c>
      <c r="B62" s="143" t="s">
        <v>197</v>
      </c>
      <c r="C62" s="280">
        <v>6.0344713000000001E-2</v>
      </c>
      <c r="D62" s="145">
        <v>117.8053</v>
      </c>
      <c r="E62" s="144">
        <v>117.3687</v>
      </c>
      <c r="F62" s="144">
        <f t="shared" si="3"/>
        <v>-0.37061150898982653</v>
      </c>
      <c r="G62" s="144">
        <f t="shared" si="1"/>
        <v>-2.0154604195009188E-4</v>
      </c>
      <c r="H62" s="144">
        <f t="shared" si="2"/>
        <v>-7.2653466578995948E-3</v>
      </c>
      <c r="I62" s="140"/>
      <c r="J62" s="146"/>
      <c r="K62" s="78"/>
      <c r="L62" s="78"/>
      <c r="M62" s="78"/>
      <c r="N62" s="78"/>
      <c r="O62" s="78"/>
    </row>
    <row r="63" spans="1:15" ht="15.75" customHeight="1">
      <c r="A63" s="142">
        <v>552</v>
      </c>
      <c r="B63" s="143" t="s">
        <v>198</v>
      </c>
      <c r="C63" s="280">
        <v>6.0344713000000001E-2</v>
      </c>
      <c r="D63" s="145">
        <v>117.8053</v>
      </c>
      <c r="E63" s="144">
        <v>117.3687</v>
      </c>
      <c r="F63" s="144">
        <f t="shared" si="3"/>
        <v>-0.37061150898982653</v>
      </c>
      <c r="G63" s="144">
        <f t="shared" si="1"/>
        <v>-2.0154604195009188E-4</v>
      </c>
      <c r="H63" s="144">
        <f t="shared" si="2"/>
        <v>-7.2653466578995948E-3</v>
      </c>
      <c r="I63" s="140"/>
      <c r="J63" s="146"/>
      <c r="K63" s="78"/>
      <c r="L63" s="78"/>
      <c r="M63" s="78"/>
      <c r="N63" s="78"/>
      <c r="O63" s="78"/>
    </row>
    <row r="64" spans="1:15" ht="15.75" customHeight="1">
      <c r="A64" s="142">
        <v>56</v>
      </c>
      <c r="B64" s="143" t="s">
        <v>90</v>
      </c>
      <c r="C64" s="280">
        <v>3.5480404000000001</v>
      </c>
      <c r="D64" s="145">
        <v>123.3032</v>
      </c>
      <c r="E64" s="144">
        <v>126.13120000000001</v>
      </c>
      <c r="F64" s="144">
        <f t="shared" si="3"/>
        <v>2.2935333389563217</v>
      </c>
      <c r="G64" s="144">
        <f t="shared" si="1"/>
        <v>7.6757227178286813E-2</v>
      </c>
      <c r="H64" s="144">
        <f t="shared" si="2"/>
        <v>2.7669502142220153</v>
      </c>
      <c r="I64" s="140"/>
      <c r="J64" s="146"/>
      <c r="K64" s="78"/>
      <c r="L64" s="78"/>
      <c r="M64" s="78"/>
      <c r="N64" s="78"/>
      <c r="O64" s="78"/>
    </row>
    <row r="65" spans="1:15" ht="15.75" customHeight="1">
      <c r="A65" s="142">
        <v>561</v>
      </c>
      <c r="B65" s="143" t="s">
        <v>199</v>
      </c>
      <c r="C65" s="280">
        <v>1.81724252</v>
      </c>
      <c r="D65" s="145">
        <v>133.22409999999999</v>
      </c>
      <c r="E65" s="144">
        <v>137.19390000000001</v>
      </c>
      <c r="F65" s="144">
        <f t="shared" si="3"/>
        <v>2.9797911939356547</v>
      </c>
      <c r="G65" s="144">
        <f t="shared" si="1"/>
        <v>5.5186497727207642E-2</v>
      </c>
      <c r="H65" s="144">
        <f t="shared" si="2"/>
        <v>1.9893669602444346</v>
      </c>
      <c r="I65" s="140"/>
      <c r="J65" s="146"/>
      <c r="K65" s="78"/>
      <c r="L65" s="78"/>
      <c r="M65" s="78"/>
      <c r="N65" s="78"/>
      <c r="O65" s="78"/>
    </row>
    <row r="66" spans="1:15" ht="15.75" customHeight="1">
      <c r="A66" s="142">
        <v>562</v>
      </c>
      <c r="B66" s="143" t="s">
        <v>200</v>
      </c>
      <c r="C66" s="280">
        <v>1.7307978799999999</v>
      </c>
      <c r="D66" s="145">
        <v>112.88679999999999</v>
      </c>
      <c r="E66" s="144">
        <v>114.51600000000001</v>
      </c>
      <c r="F66" s="144">
        <f t="shared" si="3"/>
        <v>1.4432156815500141</v>
      </c>
      <c r="G66" s="144">
        <f t="shared" si="1"/>
        <v>2.1571089075259096E-2</v>
      </c>
      <c r="H66" s="144">
        <f t="shared" si="2"/>
        <v>0.77759621773667231</v>
      </c>
      <c r="I66" s="140"/>
      <c r="J66" s="146"/>
      <c r="K66" s="78"/>
      <c r="L66" s="78"/>
      <c r="M66" s="78"/>
      <c r="N66" s="78"/>
      <c r="O66" s="78"/>
    </row>
    <row r="67" spans="1:15" ht="15.75" customHeight="1">
      <c r="A67" s="142">
        <v>6</v>
      </c>
      <c r="B67" s="143" t="s">
        <v>17</v>
      </c>
      <c r="C67" s="280">
        <v>4.7407437400000001</v>
      </c>
      <c r="D67" s="145">
        <v>127.5579</v>
      </c>
      <c r="E67" s="144">
        <v>132.66999999999999</v>
      </c>
      <c r="F67" s="144">
        <f t="shared" si="3"/>
        <v>4.0076702422978006</v>
      </c>
      <c r="G67" s="144">
        <f t="shared" si="1"/>
        <v>0.18539462426564712</v>
      </c>
      <c r="H67" s="144">
        <f t="shared" si="2"/>
        <v>6.6831191561405729</v>
      </c>
      <c r="I67" s="140"/>
      <c r="J67" s="146"/>
      <c r="K67" s="78"/>
      <c r="L67" s="78"/>
      <c r="M67" s="78"/>
      <c r="N67" s="78"/>
      <c r="O67" s="78"/>
    </row>
    <row r="68" spans="1:15" ht="15.75" customHeight="1">
      <c r="A68" s="142">
        <v>61</v>
      </c>
      <c r="B68" s="143" t="s">
        <v>91</v>
      </c>
      <c r="C68" s="280">
        <v>3.3125024700000001</v>
      </c>
      <c r="D68" s="145">
        <v>126.66849999999999</v>
      </c>
      <c r="E68" s="144">
        <v>131.78290000000001</v>
      </c>
      <c r="F68" s="144">
        <f t="shared" si="3"/>
        <v>4.037625771205966</v>
      </c>
      <c r="G68" s="144">
        <f t="shared" si="1"/>
        <v>0.12959916947849678</v>
      </c>
      <c r="H68" s="144">
        <f t="shared" si="2"/>
        <v>4.6718004666661752</v>
      </c>
      <c r="I68" s="140"/>
      <c r="J68" s="146"/>
      <c r="K68" s="78"/>
      <c r="L68" s="78"/>
      <c r="M68" s="78"/>
      <c r="N68" s="78"/>
      <c r="O68" s="78"/>
    </row>
    <row r="69" spans="1:15" ht="15.75" customHeight="1">
      <c r="A69" s="142">
        <v>611</v>
      </c>
      <c r="B69" s="143" t="s">
        <v>201</v>
      </c>
      <c r="C69" s="280">
        <v>3.2116952200000002</v>
      </c>
      <c r="D69" s="145">
        <v>127.1799</v>
      </c>
      <c r="E69" s="144">
        <v>132.4136</v>
      </c>
      <c r="F69" s="144">
        <f t="shared" si="3"/>
        <v>4.1151943035023564</v>
      </c>
      <c r="G69" s="144">
        <f t="shared" si="1"/>
        <v>0.1285862308786126</v>
      </c>
      <c r="H69" s="144">
        <f t="shared" si="2"/>
        <v>4.6352859809431139</v>
      </c>
      <c r="I69" s="140"/>
      <c r="J69" s="146"/>
      <c r="K69" s="78"/>
      <c r="L69" s="78"/>
      <c r="M69" s="78"/>
      <c r="N69" s="78"/>
      <c r="O69" s="78"/>
    </row>
    <row r="70" spans="1:15" ht="15.75" customHeight="1">
      <c r="A70" s="142">
        <v>613</v>
      </c>
      <c r="B70" s="143" t="s">
        <v>92</v>
      </c>
      <c r="C70" s="280">
        <v>0.10080725</v>
      </c>
      <c r="D70" s="145">
        <v>110.3728</v>
      </c>
      <c r="E70" s="144">
        <v>111.688</v>
      </c>
      <c r="F70" s="144">
        <f t="shared" si="3"/>
        <v>1.1915979299247592</v>
      </c>
      <c r="G70" s="144">
        <f t="shared" si="1"/>
        <v>1.0142263368063558E-3</v>
      </c>
      <c r="H70" s="144">
        <f t="shared" si="2"/>
        <v>3.6560906159072537E-2</v>
      </c>
      <c r="I70" s="140"/>
      <c r="J70" s="146"/>
      <c r="K70" s="78"/>
      <c r="L70" s="78"/>
      <c r="M70" s="78"/>
      <c r="N70" s="78"/>
      <c r="O70" s="78"/>
    </row>
    <row r="71" spans="1:15" ht="15.75" customHeight="1">
      <c r="A71" s="142">
        <v>62</v>
      </c>
      <c r="B71" s="143" t="s">
        <v>93</v>
      </c>
      <c r="C71" s="280">
        <v>0.91730788100000005</v>
      </c>
      <c r="D71" s="145">
        <v>135.37190000000001</v>
      </c>
      <c r="E71" s="144">
        <v>141.39449999999999</v>
      </c>
      <c r="F71" s="144">
        <f t="shared" si="3"/>
        <v>4.4489292090899024</v>
      </c>
      <c r="G71" s="144">
        <f t="shared" si="1"/>
        <v>4.2262040391904836E-2</v>
      </c>
      <c r="H71" s="144">
        <f t="shared" si="2"/>
        <v>1.5234651643190134</v>
      </c>
      <c r="I71" s="140"/>
      <c r="J71" s="146"/>
      <c r="K71" s="78"/>
      <c r="L71" s="78"/>
      <c r="M71" s="78"/>
      <c r="N71" s="78"/>
      <c r="O71" s="78"/>
    </row>
    <row r="72" spans="1:15" ht="15.75" customHeight="1">
      <c r="A72" s="142">
        <v>621</v>
      </c>
      <c r="B72" s="143" t="s">
        <v>94</v>
      </c>
      <c r="C72" s="280">
        <v>0.37477136700000002</v>
      </c>
      <c r="D72" s="145">
        <v>143.91120000000001</v>
      </c>
      <c r="E72" s="144">
        <v>152.11439999999999</v>
      </c>
      <c r="F72" s="144">
        <f t="shared" si="3"/>
        <v>5.7001817787635467</v>
      </c>
      <c r="G72" s="144">
        <f t="shared" si="1"/>
        <v>2.3518034284775269E-2</v>
      </c>
      <c r="H72" s="144">
        <f t="shared" si="2"/>
        <v>0.84777984294810005</v>
      </c>
      <c r="I72" s="140"/>
      <c r="J72" s="146"/>
      <c r="K72" s="78"/>
      <c r="L72" s="78"/>
      <c r="M72" s="78"/>
      <c r="N72" s="78"/>
      <c r="O72" s="78"/>
    </row>
    <row r="73" spans="1:15" ht="15.75" customHeight="1">
      <c r="A73" s="142">
        <v>622</v>
      </c>
      <c r="B73" s="143" t="s">
        <v>95</v>
      </c>
      <c r="C73" s="280">
        <v>9.1662175999999998E-2</v>
      </c>
      <c r="D73" s="145">
        <v>135.72929999999999</v>
      </c>
      <c r="E73" s="144">
        <v>140.7698</v>
      </c>
      <c r="F73" s="144">
        <f t="shared" si="3"/>
        <v>3.7136417855245796</v>
      </c>
      <c r="G73" s="144">
        <f t="shared" ref="G73:G136" si="4">(E73-D73)/$D$7*C73</f>
        <v>3.5343951142730434E-3</v>
      </c>
      <c r="H73" s="144">
        <f t="shared" ref="H73:H136" si="5">(G73/$G$7)*100</f>
        <v>0.12740813703272333</v>
      </c>
      <c r="I73" s="140"/>
      <c r="J73" s="146"/>
      <c r="K73" s="78"/>
      <c r="L73" s="78"/>
      <c r="M73" s="78"/>
      <c r="N73" s="78"/>
      <c r="O73" s="78"/>
    </row>
    <row r="74" spans="1:15" ht="15.75" customHeight="1">
      <c r="A74" s="142">
        <v>623</v>
      </c>
      <c r="B74" s="143" t="s">
        <v>202</v>
      </c>
      <c r="C74" s="280">
        <v>0.45087433900000001</v>
      </c>
      <c r="D74" s="145">
        <v>128.2013</v>
      </c>
      <c r="E74" s="144">
        <v>132.61089999999999</v>
      </c>
      <c r="F74" s="144">
        <f t="shared" si="3"/>
        <v>3.4395907061784747</v>
      </c>
      <c r="G74" s="144">
        <f t="shared" si="4"/>
        <v>1.520918808811365E-2</v>
      </c>
      <c r="H74" s="144">
        <f t="shared" si="5"/>
        <v>0.54826193943667501</v>
      </c>
      <c r="I74" s="140"/>
      <c r="J74" s="146"/>
      <c r="K74" s="78"/>
      <c r="L74" s="78"/>
      <c r="M74" s="78"/>
      <c r="N74" s="78"/>
      <c r="O74" s="78"/>
    </row>
    <row r="75" spans="1:15" ht="15.75" customHeight="1">
      <c r="A75" s="142">
        <v>63</v>
      </c>
      <c r="B75" s="143" t="s">
        <v>96</v>
      </c>
      <c r="C75" s="280">
        <v>0.51093338600000004</v>
      </c>
      <c r="D75" s="145">
        <v>119.2953</v>
      </c>
      <c r="E75" s="144">
        <v>122.75790000000001</v>
      </c>
      <c r="F75" s="144">
        <f t="shared" si="3"/>
        <v>2.9025451966674387</v>
      </c>
      <c r="G75" s="144">
        <f t="shared" si="4"/>
        <v>1.3533742922871473E-2</v>
      </c>
      <c r="H75" s="144">
        <f t="shared" si="5"/>
        <v>0.48786536794359375</v>
      </c>
      <c r="I75" s="140"/>
      <c r="J75" s="146"/>
      <c r="K75" s="78"/>
      <c r="L75" s="78"/>
      <c r="M75" s="78"/>
      <c r="N75" s="78"/>
      <c r="O75" s="78"/>
    </row>
    <row r="76" spans="1:15" ht="15.75" customHeight="1">
      <c r="A76" s="142">
        <v>631</v>
      </c>
      <c r="B76" s="143" t="s">
        <v>97</v>
      </c>
      <c r="C76" s="280">
        <v>0.51093338600000004</v>
      </c>
      <c r="D76" s="145">
        <v>119.2953</v>
      </c>
      <c r="E76" s="144">
        <v>122.75790000000001</v>
      </c>
      <c r="F76" s="144">
        <f t="shared" si="3"/>
        <v>2.9025451966674387</v>
      </c>
      <c r="G76" s="144">
        <f t="shared" si="4"/>
        <v>1.3533742922871473E-2</v>
      </c>
      <c r="H76" s="144">
        <f t="shared" si="5"/>
        <v>0.48786536794359375</v>
      </c>
      <c r="I76" s="140"/>
      <c r="J76" s="146"/>
      <c r="K76" s="78"/>
      <c r="L76" s="78"/>
      <c r="M76" s="78"/>
      <c r="N76" s="78"/>
      <c r="O76" s="78"/>
    </row>
    <row r="77" spans="1:15" ht="15.75" customHeight="1">
      <c r="A77" s="142">
        <v>7</v>
      </c>
      <c r="B77" s="142" t="s">
        <v>18</v>
      </c>
      <c r="C77" s="280">
        <v>16.646278200000001</v>
      </c>
      <c r="D77" s="145">
        <v>135.9691</v>
      </c>
      <c r="E77" s="144">
        <v>138.45140000000001</v>
      </c>
      <c r="F77" s="144">
        <f t="shared" si="3"/>
        <v>1.8256353833334238</v>
      </c>
      <c r="G77" s="144">
        <f t="shared" si="4"/>
        <v>0.31609871617524332</v>
      </c>
      <c r="H77" s="144">
        <f t="shared" si="5"/>
        <v>11.394749948494882</v>
      </c>
      <c r="I77" s="140"/>
      <c r="J77" s="146"/>
      <c r="K77" s="78"/>
      <c r="L77" s="78"/>
      <c r="M77" s="78"/>
      <c r="N77" s="78"/>
      <c r="O77" s="78"/>
    </row>
    <row r="78" spans="1:15" ht="15.75" customHeight="1">
      <c r="A78" s="142">
        <v>71</v>
      </c>
      <c r="B78" s="143" t="s">
        <v>98</v>
      </c>
      <c r="C78" s="280">
        <v>3.0807926700000001</v>
      </c>
      <c r="D78" s="145">
        <v>121.8768</v>
      </c>
      <c r="E78" s="144">
        <v>125.4393</v>
      </c>
      <c r="F78" s="144">
        <f t="shared" ref="F78:F140" si="6">(E78/D78-1)*100</f>
        <v>2.9230337521168881</v>
      </c>
      <c r="G78" s="144">
        <f t="shared" si="4"/>
        <v>8.3959271483568187E-2</v>
      </c>
      <c r="H78" s="144">
        <f t="shared" si="5"/>
        <v>3.0265700411218064</v>
      </c>
      <c r="I78" s="140"/>
      <c r="J78" s="146"/>
      <c r="K78" s="78"/>
      <c r="L78" s="78"/>
      <c r="M78" s="78"/>
      <c r="N78" s="78"/>
      <c r="O78" s="78"/>
    </row>
    <row r="79" spans="1:15" ht="15.75" customHeight="1">
      <c r="A79" s="142">
        <v>711</v>
      </c>
      <c r="B79" s="143" t="s">
        <v>203</v>
      </c>
      <c r="C79" s="280">
        <v>2.88743076</v>
      </c>
      <c r="D79" s="145">
        <v>120.2246</v>
      </c>
      <c r="E79" s="144">
        <v>123.84099999999999</v>
      </c>
      <c r="F79" s="144">
        <f t="shared" si="6"/>
        <v>3.0080366247839496</v>
      </c>
      <c r="G79" s="144">
        <f t="shared" si="4"/>
        <v>7.9880238983981236E-2</v>
      </c>
      <c r="H79" s="144">
        <f t="shared" si="5"/>
        <v>2.8795287752572234</v>
      </c>
      <c r="I79" s="140"/>
      <c r="J79" s="146"/>
      <c r="K79" s="78"/>
      <c r="L79" s="78"/>
      <c r="M79" s="78"/>
      <c r="N79" s="78"/>
      <c r="O79" s="78"/>
    </row>
    <row r="80" spans="1:15" ht="15.75" customHeight="1">
      <c r="A80" s="128">
        <v>712</v>
      </c>
      <c r="B80" s="143" t="s">
        <v>99</v>
      </c>
      <c r="C80" s="280">
        <v>0.193361908</v>
      </c>
      <c r="D80" s="145">
        <v>146.54849999999999</v>
      </c>
      <c r="E80" s="144">
        <v>149.3058</v>
      </c>
      <c r="F80" s="144">
        <f t="shared" si="6"/>
        <v>1.8814931575553695</v>
      </c>
      <c r="G80" s="144">
        <f t="shared" si="4"/>
        <v>4.0785544049846455E-3</v>
      </c>
      <c r="H80" s="144">
        <f t="shared" si="5"/>
        <v>0.14702403147492502</v>
      </c>
      <c r="I80" s="140"/>
      <c r="J80" s="146"/>
      <c r="K80" s="78"/>
      <c r="L80" s="78"/>
      <c r="M80" s="78"/>
      <c r="N80" s="78"/>
      <c r="O80" s="78"/>
    </row>
    <row r="81" spans="1:15" ht="15.75" customHeight="1">
      <c r="A81" s="128">
        <v>72</v>
      </c>
      <c r="B81" s="143" t="s">
        <v>204</v>
      </c>
      <c r="C81" s="280">
        <v>8.4404824699999992</v>
      </c>
      <c r="D81" s="145">
        <v>140.6028</v>
      </c>
      <c r="E81" s="144">
        <v>143.10429999999999</v>
      </c>
      <c r="F81" s="144">
        <f t="shared" si="6"/>
        <v>1.7791253090265524</v>
      </c>
      <c r="G81" s="144">
        <f t="shared" si="4"/>
        <v>0.16151731842157355</v>
      </c>
      <c r="H81" s="144">
        <f t="shared" si="5"/>
        <v>5.8223882653953005</v>
      </c>
      <c r="I81" s="140"/>
      <c r="J81" s="146"/>
      <c r="K81" s="78"/>
      <c r="L81" s="78"/>
      <c r="M81" s="78"/>
      <c r="N81" s="78"/>
      <c r="O81" s="78"/>
    </row>
    <row r="82" spans="1:15" ht="15.75" customHeight="1">
      <c r="A82" s="128">
        <v>721</v>
      </c>
      <c r="B82" s="143" t="s">
        <v>205</v>
      </c>
      <c r="C82" s="280">
        <v>0.53260233000000001</v>
      </c>
      <c r="D82" s="145">
        <v>138.6463</v>
      </c>
      <c r="E82" s="144">
        <v>146.137</v>
      </c>
      <c r="F82" s="144">
        <f t="shared" si="6"/>
        <v>5.4027406429165481</v>
      </c>
      <c r="G82" s="144">
        <f t="shared" si="4"/>
        <v>3.0519455587666972E-2</v>
      </c>
      <c r="H82" s="144">
        <f t="shared" si="5"/>
        <v>1.1001675969884768</v>
      </c>
      <c r="I82" s="140"/>
      <c r="J82" s="146"/>
      <c r="K82" s="78"/>
      <c r="L82" s="78"/>
      <c r="M82" s="78"/>
      <c r="N82" s="78"/>
      <c r="O82" s="78"/>
    </row>
    <row r="83" spans="1:15" ht="15.75" customHeight="1">
      <c r="A83" s="128">
        <v>722</v>
      </c>
      <c r="B83" s="143" t="s">
        <v>206</v>
      </c>
      <c r="C83" s="280">
        <v>6.94065201</v>
      </c>
      <c r="D83" s="145">
        <v>139.04390000000001</v>
      </c>
      <c r="E83" s="144">
        <v>139.61590000000001</v>
      </c>
      <c r="F83" s="144">
        <f t="shared" si="6"/>
        <v>0.41138086604302071</v>
      </c>
      <c r="G83" s="144">
        <f t="shared" si="4"/>
        <v>3.0370197439757794E-2</v>
      </c>
      <c r="H83" s="144">
        <f t="shared" si="5"/>
        <v>1.0947871282103068</v>
      </c>
      <c r="I83" s="140"/>
      <c r="J83" s="146"/>
      <c r="K83" s="78"/>
      <c r="L83" s="78"/>
      <c r="M83" s="78"/>
      <c r="N83" s="78"/>
      <c r="O83" s="78"/>
    </row>
    <row r="84" spans="1:15" ht="15.75" customHeight="1">
      <c r="A84" s="142">
        <v>723</v>
      </c>
      <c r="B84" s="143" t="s">
        <v>207</v>
      </c>
      <c r="C84" s="280">
        <v>0.87730871399999999</v>
      </c>
      <c r="D84" s="145">
        <v>155.8032</v>
      </c>
      <c r="E84" s="144">
        <v>168.96019999999999</v>
      </c>
      <c r="F84" s="144">
        <f t="shared" si="6"/>
        <v>8.444627581461738</v>
      </c>
      <c r="G84" s="144">
        <f t="shared" si="4"/>
        <v>8.8299985848579302E-2</v>
      </c>
      <c r="H84" s="144">
        <f t="shared" si="5"/>
        <v>3.1830444342658781</v>
      </c>
      <c r="I84" s="140"/>
      <c r="J84" s="146"/>
      <c r="K84" s="78"/>
      <c r="L84" s="78"/>
      <c r="M84" s="78"/>
      <c r="N84" s="78"/>
      <c r="O84" s="78"/>
    </row>
    <row r="85" spans="1:15" ht="15.75" customHeight="1">
      <c r="A85" s="142">
        <v>724</v>
      </c>
      <c r="B85" s="143" t="s">
        <v>208</v>
      </c>
      <c r="C85" s="280">
        <v>8.9919413000000004E-2</v>
      </c>
      <c r="D85" s="145">
        <v>124.21980000000001</v>
      </c>
      <c r="E85" s="144">
        <v>142.12889999999999</v>
      </c>
      <c r="F85" s="144">
        <f t="shared" si="6"/>
        <v>14.417266812537122</v>
      </c>
      <c r="G85" s="144">
        <f t="shared" si="4"/>
        <v>1.2319087524351664E-2</v>
      </c>
      <c r="H85" s="144">
        <f t="shared" si="5"/>
        <v>0.44407938011297748</v>
      </c>
      <c r="I85" s="140"/>
      <c r="J85" s="146"/>
      <c r="K85" s="78"/>
      <c r="L85" s="78"/>
      <c r="M85" s="78"/>
      <c r="N85" s="78"/>
      <c r="O85" s="78"/>
    </row>
    <row r="86" spans="1:15" ht="15.75" customHeight="1">
      <c r="A86" s="147">
        <v>73</v>
      </c>
      <c r="B86" s="147" t="s">
        <v>101</v>
      </c>
      <c r="C86" s="283">
        <v>5.1250031099999998</v>
      </c>
      <c r="D86" s="148">
        <v>136.8091</v>
      </c>
      <c r="E86" s="148">
        <v>138.6103</v>
      </c>
      <c r="F86" s="148">
        <f t="shared" si="6"/>
        <v>1.3165790872098349</v>
      </c>
      <c r="G86" s="148">
        <f t="shared" si="4"/>
        <v>7.0616694984256434E-2</v>
      </c>
      <c r="H86" s="148">
        <f t="shared" si="5"/>
        <v>2.5455958545830857</v>
      </c>
      <c r="I86" s="140"/>
      <c r="J86" s="146"/>
      <c r="K86" s="78"/>
      <c r="L86" s="78"/>
      <c r="M86" s="78"/>
      <c r="N86" s="78"/>
      <c r="O86" s="78"/>
    </row>
    <row r="87" spans="1:15" ht="15.75" customHeight="1">
      <c r="A87" s="142">
        <v>732</v>
      </c>
      <c r="B87" s="143" t="s">
        <v>209</v>
      </c>
      <c r="C87" s="280">
        <v>4.8476457000000002</v>
      </c>
      <c r="D87" s="145">
        <v>135.62719999999999</v>
      </c>
      <c r="E87" s="144">
        <v>140.16329999999999</v>
      </c>
      <c r="F87" s="144">
        <f t="shared" si="6"/>
        <v>3.3445356093762868</v>
      </c>
      <c r="G87" s="144">
        <f t="shared" si="4"/>
        <v>0.16821503388695111</v>
      </c>
      <c r="H87" s="144">
        <f t="shared" si="5"/>
        <v>6.0638280088956629</v>
      </c>
      <c r="I87" s="140"/>
      <c r="J87" s="146"/>
      <c r="K87" s="78"/>
      <c r="L87" s="78"/>
      <c r="M87" s="78"/>
      <c r="N87" s="78"/>
      <c r="O87" s="78"/>
    </row>
    <row r="88" spans="1:15" ht="15.75" customHeight="1">
      <c r="A88" s="142">
        <v>733</v>
      </c>
      <c r="B88" s="143" t="s">
        <v>210</v>
      </c>
      <c r="C88" s="280">
        <v>0.27735740599999997</v>
      </c>
      <c r="D88" s="145">
        <v>157.46610000000001</v>
      </c>
      <c r="E88" s="144">
        <v>111.4676</v>
      </c>
      <c r="F88" s="144">
        <f t="shared" si="6"/>
        <v>-29.211684292682683</v>
      </c>
      <c r="G88" s="144">
        <f t="shared" si="4"/>
        <v>-9.7596614494048425E-2</v>
      </c>
      <c r="H88" s="144">
        <f t="shared" si="5"/>
        <v>-3.5181699927018917</v>
      </c>
      <c r="I88" s="140"/>
      <c r="J88" s="146"/>
      <c r="K88" s="78"/>
      <c r="L88" s="78"/>
      <c r="M88" s="78"/>
      <c r="N88" s="78"/>
      <c r="O88" s="78"/>
    </row>
    <row r="89" spans="1:15" ht="15.75" customHeight="1">
      <c r="A89" s="142">
        <v>8</v>
      </c>
      <c r="B89" s="143" t="s">
        <v>19</v>
      </c>
      <c r="C89" s="280">
        <v>5.0611789700000003</v>
      </c>
      <c r="D89" s="145">
        <v>97.522300000000001</v>
      </c>
      <c r="E89" s="144">
        <v>99.334800000000001</v>
      </c>
      <c r="F89" s="144">
        <f t="shared" si="6"/>
        <v>1.8585492753965038</v>
      </c>
      <c r="G89" s="144">
        <f t="shared" si="4"/>
        <v>7.017477458365845E-2</v>
      </c>
      <c r="H89" s="144">
        <f t="shared" si="5"/>
        <v>2.5296654752291845</v>
      </c>
      <c r="I89" s="140"/>
      <c r="J89" s="146"/>
      <c r="K89" s="78"/>
      <c r="L89" s="78"/>
      <c r="M89" s="78"/>
      <c r="N89" s="78"/>
      <c r="O89" s="78"/>
    </row>
    <row r="90" spans="1:15" ht="15.75" customHeight="1">
      <c r="A90" s="142">
        <v>82</v>
      </c>
      <c r="B90" s="143" t="s">
        <v>211</v>
      </c>
      <c r="C90" s="280">
        <v>0.221632303</v>
      </c>
      <c r="D90" s="145">
        <v>91.410499999999999</v>
      </c>
      <c r="E90" s="144">
        <v>91.463800000000006</v>
      </c>
      <c r="F90" s="144">
        <f t="shared" si="6"/>
        <v>5.8308400019702056E-2</v>
      </c>
      <c r="G90" s="144">
        <f t="shared" si="4"/>
        <v>9.036735782730988E-5</v>
      </c>
      <c r="H90" s="144">
        <f t="shared" si="5"/>
        <v>3.257569212579435E-3</v>
      </c>
      <c r="I90" s="140"/>
      <c r="J90" s="146"/>
      <c r="K90" s="78"/>
      <c r="L90" s="78"/>
      <c r="M90" s="78"/>
      <c r="N90" s="78"/>
      <c r="O90" s="78"/>
    </row>
    <row r="91" spans="1:15" ht="15.75" customHeight="1">
      <c r="A91" s="142">
        <v>821</v>
      </c>
      <c r="B91" s="143" t="s">
        <v>211</v>
      </c>
      <c r="C91" s="280">
        <v>0.221632303</v>
      </c>
      <c r="D91" s="145">
        <v>91.410499999999999</v>
      </c>
      <c r="E91" s="144">
        <v>91.463800000000006</v>
      </c>
      <c r="F91" s="144">
        <f t="shared" si="6"/>
        <v>5.8308400019702056E-2</v>
      </c>
      <c r="G91" s="144">
        <f t="shared" si="4"/>
        <v>9.036735782730988E-5</v>
      </c>
      <c r="H91" s="144">
        <f t="shared" si="5"/>
        <v>3.257569212579435E-3</v>
      </c>
      <c r="I91" s="140"/>
      <c r="J91" s="146"/>
      <c r="K91" s="78"/>
      <c r="L91" s="78"/>
      <c r="M91" s="78"/>
      <c r="N91" s="78"/>
      <c r="O91" s="78"/>
    </row>
    <row r="92" spans="1:15" ht="15.75" customHeight="1">
      <c r="A92" s="142">
        <v>83</v>
      </c>
      <c r="B92" s="143" t="s">
        <v>212</v>
      </c>
      <c r="C92" s="280">
        <v>4.8395466599999999</v>
      </c>
      <c r="D92" s="145">
        <v>97.802199999999999</v>
      </c>
      <c r="E92" s="144">
        <v>99.695300000000003</v>
      </c>
      <c r="F92" s="144">
        <f t="shared" si="6"/>
        <v>1.9356415295361584</v>
      </c>
      <c r="G92" s="144">
        <f t="shared" si="4"/>
        <v>7.0085722235323958E-2</v>
      </c>
      <c r="H92" s="144">
        <f t="shared" si="5"/>
        <v>2.526455309576265</v>
      </c>
      <c r="I92" s="140"/>
      <c r="J92" s="146"/>
      <c r="K92" s="78"/>
      <c r="L92" s="78"/>
      <c r="M92" s="78"/>
      <c r="N92" s="78"/>
      <c r="O92" s="78"/>
    </row>
    <row r="93" spans="1:15" ht="15.75" customHeight="1">
      <c r="A93" s="142">
        <v>831</v>
      </c>
      <c r="B93" s="143" t="s">
        <v>213</v>
      </c>
      <c r="C93" s="280">
        <v>4.8395466599999999</v>
      </c>
      <c r="D93" s="145">
        <v>97.802199999999999</v>
      </c>
      <c r="E93" s="144">
        <v>99.695300000000003</v>
      </c>
      <c r="F93" s="144">
        <f t="shared" si="6"/>
        <v>1.9356415295361584</v>
      </c>
      <c r="G93" s="144">
        <f t="shared" si="4"/>
        <v>7.0085722235323958E-2</v>
      </c>
      <c r="H93" s="144">
        <f t="shared" si="5"/>
        <v>2.526455309576265</v>
      </c>
      <c r="I93" s="140"/>
      <c r="J93" s="146"/>
      <c r="K93" s="78"/>
      <c r="L93" s="78"/>
      <c r="M93" s="78"/>
      <c r="N93" s="78"/>
      <c r="O93" s="78"/>
    </row>
    <row r="94" spans="1:15" ht="15.75" customHeight="1">
      <c r="A94" s="142">
        <v>9</v>
      </c>
      <c r="B94" s="143" t="s">
        <v>102</v>
      </c>
      <c r="C94" s="280">
        <v>3.0303016</v>
      </c>
      <c r="D94" s="145">
        <v>118.20140000000001</v>
      </c>
      <c r="E94" s="144">
        <v>118.98480000000001</v>
      </c>
      <c r="F94" s="144">
        <f t="shared" si="6"/>
        <v>0.66276710766539626</v>
      </c>
      <c r="G94" s="144">
        <f t="shared" si="4"/>
        <v>1.8160204659047451E-2</v>
      </c>
      <c r="H94" s="144">
        <f t="shared" si="5"/>
        <v>0.65464040350172159</v>
      </c>
      <c r="I94" s="140"/>
      <c r="J94" s="146"/>
      <c r="K94" s="78"/>
      <c r="L94" s="78"/>
      <c r="M94" s="78"/>
      <c r="N94" s="78"/>
      <c r="O94" s="78"/>
    </row>
    <row r="95" spans="1:15" ht="15.75" customHeight="1">
      <c r="A95" s="142">
        <v>91</v>
      </c>
      <c r="B95" s="143" t="s">
        <v>103</v>
      </c>
      <c r="C95" s="280">
        <v>0.320875994</v>
      </c>
      <c r="D95" s="145">
        <v>101.0067</v>
      </c>
      <c r="E95" s="144">
        <v>98.595399999999998</v>
      </c>
      <c r="F95" s="144">
        <f t="shared" si="6"/>
        <v>-2.3872673792926569</v>
      </c>
      <c r="G95" s="144">
        <f t="shared" si="4"/>
        <v>-5.918883465156584E-3</v>
      </c>
      <c r="H95" s="144">
        <f t="shared" si="5"/>
        <v>-0.21336434983288424</v>
      </c>
      <c r="I95" s="140"/>
      <c r="J95" s="146"/>
      <c r="K95" s="78"/>
      <c r="L95" s="78"/>
      <c r="M95" s="78"/>
      <c r="N95" s="78"/>
      <c r="O95" s="78"/>
    </row>
    <row r="96" spans="1:15" ht="15.75" customHeight="1">
      <c r="A96" s="142">
        <v>911</v>
      </c>
      <c r="B96" s="143" t="s">
        <v>214</v>
      </c>
      <c r="C96" s="280">
        <v>0.23513193199999999</v>
      </c>
      <c r="D96" s="149">
        <v>97.586699999999993</v>
      </c>
      <c r="E96" s="144">
        <v>93.883399999999995</v>
      </c>
      <c r="F96" s="144">
        <f t="shared" si="6"/>
        <v>-3.7948818845190968</v>
      </c>
      <c r="G96" s="144">
        <f t="shared" si="4"/>
        <v>-6.6611900351555174E-3</v>
      </c>
      <c r="H96" s="144">
        <f t="shared" si="5"/>
        <v>-0.24012307208461733</v>
      </c>
      <c r="I96" s="140"/>
      <c r="J96" s="146"/>
      <c r="K96" s="78"/>
      <c r="L96" s="78"/>
      <c r="M96" s="78"/>
      <c r="N96" s="78"/>
      <c r="O96" s="78"/>
    </row>
    <row r="97" spans="1:15" ht="15.75" customHeight="1">
      <c r="A97" s="142">
        <v>913</v>
      </c>
      <c r="B97" s="143" t="s">
        <v>215</v>
      </c>
      <c r="C97" s="280">
        <v>8.5744061999999996E-2</v>
      </c>
      <c r="D97" s="149">
        <v>110.3853</v>
      </c>
      <c r="E97" s="144">
        <v>111.51690000000001</v>
      </c>
      <c r="F97" s="144">
        <f t="shared" si="6"/>
        <v>1.025136499153434</v>
      </c>
      <c r="G97" s="144">
        <f t="shared" si="4"/>
        <v>7.4224675692844745E-4</v>
      </c>
      <c r="H97" s="144">
        <f t="shared" si="5"/>
        <v>2.6756566105735177E-2</v>
      </c>
      <c r="I97" s="140"/>
      <c r="J97" s="146"/>
      <c r="K97" s="78"/>
      <c r="L97" s="78"/>
      <c r="M97" s="78"/>
      <c r="N97" s="78"/>
      <c r="O97" s="78"/>
    </row>
    <row r="98" spans="1:15" ht="15.75" customHeight="1">
      <c r="A98" s="142">
        <v>93</v>
      </c>
      <c r="B98" s="143" t="s">
        <v>104</v>
      </c>
      <c r="C98" s="280">
        <v>0.234422204</v>
      </c>
      <c r="D98" s="149">
        <v>124.3085</v>
      </c>
      <c r="E98" s="144">
        <v>126.4259</v>
      </c>
      <c r="F98" s="144">
        <f t="shared" si="6"/>
        <v>1.7033428928834304</v>
      </c>
      <c r="G98" s="144">
        <f t="shared" si="4"/>
        <v>3.797108174213987E-3</v>
      </c>
      <c r="H98" s="144">
        <f t="shared" si="5"/>
        <v>0.13687843688858037</v>
      </c>
      <c r="I98" s="140"/>
      <c r="J98" s="146"/>
      <c r="K98" s="78"/>
      <c r="L98" s="78"/>
      <c r="M98" s="78"/>
      <c r="N98" s="78"/>
      <c r="O98" s="78"/>
    </row>
    <row r="99" spans="1:15" ht="15.75" customHeight="1">
      <c r="A99" s="142">
        <v>931</v>
      </c>
      <c r="B99" s="143" t="s">
        <v>106</v>
      </c>
      <c r="C99" s="280">
        <v>8.3218986999999994E-2</v>
      </c>
      <c r="D99" s="149">
        <v>102.94499999999999</v>
      </c>
      <c r="E99" s="144">
        <v>103.0669</v>
      </c>
      <c r="F99" s="144">
        <f t="shared" si="6"/>
        <v>0.11841274466950491</v>
      </c>
      <c r="G99" s="144">
        <f t="shared" si="4"/>
        <v>7.7602809896581257E-5</v>
      </c>
      <c r="H99" s="144">
        <f t="shared" si="5"/>
        <v>2.7974318427218671E-3</v>
      </c>
      <c r="I99" s="140"/>
      <c r="J99" s="146"/>
      <c r="K99" s="78"/>
      <c r="L99" s="78"/>
      <c r="M99" s="78"/>
      <c r="N99" s="78"/>
      <c r="O99" s="78"/>
    </row>
    <row r="100" spans="1:15" ht="15.75" customHeight="1">
      <c r="A100" s="142">
        <v>932</v>
      </c>
      <c r="B100" s="143" t="s">
        <v>105</v>
      </c>
      <c r="C100" s="280">
        <v>1.7544493000000001E-2</v>
      </c>
      <c r="D100" s="149">
        <v>109.959</v>
      </c>
      <c r="E100" s="144">
        <v>109.247</v>
      </c>
      <c r="F100" s="144">
        <f t="shared" si="6"/>
        <v>-0.64751407342736877</v>
      </c>
      <c r="G100" s="144">
        <f t="shared" si="4"/>
        <v>-9.5559117944952319E-5</v>
      </c>
      <c r="H100" s="144">
        <f t="shared" si="5"/>
        <v>-3.4447221660900296E-3</v>
      </c>
      <c r="I100" s="140"/>
      <c r="J100" s="146"/>
      <c r="K100" s="78"/>
      <c r="L100" s="78"/>
      <c r="M100" s="78"/>
      <c r="N100" s="78"/>
      <c r="O100" s="78"/>
    </row>
    <row r="101" spans="1:15" ht="15.75" customHeight="1">
      <c r="A101" s="142">
        <v>934</v>
      </c>
      <c r="B101" s="143" t="s">
        <v>216</v>
      </c>
      <c r="C101" s="280">
        <v>8.0524990000000005E-2</v>
      </c>
      <c r="D101" s="149">
        <v>141.8092</v>
      </c>
      <c r="E101" s="144">
        <v>145.1063</v>
      </c>
      <c r="F101" s="144">
        <f t="shared" si="6"/>
        <v>2.3250254567404705</v>
      </c>
      <c r="G101" s="144">
        <f t="shared" si="4"/>
        <v>2.0310196028901027E-3</v>
      </c>
      <c r="H101" s="144">
        <f t="shared" si="5"/>
        <v>7.3214345174985665E-2</v>
      </c>
      <c r="I101" s="140"/>
      <c r="J101" s="146"/>
      <c r="K101" s="78"/>
      <c r="L101" s="78"/>
      <c r="M101" s="78"/>
      <c r="N101" s="78"/>
      <c r="O101" s="78"/>
    </row>
    <row r="102" spans="1:15" ht="15.75" customHeight="1">
      <c r="A102" s="142">
        <v>935</v>
      </c>
      <c r="B102" s="143" t="s">
        <v>217</v>
      </c>
      <c r="C102" s="280">
        <v>5.3133734000000002E-2</v>
      </c>
      <c r="D102" s="149">
        <v>135.9837</v>
      </c>
      <c r="E102" s="144">
        <v>140.37299999999999</v>
      </c>
      <c r="F102" s="144">
        <f t="shared" si="6"/>
        <v>3.2278133335098103</v>
      </c>
      <c r="G102" s="144">
        <f t="shared" si="4"/>
        <v>1.7840906553311573E-3</v>
      </c>
      <c r="H102" s="144">
        <f t="shared" si="5"/>
        <v>6.4313032172122059E-2</v>
      </c>
      <c r="I102" s="140"/>
      <c r="J102" s="146"/>
      <c r="K102" s="78"/>
      <c r="L102" s="78"/>
      <c r="M102" s="78"/>
      <c r="N102" s="78"/>
      <c r="O102" s="78"/>
    </row>
    <row r="103" spans="1:15" ht="15.75" customHeight="1">
      <c r="A103" s="142">
        <v>94</v>
      </c>
      <c r="B103" s="143" t="s">
        <v>107</v>
      </c>
      <c r="C103" s="280">
        <v>1.63590277</v>
      </c>
      <c r="D103" s="149">
        <v>113.3477</v>
      </c>
      <c r="E103" s="144">
        <v>114.55800000000001</v>
      </c>
      <c r="F103" s="144">
        <f t="shared" si="6"/>
        <v>1.0677764083435237</v>
      </c>
      <c r="G103" s="144">
        <f t="shared" si="4"/>
        <v>1.5146135482405454E-2</v>
      </c>
      <c r="H103" s="144">
        <f t="shared" si="5"/>
        <v>0.54598901443293157</v>
      </c>
      <c r="I103" s="140"/>
      <c r="J103" s="146"/>
      <c r="K103" s="78"/>
      <c r="L103" s="78"/>
      <c r="M103" s="78"/>
      <c r="N103" s="78"/>
      <c r="O103" s="78"/>
    </row>
    <row r="104" spans="1:15" ht="15.75" customHeight="1">
      <c r="A104" s="142">
        <v>941</v>
      </c>
      <c r="B104" s="143" t="s">
        <v>218</v>
      </c>
      <c r="C104" s="280">
        <v>0.21271047800000001</v>
      </c>
      <c r="D104" s="149">
        <v>117.9841</v>
      </c>
      <c r="E104" s="144">
        <v>123.5839</v>
      </c>
      <c r="F104" s="144">
        <f t="shared" si="6"/>
        <v>4.7462327550915839</v>
      </c>
      <c r="G104" s="144">
        <f t="shared" si="4"/>
        <v>9.1119791213751349E-3</v>
      </c>
      <c r="H104" s="144">
        <f t="shared" si="5"/>
        <v>0.32846929870608427</v>
      </c>
      <c r="I104" s="140"/>
      <c r="J104" s="146"/>
      <c r="K104" s="78"/>
      <c r="L104" s="78"/>
      <c r="M104" s="78"/>
      <c r="N104" s="78"/>
      <c r="O104" s="78"/>
    </row>
    <row r="105" spans="1:15" ht="15.75" customHeight="1">
      <c r="A105" s="142">
        <v>942</v>
      </c>
      <c r="B105" s="143" t="s">
        <v>219</v>
      </c>
      <c r="C105" s="280">
        <v>0.631497635</v>
      </c>
      <c r="D105" s="149">
        <v>110.96810000000001</v>
      </c>
      <c r="E105" s="144">
        <v>112.2174</v>
      </c>
      <c r="F105" s="144">
        <f t="shared" si="6"/>
        <v>1.1258190416885583</v>
      </c>
      <c r="G105" s="144">
        <f t="shared" si="4"/>
        <v>6.0351738453014352E-3</v>
      </c>
      <c r="H105" s="144">
        <f t="shared" si="5"/>
        <v>0.21755639407526373</v>
      </c>
      <c r="I105" s="140"/>
      <c r="J105" s="146"/>
      <c r="K105" s="78"/>
      <c r="L105" s="78"/>
      <c r="M105" s="78"/>
      <c r="N105" s="78"/>
      <c r="O105" s="78"/>
    </row>
    <row r="106" spans="1:15" ht="15.75" customHeight="1">
      <c r="A106" s="142">
        <v>943</v>
      </c>
      <c r="B106" s="143" t="s">
        <v>108</v>
      </c>
      <c r="C106" s="280">
        <v>0.791694652</v>
      </c>
      <c r="D106" s="149">
        <v>114</v>
      </c>
      <c r="E106" s="144">
        <v>114</v>
      </c>
      <c r="F106" s="144">
        <f t="shared" si="6"/>
        <v>0</v>
      </c>
      <c r="G106" s="144">
        <f t="shared" si="4"/>
        <v>0</v>
      </c>
      <c r="H106" s="144">
        <f t="shared" si="5"/>
        <v>0</v>
      </c>
      <c r="I106" s="140"/>
      <c r="J106" s="146"/>
      <c r="K106" s="78"/>
      <c r="L106" s="78"/>
      <c r="M106" s="78"/>
      <c r="N106" s="78"/>
      <c r="O106" s="78"/>
    </row>
    <row r="107" spans="1:15" ht="15.75" customHeight="1">
      <c r="A107" s="142">
        <v>95</v>
      </c>
      <c r="B107" s="143" t="s">
        <v>109</v>
      </c>
      <c r="C107" s="280">
        <v>0.59547164399999997</v>
      </c>
      <c r="D107" s="149">
        <v>125.2972</v>
      </c>
      <c r="E107" s="144">
        <v>127.2109</v>
      </c>
      <c r="F107" s="144">
        <f t="shared" si="6"/>
        <v>1.527328623464852</v>
      </c>
      <c r="G107" s="144">
        <f t="shared" si="4"/>
        <v>8.7173856361040594E-3</v>
      </c>
      <c r="H107" s="144">
        <f t="shared" si="5"/>
        <v>0.31424496350354492</v>
      </c>
      <c r="I107" s="140"/>
      <c r="J107" s="146"/>
      <c r="K107" s="78"/>
      <c r="L107" s="78"/>
      <c r="M107" s="78"/>
      <c r="N107" s="78"/>
      <c r="O107" s="78"/>
    </row>
    <row r="108" spans="1:15" ht="15.75" customHeight="1">
      <c r="A108" s="142">
        <v>951</v>
      </c>
      <c r="B108" s="143" t="s">
        <v>110</v>
      </c>
      <c r="C108" s="280">
        <v>0.37345707</v>
      </c>
      <c r="D108" s="149">
        <v>122.765</v>
      </c>
      <c r="E108" s="144">
        <v>125.0226</v>
      </c>
      <c r="F108" s="144">
        <f t="shared" si="6"/>
        <v>1.838960615810703</v>
      </c>
      <c r="G108" s="144">
        <f t="shared" si="4"/>
        <v>6.4496923335934167E-3</v>
      </c>
      <c r="H108" s="144">
        <f t="shared" si="5"/>
        <v>0.23249898726345197</v>
      </c>
      <c r="I108" s="140"/>
      <c r="J108" s="146"/>
      <c r="K108" s="78"/>
      <c r="L108" s="78"/>
      <c r="M108" s="78"/>
      <c r="N108" s="78"/>
      <c r="O108" s="78"/>
    </row>
    <row r="109" spans="1:15" ht="15.75" customHeight="1">
      <c r="A109" s="142">
        <v>954</v>
      </c>
      <c r="B109" s="143" t="s">
        <v>111</v>
      </c>
      <c r="C109" s="280">
        <v>0.22201457399999999</v>
      </c>
      <c r="D109" s="149">
        <v>129.55670000000001</v>
      </c>
      <c r="E109" s="144">
        <v>130.89189999999999</v>
      </c>
      <c r="F109" s="144">
        <f t="shared" si="6"/>
        <v>1.030591239202594</v>
      </c>
      <c r="G109" s="144">
        <f t="shared" si="4"/>
        <v>2.2676661862945559E-3</v>
      </c>
      <c r="H109" s="144">
        <f t="shared" si="5"/>
        <v>8.1744998752725756E-2</v>
      </c>
      <c r="I109" s="140"/>
      <c r="J109" s="146"/>
      <c r="K109" s="78"/>
      <c r="L109" s="78"/>
      <c r="M109" s="78"/>
      <c r="N109" s="78"/>
      <c r="O109" s="78"/>
    </row>
    <row r="110" spans="1:15" ht="15.75" customHeight="1">
      <c r="A110" s="142">
        <v>96</v>
      </c>
      <c r="B110" s="143" t="s">
        <v>112</v>
      </c>
      <c r="C110" s="280">
        <v>0.24362898999999999</v>
      </c>
      <c r="D110" s="149">
        <v>150.22</v>
      </c>
      <c r="E110" s="144">
        <v>148.29830000000001</v>
      </c>
      <c r="F110" s="144">
        <f t="shared" si="6"/>
        <v>-1.279257089601904</v>
      </c>
      <c r="G110" s="144">
        <f t="shared" si="4"/>
        <v>-3.5815075510089874E-3</v>
      </c>
      <c r="H110" s="144">
        <f t="shared" si="5"/>
        <v>-0.12910644964394175</v>
      </c>
      <c r="I110" s="140"/>
      <c r="J110" s="146"/>
      <c r="K110" s="78"/>
      <c r="L110" s="78"/>
      <c r="M110" s="78"/>
      <c r="N110" s="78"/>
      <c r="O110" s="78"/>
    </row>
    <row r="111" spans="1:15" ht="15.75" customHeight="1">
      <c r="A111" s="142">
        <v>961</v>
      </c>
      <c r="B111" s="143" t="s">
        <v>113</v>
      </c>
      <c r="C111" s="280">
        <v>0.24362898999999999</v>
      </c>
      <c r="D111" s="149">
        <v>150.22</v>
      </c>
      <c r="E111" s="144">
        <v>148.29830000000001</v>
      </c>
      <c r="F111" s="144">
        <f t="shared" si="6"/>
        <v>-1.279257089601904</v>
      </c>
      <c r="G111" s="144">
        <f t="shared" si="4"/>
        <v>-3.5815075510089874E-3</v>
      </c>
      <c r="H111" s="144">
        <f t="shared" si="5"/>
        <v>-0.12910644964394175</v>
      </c>
      <c r="I111" s="140"/>
      <c r="J111" s="146"/>
      <c r="K111" s="78"/>
      <c r="L111" s="78"/>
      <c r="M111" s="78"/>
      <c r="N111" s="78"/>
      <c r="O111" s="78"/>
    </row>
    <row r="112" spans="1:15" ht="15.75" customHeight="1">
      <c r="A112" s="142">
        <v>10</v>
      </c>
      <c r="B112" s="143" t="s">
        <v>20</v>
      </c>
      <c r="C112" s="280">
        <v>3.06259931</v>
      </c>
      <c r="D112" s="149">
        <v>123.1768</v>
      </c>
      <c r="E112" s="144">
        <v>130.3631</v>
      </c>
      <c r="F112" s="144">
        <f t="shared" si="6"/>
        <v>5.8341343499749954</v>
      </c>
      <c r="G112" s="144">
        <f t="shared" si="4"/>
        <v>0.16836307141455156</v>
      </c>
      <c r="H112" s="144">
        <f t="shared" si="5"/>
        <v>6.0691644766624773</v>
      </c>
      <c r="I112" s="140"/>
      <c r="J112" s="146"/>
      <c r="K112" s="78"/>
      <c r="L112" s="78"/>
      <c r="M112" s="78"/>
      <c r="N112" s="78"/>
      <c r="O112" s="78"/>
    </row>
    <row r="113" spans="1:15" ht="15.75" customHeight="1">
      <c r="A113" s="142">
        <v>101</v>
      </c>
      <c r="B113" s="143" t="s">
        <v>114</v>
      </c>
      <c r="C113" s="280">
        <v>1.06848023</v>
      </c>
      <c r="D113" s="149">
        <v>124.5376</v>
      </c>
      <c r="E113" s="144">
        <v>133.202</v>
      </c>
      <c r="F113" s="144">
        <f t="shared" si="6"/>
        <v>6.9572562824399942</v>
      </c>
      <c r="G113" s="144">
        <f t="shared" si="4"/>
        <v>7.0820061694374326E-2</v>
      </c>
      <c r="H113" s="144">
        <f t="shared" si="5"/>
        <v>2.5529268328220378</v>
      </c>
      <c r="I113" s="140"/>
      <c r="J113" s="146"/>
      <c r="K113" s="78"/>
      <c r="L113" s="78"/>
      <c r="M113" s="78"/>
      <c r="N113" s="78"/>
      <c r="O113" s="78"/>
    </row>
    <row r="114" spans="1:15" ht="15.75" customHeight="1">
      <c r="A114" s="142">
        <v>1011</v>
      </c>
      <c r="B114" s="143" t="s">
        <v>220</v>
      </c>
      <c r="C114" s="280">
        <v>1.06848023</v>
      </c>
      <c r="D114" s="149">
        <v>124.5376</v>
      </c>
      <c r="E114" s="144">
        <v>133.202</v>
      </c>
      <c r="F114" s="144">
        <f t="shared" si="6"/>
        <v>6.9572562824399942</v>
      </c>
      <c r="G114" s="144">
        <f t="shared" si="4"/>
        <v>7.0820061694374326E-2</v>
      </c>
      <c r="H114" s="144">
        <f t="shared" si="5"/>
        <v>2.5529268328220378</v>
      </c>
      <c r="I114" s="140"/>
      <c r="J114" s="146"/>
      <c r="K114" s="78"/>
      <c r="L114" s="78"/>
      <c r="M114" s="78"/>
      <c r="N114" s="78"/>
      <c r="O114" s="78"/>
    </row>
    <row r="115" spans="1:15" ht="15.75" customHeight="1">
      <c r="A115" s="128">
        <v>102</v>
      </c>
      <c r="B115" s="143" t="s">
        <v>115</v>
      </c>
      <c r="C115" s="280">
        <v>0.42618938899999997</v>
      </c>
      <c r="D115" s="149">
        <v>123.6858</v>
      </c>
      <c r="E115" s="144">
        <v>132.30009999999999</v>
      </c>
      <c r="F115" s="144">
        <f t="shared" si="6"/>
        <v>6.9646636881517399</v>
      </c>
      <c r="G115" s="144">
        <f t="shared" si="4"/>
        <v>2.8084968510753306E-2</v>
      </c>
      <c r="H115" s="144">
        <f t="shared" si="5"/>
        <v>1.0124090264067023</v>
      </c>
      <c r="I115" s="140"/>
      <c r="J115" s="146"/>
      <c r="K115" s="78"/>
      <c r="L115" s="78"/>
      <c r="M115" s="78"/>
      <c r="N115" s="78"/>
      <c r="O115" s="78"/>
    </row>
    <row r="116" spans="1:15" ht="15.75" customHeight="1">
      <c r="A116" s="142">
        <v>1021</v>
      </c>
      <c r="B116" s="143" t="s">
        <v>116</v>
      </c>
      <c r="C116" s="280">
        <v>0.42618938899999997</v>
      </c>
      <c r="D116" s="149">
        <v>123.6858</v>
      </c>
      <c r="E116" s="144">
        <v>132.30009999999999</v>
      </c>
      <c r="F116" s="144">
        <f t="shared" si="6"/>
        <v>6.9646636881517399</v>
      </c>
      <c r="G116" s="144">
        <f t="shared" si="4"/>
        <v>2.8084968510753306E-2</v>
      </c>
      <c r="H116" s="144">
        <f t="shared" si="5"/>
        <v>1.0124090264067023</v>
      </c>
      <c r="I116" s="140"/>
      <c r="J116" s="146"/>
      <c r="K116" s="78"/>
      <c r="L116" s="78"/>
      <c r="M116" s="78"/>
      <c r="N116" s="78"/>
      <c r="O116" s="78"/>
    </row>
    <row r="117" spans="1:15" ht="15.75" customHeight="1">
      <c r="A117" s="142">
        <v>104</v>
      </c>
      <c r="B117" s="150" t="s">
        <v>117</v>
      </c>
      <c r="C117" s="284">
        <v>1.34465119</v>
      </c>
      <c r="D117" s="149">
        <v>121.7863</v>
      </c>
      <c r="E117" s="151">
        <v>127.82429999999999</v>
      </c>
      <c r="F117" s="151">
        <f t="shared" si="6"/>
        <v>4.9578647187737745</v>
      </c>
      <c r="G117" s="151">
        <f t="shared" si="4"/>
        <v>6.2108932583803761E-2</v>
      </c>
      <c r="H117" s="151">
        <f t="shared" si="5"/>
        <v>2.2389074050146296</v>
      </c>
      <c r="I117" s="140"/>
      <c r="J117" s="146"/>
      <c r="K117" s="78"/>
      <c r="L117" s="78"/>
      <c r="M117" s="78"/>
      <c r="N117" s="78"/>
      <c r="O117" s="78"/>
    </row>
    <row r="118" spans="1:15" ht="15.75" customHeight="1">
      <c r="A118" s="142">
        <v>1041</v>
      </c>
      <c r="B118" s="143" t="s">
        <v>221</v>
      </c>
      <c r="C118" s="280">
        <v>1.34465119</v>
      </c>
      <c r="D118" s="149">
        <v>121.7863</v>
      </c>
      <c r="E118" s="144">
        <v>127.82429999999999</v>
      </c>
      <c r="F118" s="144">
        <f t="shared" si="6"/>
        <v>4.9578647187737745</v>
      </c>
      <c r="G118" s="144">
        <f t="shared" si="4"/>
        <v>6.2108932583803761E-2</v>
      </c>
      <c r="H118" s="144">
        <f t="shared" si="5"/>
        <v>2.2389074050146296</v>
      </c>
      <c r="I118" s="140"/>
      <c r="J118" s="146"/>
      <c r="K118" s="78"/>
      <c r="L118" s="78"/>
      <c r="M118" s="78"/>
      <c r="N118" s="78"/>
      <c r="O118" s="78"/>
    </row>
    <row r="119" spans="1:15" ht="15.75" customHeight="1">
      <c r="A119" s="142">
        <v>105</v>
      </c>
      <c r="B119" s="143" t="s">
        <v>118</v>
      </c>
      <c r="C119" s="280">
        <v>0.22327849699999999</v>
      </c>
      <c r="D119" s="145">
        <v>124.0669</v>
      </c>
      <c r="E119" s="144">
        <v>128.3699</v>
      </c>
      <c r="F119" s="144">
        <f t="shared" si="6"/>
        <v>3.468290091877857</v>
      </c>
      <c r="G119" s="144">
        <f t="shared" si="4"/>
        <v>7.3496991523308956E-3</v>
      </c>
      <c r="H119" s="144">
        <f t="shared" si="5"/>
        <v>0.26494249976974266</v>
      </c>
      <c r="I119" s="140"/>
      <c r="J119" s="146"/>
      <c r="K119" s="78"/>
      <c r="L119" s="78"/>
      <c r="M119" s="78"/>
      <c r="N119" s="78"/>
      <c r="O119" s="78"/>
    </row>
    <row r="120" spans="1:15" ht="15.75" customHeight="1">
      <c r="A120" s="142">
        <v>1051</v>
      </c>
      <c r="B120" s="143" t="s">
        <v>119</v>
      </c>
      <c r="C120" s="280">
        <v>0.22327849699999999</v>
      </c>
      <c r="D120" s="145">
        <v>124.0669</v>
      </c>
      <c r="E120" s="144">
        <v>128.3699</v>
      </c>
      <c r="F120" s="144">
        <f t="shared" si="6"/>
        <v>3.468290091877857</v>
      </c>
      <c r="G120" s="144">
        <f t="shared" si="4"/>
        <v>7.3496991523308956E-3</v>
      </c>
      <c r="H120" s="144">
        <f t="shared" si="5"/>
        <v>0.26494249976974266</v>
      </c>
      <c r="I120" s="140"/>
      <c r="J120" s="146"/>
      <c r="K120" s="78"/>
      <c r="L120" s="78"/>
      <c r="M120" s="78"/>
      <c r="N120" s="78"/>
      <c r="O120" s="78"/>
    </row>
    <row r="121" spans="1:15" ht="15.75" customHeight="1">
      <c r="A121" s="146">
        <v>11</v>
      </c>
      <c r="B121" s="143" t="s">
        <v>120</v>
      </c>
      <c r="C121" s="280">
        <v>8.6166370699999995</v>
      </c>
      <c r="D121" s="145">
        <v>140.69470000000001</v>
      </c>
      <c r="E121" s="144">
        <v>146.66990000000001</v>
      </c>
      <c r="F121" s="144">
        <f t="shared" si="6"/>
        <v>4.2469261457610097</v>
      </c>
      <c r="G121" s="144">
        <f t="shared" si="4"/>
        <v>0.39385971619669224</v>
      </c>
      <c r="H121" s="144">
        <f t="shared" si="5"/>
        <v>14.197884240562317</v>
      </c>
      <c r="I121" s="140"/>
      <c r="J121" s="146"/>
      <c r="K121" s="78"/>
      <c r="L121" s="78"/>
      <c r="M121" s="78"/>
      <c r="N121" s="78"/>
      <c r="O121" s="78"/>
    </row>
    <row r="122" spans="1:15" ht="15.75" customHeight="1">
      <c r="A122" s="64">
        <v>111</v>
      </c>
      <c r="B122" s="154" t="s">
        <v>121</v>
      </c>
      <c r="C122" s="280">
        <v>8.5719378099999997</v>
      </c>
      <c r="D122" s="145">
        <v>140.75919999999999</v>
      </c>
      <c r="E122" s="144">
        <v>146.75579999999999</v>
      </c>
      <c r="F122" s="144">
        <f t="shared" si="6"/>
        <v>4.2601833485839569</v>
      </c>
      <c r="G122" s="144">
        <f t="shared" si="4"/>
        <v>0.39321982735458455</v>
      </c>
      <c r="H122" s="144">
        <f t="shared" si="5"/>
        <v>14.174817480156346</v>
      </c>
      <c r="I122" s="140"/>
      <c r="K122" s="78"/>
      <c r="L122" s="78"/>
      <c r="M122" s="78"/>
      <c r="N122" s="78"/>
      <c r="O122" s="78"/>
    </row>
    <row r="123" spans="1:15" ht="15.75" customHeight="1">
      <c r="A123" s="64">
        <v>1111</v>
      </c>
      <c r="B123" s="131" t="s">
        <v>222</v>
      </c>
      <c r="C123" s="280">
        <v>8.5719378099999997</v>
      </c>
      <c r="D123" s="145">
        <v>140.75919999999999</v>
      </c>
      <c r="E123" s="144">
        <v>146.75579999999999</v>
      </c>
      <c r="F123" s="144">
        <f t="shared" si="6"/>
        <v>4.2601833485839569</v>
      </c>
      <c r="G123" s="144">
        <f t="shared" si="4"/>
        <v>0.39321982735458455</v>
      </c>
      <c r="H123" s="144">
        <f t="shared" si="5"/>
        <v>14.174817480156346</v>
      </c>
      <c r="I123" s="140"/>
      <c r="K123" s="78"/>
      <c r="L123" s="78"/>
      <c r="M123" s="78"/>
      <c r="N123" s="78"/>
      <c r="O123" s="78"/>
    </row>
    <row r="124" spans="1:15" ht="15.75" customHeight="1">
      <c r="A124" s="64">
        <v>112</v>
      </c>
      <c r="B124" s="154" t="s">
        <v>122</v>
      </c>
      <c r="C124" s="280">
        <v>4.4699265000000002E-2</v>
      </c>
      <c r="D124" s="145">
        <v>128.34020000000001</v>
      </c>
      <c r="E124" s="144">
        <v>130.19810000000001</v>
      </c>
      <c r="F124" s="144">
        <f t="shared" si="6"/>
        <v>1.447636827743759</v>
      </c>
      <c r="G124" s="144">
        <f t="shared" si="4"/>
        <v>6.3529294566714114E-4</v>
      </c>
      <c r="H124" s="144">
        <f t="shared" si="5"/>
        <v>2.2901087190453993E-2</v>
      </c>
      <c r="I124" s="140"/>
      <c r="K124" s="78"/>
      <c r="L124" s="78"/>
      <c r="M124" s="78"/>
      <c r="N124" s="78"/>
      <c r="O124" s="78"/>
    </row>
    <row r="125" spans="1:15" ht="15.75" customHeight="1">
      <c r="A125" s="64">
        <v>1121</v>
      </c>
      <c r="B125" s="154" t="s">
        <v>123</v>
      </c>
      <c r="C125" s="280">
        <v>4.4699265000000002E-2</v>
      </c>
      <c r="D125" s="145">
        <v>128.34020000000001</v>
      </c>
      <c r="E125" s="144">
        <v>130.19810000000001</v>
      </c>
      <c r="F125" s="144">
        <f t="shared" si="6"/>
        <v>1.447636827743759</v>
      </c>
      <c r="G125" s="144">
        <f t="shared" si="4"/>
        <v>6.3529294566714114E-4</v>
      </c>
      <c r="H125" s="144">
        <f t="shared" si="5"/>
        <v>2.2901087190453993E-2</v>
      </c>
      <c r="I125" s="140"/>
      <c r="K125" s="78"/>
      <c r="L125" s="78"/>
      <c r="M125" s="78"/>
      <c r="N125" s="78"/>
      <c r="O125" s="78"/>
    </row>
    <row r="126" spans="1:15" ht="15.75" customHeight="1">
      <c r="A126" s="262">
        <v>12</v>
      </c>
      <c r="B126" s="263" t="s">
        <v>124</v>
      </c>
      <c r="C126" s="280">
        <v>10.309428199999999</v>
      </c>
      <c r="D126" s="145">
        <v>137.93690000000001</v>
      </c>
      <c r="E126" s="144">
        <v>142.9205</v>
      </c>
      <c r="F126" s="144">
        <f t="shared" si="6"/>
        <v>3.6129563590308278</v>
      </c>
      <c r="G126" s="144">
        <f t="shared" si="4"/>
        <v>0.39303305011795986</v>
      </c>
      <c r="H126" s="144">
        <f t="shared" si="5"/>
        <v>14.168084520487415</v>
      </c>
      <c r="K126" s="78"/>
      <c r="L126" s="78"/>
      <c r="M126" s="78"/>
      <c r="N126" s="78"/>
      <c r="O126" s="78"/>
    </row>
    <row r="127" spans="1:15" ht="15.75" customHeight="1">
      <c r="A127" s="267">
        <v>121</v>
      </c>
      <c r="B127" s="263" t="s">
        <v>125</v>
      </c>
      <c r="C127" s="280">
        <v>8.6317942700000003</v>
      </c>
      <c r="D127" s="145">
        <v>140.7176</v>
      </c>
      <c r="E127" s="144">
        <v>146.39769999999999</v>
      </c>
      <c r="F127" s="144">
        <f t="shared" si="6"/>
        <v>4.0365242158763248</v>
      </c>
      <c r="G127" s="144">
        <f t="shared" si="4"/>
        <v>0.37506658889113415</v>
      </c>
      <c r="H127" s="144">
        <f t="shared" si="5"/>
        <v>13.52042819458981</v>
      </c>
      <c r="K127" s="78"/>
      <c r="L127" s="78"/>
      <c r="M127" s="78"/>
      <c r="N127" s="78"/>
      <c r="O127" s="78"/>
    </row>
    <row r="128" spans="1:15" ht="15.75" customHeight="1">
      <c r="A128" s="262">
        <v>1211</v>
      </c>
      <c r="B128" s="263" t="s">
        <v>223</v>
      </c>
      <c r="C128" s="280">
        <v>3.52017968</v>
      </c>
      <c r="D128" s="145">
        <v>155.02969999999999</v>
      </c>
      <c r="E128" s="144">
        <v>164.2313</v>
      </c>
      <c r="F128" s="144">
        <f t="shared" si="6"/>
        <v>5.9353788338621705</v>
      </c>
      <c r="G128" s="144">
        <f t="shared" si="4"/>
        <v>0.24778755942754888</v>
      </c>
      <c r="H128" s="144">
        <f t="shared" si="5"/>
        <v>8.9322643071394676</v>
      </c>
      <c r="K128" s="78"/>
      <c r="L128" s="78"/>
      <c r="M128" s="78"/>
      <c r="N128" s="78"/>
      <c r="O128" s="78"/>
    </row>
    <row r="129" spans="1:15" ht="15.75" customHeight="1">
      <c r="A129" s="262">
        <v>1213</v>
      </c>
      <c r="B129" s="263" t="s">
        <v>224</v>
      </c>
      <c r="C129" s="280">
        <v>5.1116145900000003</v>
      </c>
      <c r="D129" s="145">
        <v>130.8614</v>
      </c>
      <c r="E129" s="144">
        <v>134.1163</v>
      </c>
      <c r="F129" s="144">
        <f t="shared" si="6"/>
        <v>2.4872880773092687</v>
      </c>
      <c r="G129" s="144">
        <f t="shared" si="4"/>
        <v>0.12727616108222764</v>
      </c>
      <c r="H129" s="144">
        <f t="shared" si="5"/>
        <v>4.5880604878265707</v>
      </c>
      <c r="K129" s="78"/>
      <c r="L129" s="78"/>
      <c r="M129" s="78"/>
      <c r="N129" s="78"/>
      <c r="O129" s="78"/>
    </row>
    <row r="130" spans="1:15" ht="15.75" customHeight="1">
      <c r="A130" s="262">
        <v>123</v>
      </c>
      <c r="B130" s="263" t="s">
        <v>225</v>
      </c>
      <c r="C130" s="280">
        <v>0.165576482</v>
      </c>
      <c r="D130" s="145">
        <v>108.812</v>
      </c>
      <c r="E130" s="144">
        <v>109.89190000000001</v>
      </c>
      <c r="F130" s="144">
        <f t="shared" si="6"/>
        <v>0.99244568613756634</v>
      </c>
      <c r="G130" s="144">
        <f t="shared" si="4"/>
        <v>1.3678343577347462E-3</v>
      </c>
      <c r="H130" s="144">
        <f t="shared" si="5"/>
        <v>4.9307794305329181E-2</v>
      </c>
      <c r="K130" s="78"/>
      <c r="L130" s="78"/>
      <c r="M130" s="78"/>
      <c r="N130" s="78"/>
      <c r="O130" s="78"/>
    </row>
    <row r="131" spans="1:15" ht="15.75" customHeight="1">
      <c r="A131" s="262">
        <v>1231</v>
      </c>
      <c r="B131" s="263" t="s">
        <v>226</v>
      </c>
      <c r="C131" s="280">
        <v>4.7365668999999999E-2</v>
      </c>
      <c r="D131" s="145">
        <v>126.8556</v>
      </c>
      <c r="E131" s="144">
        <v>130.98580000000001</v>
      </c>
      <c r="F131" s="144">
        <f t="shared" si="6"/>
        <v>3.2558278861950285</v>
      </c>
      <c r="G131" s="144">
        <f t="shared" si="4"/>
        <v>1.4965322294931286E-3</v>
      </c>
      <c r="H131" s="144">
        <f t="shared" si="5"/>
        <v>5.3947104724980557E-2</v>
      </c>
      <c r="K131" s="78"/>
      <c r="L131" s="78"/>
      <c r="M131" s="78"/>
      <c r="N131" s="78"/>
      <c r="O131" s="78"/>
    </row>
    <row r="132" spans="1:15" ht="15.75" customHeight="1">
      <c r="A132" s="262">
        <v>1232</v>
      </c>
      <c r="B132" s="263" t="s">
        <v>126</v>
      </c>
      <c r="C132" s="280">
        <v>0.118210813</v>
      </c>
      <c r="D132" s="145">
        <v>101.5821</v>
      </c>
      <c r="E132" s="144">
        <v>101.43989999999999</v>
      </c>
      <c r="F132" s="144">
        <f t="shared" si="6"/>
        <v>-0.13998529268444138</v>
      </c>
      <c r="G132" s="144">
        <f t="shared" si="4"/>
        <v>-1.2859027255244181E-4</v>
      </c>
      <c r="H132" s="144">
        <f t="shared" si="5"/>
        <v>-4.6354316755008607E-3</v>
      </c>
      <c r="K132" s="78"/>
      <c r="L132" s="78"/>
      <c r="M132" s="78"/>
      <c r="N132" s="78"/>
      <c r="O132" s="78"/>
    </row>
    <row r="133" spans="1:15" ht="15.75" customHeight="1">
      <c r="A133" s="262">
        <v>124</v>
      </c>
      <c r="B133" s="263" t="s">
        <v>227</v>
      </c>
      <c r="C133" s="280">
        <v>0.16129607700000001</v>
      </c>
      <c r="D133" s="145">
        <v>112.4772</v>
      </c>
      <c r="E133" s="144">
        <v>114.8676</v>
      </c>
      <c r="F133" s="144">
        <f t="shared" si="6"/>
        <v>2.1252307134245862</v>
      </c>
      <c r="G133" s="144">
        <f t="shared" si="4"/>
        <v>2.9494816669022807E-3</v>
      </c>
      <c r="H133" s="144">
        <f t="shared" si="5"/>
        <v>0.10632313373075816</v>
      </c>
      <c r="K133" s="78"/>
      <c r="L133" s="78"/>
      <c r="M133" s="78"/>
      <c r="N133" s="78"/>
      <c r="O133" s="78"/>
    </row>
    <row r="134" spans="1:15" ht="15.75" customHeight="1">
      <c r="A134" s="262">
        <v>1241</v>
      </c>
      <c r="B134" s="263" t="s">
        <v>227</v>
      </c>
      <c r="C134" s="280">
        <v>0.16129607700000001</v>
      </c>
      <c r="D134" s="145">
        <v>112.4772</v>
      </c>
      <c r="E134" s="144">
        <v>114.8676</v>
      </c>
      <c r="F134" s="144">
        <f t="shared" si="6"/>
        <v>2.1252307134245862</v>
      </c>
      <c r="G134" s="144">
        <f t="shared" si="4"/>
        <v>2.9494816669022807E-3</v>
      </c>
      <c r="H134" s="144">
        <f t="shared" si="5"/>
        <v>0.10632313373075816</v>
      </c>
      <c r="K134" s="78"/>
      <c r="L134" s="78"/>
      <c r="M134" s="78"/>
      <c r="N134" s="78"/>
      <c r="O134" s="78"/>
    </row>
    <row r="135" spans="1:15" ht="15.75" customHeight="1">
      <c r="A135" s="262">
        <v>125</v>
      </c>
      <c r="B135" s="263" t="s">
        <v>127</v>
      </c>
      <c r="C135" s="280">
        <v>0.97482866300000004</v>
      </c>
      <c r="D135" s="145">
        <v>124.4803</v>
      </c>
      <c r="E135" s="144">
        <v>124.44670000000001</v>
      </c>
      <c r="F135" s="144">
        <f t="shared" si="6"/>
        <v>-2.6992222865784843E-2</v>
      </c>
      <c r="G135" s="144">
        <f t="shared" si="4"/>
        <v>-2.5056412139343745E-4</v>
      </c>
      <c r="H135" s="144">
        <f t="shared" si="5"/>
        <v>-9.0323540186720563E-3</v>
      </c>
      <c r="K135" s="78"/>
      <c r="L135" s="78"/>
      <c r="M135" s="78"/>
      <c r="N135" s="78"/>
      <c r="O135" s="78"/>
    </row>
    <row r="136" spans="1:15" ht="15.75" customHeight="1">
      <c r="A136" s="262">
        <v>1253</v>
      </c>
      <c r="B136" s="263" t="s">
        <v>228</v>
      </c>
      <c r="C136" s="280">
        <v>0.35284890200000002</v>
      </c>
      <c r="D136" s="145">
        <v>163.2294</v>
      </c>
      <c r="E136" s="144">
        <v>163.2294</v>
      </c>
      <c r="F136" s="144">
        <f t="shared" si="6"/>
        <v>0</v>
      </c>
      <c r="G136" s="144">
        <f t="shared" si="4"/>
        <v>0</v>
      </c>
      <c r="H136" s="144">
        <f t="shared" si="5"/>
        <v>0</v>
      </c>
      <c r="K136" s="78"/>
      <c r="L136" s="78"/>
      <c r="M136" s="78"/>
      <c r="N136" s="78"/>
      <c r="O136" s="78"/>
    </row>
    <row r="137" spans="1:15" ht="15.75" customHeight="1">
      <c r="A137" s="262">
        <v>1254</v>
      </c>
      <c r="B137" s="263" t="s">
        <v>128</v>
      </c>
      <c r="C137" s="280">
        <v>0.56943624000000004</v>
      </c>
      <c r="D137" s="145">
        <v>102.7285</v>
      </c>
      <c r="E137" s="144">
        <v>102.6709</v>
      </c>
      <c r="F137" s="144">
        <f t="shared" si="6"/>
        <v>-5.6070126595830772E-2</v>
      </c>
      <c r="G137" s="144">
        <f t="shared" ref="G137:G140" si="7">(E137-D137)/$D$7*C137</f>
        <v>-2.5091053857802351E-4</v>
      </c>
      <c r="H137" s="144">
        <f t="shared" ref="H137:H140" si="8">(G137/$G$7)*100</f>
        <v>-9.0448416910168909E-3</v>
      </c>
      <c r="K137" s="78"/>
      <c r="L137" s="78"/>
      <c r="M137" s="78"/>
      <c r="N137" s="78"/>
      <c r="O137" s="78"/>
    </row>
    <row r="138" spans="1:15" ht="15.75" customHeight="1">
      <c r="A138" s="262">
        <v>1255</v>
      </c>
      <c r="B138" s="263" t="s">
        <v>229</v>
      </c>
      <c r="C138" s="280">
        <v>5.2543522000000002E-2</v>
      </c>
      <c r="D138" s="145">
        <v>100</v>
      </c>
      <c r="E138" s="144">
        <v>100</v>
      </c>
      <c r="F138" s="144">
        <f t="shared" si="6"/>
        <v>0</v>
      </c>
      <c r="G138" s="144">
        <f t="shared" si="7"/>
        <v>0</v>
      </c>
      <c r="H138" s="144">
        <f t="shared" si="8"/>
        <v>0</v>
      </c>
      <c r="K138" s="78"/>
      <c r="L138" s="78"/>
      <c r="M138" s="78"/>
      <c r="N138" s="78"/>
      <c r="O138" s="78"/>
    </row>
    <row r="139" spans="1:15" ht="15.75" customHeight="1">
      <c r="A139" s="262">
        <v>127</v>
      </c>
      <c r="B139" s="263" t="s">
        <v>230</v>
      </c>
      <c r="C139" s="280">
        <v>0.37593274199999999</v>
      </c>
      <c r="D139" s="145">
        <v>132.73519999999999</v>
      </c>
      <c r="E139" s="144">
        <v>137.56899999999999</v>
      </c>
      <c r="F139" s="144">
        <f t="shared" si="6"/>
        <v>3.6416866061150355</v>
      </c>
      <c r="G139" s="144">
        <f t="shared" si="7"/>
        <v>1.3901131318979198E-2</v>
      </c>
      <c r="H139" s="144">
        <f t="shared" si="8"/>
        <v>0.50110901207565417</v>
      </c>
      <c r="K139" s="78"/>
      <c r="L139" s="78"/>
      <c r="M139" s="78"/>
      <c r="N139" s="78"/>
      <c r="O139" s="78"/>
    </row>
    <row r="140" spans="1:15" ht="15.75" customHeight="1">
      <c r="A140" s="264">
        <v>1271</v>
      </c>
      <c r="B140" s="265" t="s">
        <v>129</v>
      </c>
      <c r="C140" s="285">
        <v>0.37593274199999999</v>
      </c>
      <c r="D140" s="266">
        <v>132.73519999999999</v>
      </c>
      <c r="E140" s="155">
        <v>137.56899999999999</v>
      </c>
      <c r="F140" s="155">
        <f t="shared" si="6"/>
        <v>3.6416866061150355</v>
      </c>
      <c r="G140" s="155">
        <f t="shared" si="7"/>
        <v>1.3901131318979198E-2</v>
      </c>
      <c r="H140" s="155">
        <f t="shared" si="8"/>
        <v>0.50110901207565417</v>
      </c>
      <c r="K140" s="78"/>
      <c r="L140" s="78"/>
      <c r="M140" s="78"/>
      <c r="N140" s="78"/>
      <c r="O140" s="78"/>
    </row>
    <row r="141" spans="1:15" ht="15.75" customHeight="1">
      <c r="A141" s="220" t="s">
        <v>308</v>
      </c>
      <c r="B141" s="64"/>
      <c r="D141" s="156"/>
      <c r="E141" s="156"/>
      <c r="F141" s="156"/>
      <c r="K141" s="78"/>
      <c r="L141" s="78"/>
      <c r="M141" s="78"/>
      <c r="N141" s="78"/>
      <c r="O141" s="78"/>
    </row>
    <row r="142" spans="1:15">
      <c r="D142" s="156"/>
      <c r="E142" s="156"/>
      <c r="F142" s="156"/>
      <c r="K142" s="78"/>
      <c r="L142" s="78"/>
      <c r="M142" s="78"/>
      <c r="N142" s="78"/>
      <c r="O142" s="78"/>
    </row>
    <row r="143" spans="1:15">
      <c r="D143" s="156"/>
      <c r="E143" s="156"/>
      <c r="F143" s="156"/>
      <c r="K143" s="78"/>
      <c r="L143" s="78"/>
      <c r="M143" s="78"/>
      <c r="N143" s="78"/>
      <c r="O143" s="78"/>
    </row>
    <row r="144" spans="1:15">
      <c r="D144" s="156"/>
      <c r="E144" s="156"/>
      <c r="F144" s="156"/>
      <c r="K144" s="78"/>
      <c r="L144" s="78"/>
      <c r="M144" s="78"/>
      <c r="N144" s="78"/>
      <c r="O144" s="78"/>
    </row>
    <row r="145" spans="11:15">
      <c r="K145" s="78"/>
      <c r="L145" s="78"/>
      <c r="M145" s="78"/>
      <c r="N145" s="78"/>
      <c r="O145" s="78"/>
    </row>
    <row r="146" spans="11:15">
      <c r="K146" s="78"/>
      <c r="L146" s="78"/>
      <c r="M146" s="78"/>
      <c r="N146" s="78"/>
      <c r="O146" s="78"/>
    </row>
    <row r="147" spans="11:15">
      <c r="K147" s="78"/>
      <c r="L147" s="78"/>
      <c r="M147" s="78"/>
      <c r="N147" s="78"/>
      <c r="O147" s="78"/>
    </row>
    <row r="148" spans="11:15">
      <c r="K148" s="78"/>
      <c r="L148" s="78"/>
      <c r="M148" s="78"/>
      <c r="N148" s="78"/>
      <c r="O148" s="78"/>
    </row>
    <row r="149" spans="11:15">
      <c r="K149" s="78"/>
      <c r="L149" s="78"/>
      <c r="M149" s="78"/>
      <c r="N149" s="78"/>
      <c r="O149" s="78"/>
    </row>
    <row r="150" spans="11:15">
      <c r="K150" s="78"/>
      <c r="L150" s="78"/>
      <c r="M150" s="78"/>
      <c r="N150" s="78"/>
      <c r="O150" s="78"/>
    </row>
    <row r="151" spans="11:15">
      <c r="K151" s="78"/>
      <c r="L151" s="78"/>
      <c r="M151" s="78"/>
      <c r="N151" s="78"/>
      <c r="O151" s="78"/>
    </row>
    <row r="152" spans="11:15">
      <c r="K152" s="78"/>
      <c r="L152" s="78"/>
      <c r="M152" s="78"/>
      <c r="N152" s="78"/>
      <c r="O152" s="78"/>
    </row>
    <row r="153" spans="11:15">
      <c r="K153" s="78"/>
      <c r="L153" s="78"/>
      <c r="M153" s="78"/>
      <c r="N153" s="78"/>
      <c r="O153" s="78"/>
    </row>
    <row r="154" spans="11:15">
      <c r="K154" s="78"/>
      <c r="L154" s="78"/>
      <c r="M154" s="78"/>
      <c r="N154" s="78"/>
      <c r="O154" s="78"/>
    </row>
    <row r="155" spans="11:15">
      <c r="K155" s="78"/>
      <c r="L155" s="78"/>
      <c r="M155" s="78"/>
      <c r="N155" s="78"/>
      <c r="O155" s="78"/>
    </row>
    <row r="156" spans="11:15">
      <c r="K156" s="78"/>
      <c r="L156" s="78"/>
      <c r="M156" s="78"/>
      <c r="N156" s="78"/>
      <c r="O156" s="78"/>
    </row>
    <row r="157" spans="11:15">
      <c r="K157" s="78"/>
      <c r="L157" s="78"/>
      <c r="M157" s="78"/>
      <c r="N157" s="78"/>
      <c r="O157" s="78"/>
    </row>
    <row r="158" spans="11:15">
      <c r="K158" s="78"/>
      <c r="L158" s="78"/>
      <c r="M158" s="78"/>
      <c r="N158" s="78"/>
      <c r="O158" s="78"/>
    </row>
    <row r="159" spans="11:15">
      <c r="K159" s="78"/>
      <c r="L159" s="78"/>
      <c r="M159" s="78"/>
      <c r="N159" s="78"/>
      <c r="O159" s="78"/>
    </row>
    <row r="160" spans="11:15">
      <c r="K160" s="78"/>
      <c r="L160" s="78"/>
      <c r="M160" s="78"/>
      <c r="N160" s="78"/>
      <c r="O160" s="78"/>
    </row>
    <row r="161" spans="11:15">
      <c r="K161" s="78"/>
      <c r="L161" s="78"/>
      <c r="M161" s="78"/>
      <c r="N161" s="78"/>
      <c r="O161" s="78"/>
    </row>
    <row r="162" spans="11:15">
      <c r="K162" s="78"/>
      <c r="L162" s="78"/>
      <c r="M162" s="78"/>
      <c r="N162" s="78"/>
      <c r="O162" s="78"/>
    </row>
    <row r="163" spans="11:15">
      <c r="K163" s="78"/>
      <c r="L163" s="78"/>
      <c r="M163" s="78"/>
      <c r="N163" s="78"/>
      <c r="O163" s="78"/>
    </row>
    <row r="164" spans="11:15">
      <c r="K164" s="78"/>
      <c r="L164" s="78"/>
      <c r="M164" s="78"/>
      <c r="N164" s="78"/>
      <c r="O164" s="78"/>
    </row>
    <row r="165" spans="11:15">
      <c r="K165" s="78"/>
      <c r="L165" s="78"/>
      <c r="M165" s="78"/>
      <c r="N165" s="78"/>
      <c r="O165" s="78"/>
    </row>
    <row r="166" spans="11:15">
      <c r="K166" s="78"/>
      <c r="L166" s="78"/>
      <c r="M166" s="78"/>
      <c r="N166" s="78"/>
      <c r="O166" s="78"/>
    </row>
    <row r="167" spans="11:15">
      <c r="K167" s="78"/>
      <c r="L167" s="78"/>
      <c r="M167" s="78"/>
      <c r="N167" s="78"/>
      <c r="O167" s="78"/>
    </row>
    <row r="168" spans="11:15">
      <c r="K168" s="78"/>
      <c r="L168" s="78"/>
      <c r="M168" s="78"/>
      <c r="N168" s="78"/>
      <c r="O168" s="78"/>
    </row>
    <row r="169" spans="11:15">
      <c r="K169" s="78"/>
      <c r="L169" s="78"/>
      <c r="M169" s="78"/>
      <c r="N169" s="78"/>
      <c r="O169" s="78"/>
    </row>
    <row r="170" spans="11:15">
      <c r="K170" s="78"/>
      <c r="L170" s="78"/>
      <c r="M170" s="78"/>
      <c r="N170" s="78"/>
      <c r="O170" s="78"/>
    </row>
    <row r="171" spans="11:15">
      <c r="K171" s="78"/>
      <c r="L171" s="78"/>
      <c r="M171" s="78"/>
      <c r="N171" s="78"/>
      <c r="O171" s="78"/>
    </row>
    <row r="172" spans="11:15">
      <c r="K172" s="78"/>
      <c r="L172" s="78"/>
      <c r="M172" s="78"/>
      <c r="N172" s="78"/>
      <c r="O172" s="78"/>
    </row>
    <row r="173" spans="11:15">
      <c r="K173" s="78"/>
      <c r="L173" s="78"/>
      <c r="M173" s="78"/>
      <c r="N173" s="78"/>
      <c r="O173" s="78"/>
    </row>
    <row r="174" spans="11:15">
      <c r="K174" s="78"/>
      <c r="L174" s="78"/>
      <c r="M174" s="78"/>
      <c r="N174" s="78"/>
      <c r="O174" s="78"/>
    </row>
    <row r="175" spans="11:15">
      <c r="K175" s="78"/>
      <c r="L175" s="78"/>
      <c r="M175" s="78"/>
      <c r="N175" s="78"/>
      <c r="O175" s="78"/>
    </row>
    <row r="176" spans="11:15">
      <c r="K176" s="78"/>
      <c r="L176" s="78"/>
      <c r="M176" s="78"/>
      <c r="N176" s="78"/>
      <c r="O176" s="78"/>
    </row>
    <row r="177" spans="11:15">
      <c r="K177" s="78"/>
      <c r="L177" s="78"/>
      <c r="M177" s="78"/>
      <c r="N177" s="78"/>
      <c r="O177" s="78"/>
    </row>
    <row r="178" spans="11:15">
      <c r="K178" s="78"/>
      <c r="L178" s="78"/>
      <c r="M178" s="78"/>
      <c r="N178" s="78"/>
      <c r="O178" s="78"/>
    </row>
    <row r="179" spans="11:15">
      <c r="K179" s="78"/>
      <c r="L179" s="78"/>
      <c r="M179" s="78"/>
      <c r="N179" s="78"/>
      <c r="O179" s="78"/>
    </row>
    <row r="180" spans="11:15">
      <c r="K180" s="78"/>
      <c r="L180" s="78"/>
      <c r="M180" s="78"/>
      <c r="N180" s="78"/>
      <c r="O180" s="78"/>
    </row>
    <row r="181" spans="11:15">
      <c r="K181" s="78"/>
      <c r="L181" s="78"/>
      <c r="M181" s="78"/>
      <c r="N181" s="78"/>
      <c r="O181" s="78"/>
    </row>
    <row r="182" spans="11:15">
      <c r="K182" s="78"/>
      <c r="L182" s="78"/>
      <c r="M182" s="78"/>
      <c r="N182" s="78"/>
      <c r="O182" s="78"/>
    </row>
    <row r="183" spans="11:15">
      <c r="K183" s="78"/>
      <c r="L183" s="78"/>
      <c r="M183" s="78"/>
      <c r="N183" s="78"/>
      <c r="O183" s="78"/>
    </row>
    <row r="184" spans="11:15">
      <c r="K184" s="78"/>
      <c r="L184" s="78"/>
      <c r="M184" s="78"/>
      <c r="N184" s="78"/>
      <c r="O184" s="78"/>
    </row>
    <row r="185" spans="11:15">
      <c r="K185" s="78"/>
      <c r="L185" s="78"/>
      <c r="M185" s="78"/>
      <c r="N185" s="78"/>
      <c r="O185" s="78"/>
    </row>
    <row r="186" spans="11:15">
      <c r="K186" s="78"/>
      <c r="L186" s="78"/>
      <c r="M186" s="78"/>
      <c r="N186" s="78"/>
      <c r="O186" s="78"/>
    </row>
    <row r="187" spans="11:15">
      <c r="K187" s="78"/>
      <c r="L187" s="78"/>
      <c r="M187" s="78"/>
      <c r="N187" s="78"/>
      <c r="O187" s="78"/>
    </row>
    <row r="188" spans="11:15">
      <c r="K188" s="78"/>
      <c r="L188" s="78"/>
      <c r="M188" s="78"/>
      <c r="N188" s="78"/>
      <c r="O188" s="78"/>
    </row>
    <row r="189" spans="11:15">
      <c r="K189" s="78"/>
      <c r="L189" s="78"/>
      <c r="M189" s="78"/>
      <c r="N189" s="78"/>
      <c r="O189" s="78"/>
    </row>
    <row r="190" spans="11:15">
      <c r="K190" s="78"/>
      <c r="L190" s="78"/>
      <c r="M190" s="78"/>
      <c r="N190" s="78"/>
      <c r="O190" s="78"/>
    </row>
    <row r="191" spans="11:15">
      <c r="K191" s="78"/>
      <c r="L191" s="78"/>
      <c r="M191" s="78"/>
      <c r="N191" s="78"/>
      <c r="O191" s="78"/>
    </row>
    <row r="192" spans="11:15">
      <c r="K192" s="78"/>
      <c r="L192" s="78"/>
      <c r="M192" s="78"/>
      <c r="N192" s="78"/>
      <c r="O192" s="78"/>
    </row>
    <row r="193" spans="11:15">
      <c r="K193" s="78"/>
      <c r="L193" s="78"/>
      <c r="M193" s="78"/>
      <c r="N193" s="78"/>
      <c r="O193" s="78"/>
    </row>
    <row r="194" spans="11:15">
      <c r="K194" s="78"/>
      <c r="L194" s="78"/>
      <c r="M194" s="78"/>
      <c r="N194" s="78"/>
      <c r="O194" s="78"/>
    </row>
    <row r="195" spans="11:15">
      <c r="K195" s="78"/>
      <c r="L195" s="78"/>
      <c r="M195" s="78"/>
      <c r="N195" s="78"/>
      <c r="O195" s="78"/>
    </row>
    <row r="196" spans="11:15">
      <c r="K196" s="78"/>
      <c r="L196" s="78"/>
      <c r="M196" s="78"/>
      <c r="N196" s="78"/>
      <c r="O196" s="78"/>
    </row>
    <row r="197" spans="11:15">
      <c r="K197" s="78"/>
      <c r="L197" s="78"/>
      <c r="M197" s="78"/>
      <c r="N197" s="78"/>
      <c r="O197" s="78"/>
    </row>
    <row r="198" spans="11:15">
      <c r="K198" s="78"/>
      <c r="L198" s="78"/>
      <c r="M198" s="78"/>
      <c r="N198" s="78"/>
      <c r="O198" s="78"/>
    </row>
    <row r="199" spans="11:15">
      <c r="K199" s="78"/>
      <c r="L199" s="78"/>
      <c r="M199" s="78"/>
      <c r="N199" s="78"/>
      <c r="O199" s="78"/>
    </row>
    <row r="200" spans="11:15">
      <c r="K200" s="78"/>
      <c r="L200" s="78"/>
      <c r="M200" s="78"/>
      <c r="N200" s="78"/>
      <c r="O200" s="78"/>
    </row>
    <row r="201" spans="11:15">
      <c r="K201" s="78"/>
      <c r="L201" s="78"/>
      <c r="M201" s="78"/>
      <c r="N201" s="78"/>
      <c r="O201" s="78"/>
    </row>
    <row r="202" spans="11:15">
      <c r="K202" s="78"/>
      <c r="L202" s="78"/>
      <c r="M202" s="78"/>
      <c r="N202" s="78"/>
      <c r="O202" s="78"/>
    </row>
    <row r="203" spans="11:15">
      <c r="K203" s="78"/>
      <c r="L203" s="78"/>
      <c r="M203" s="78"/>
      <c r="N203" s="78"/>
      <c r="O203" s="78"/>
    </row>
    <row r="204" spans="11:15">
      <c r="K204" s="78"/>
      <c r="L204" s="78"/>
      <c r="M204" s="78"/>
      <c r="N204" s="78"/>
      <c r="O204" s="78"/>
    </row>
    <row r="205" spans="11:15">
      <c r="K205" s="78"/>
      <c r="L205" s="78"/>
      <c r="M205" s="78"/>
      <c r="N205" s="78"/>
      <c r="O205" s="78"/>
    </row>
    <row r="206" spans="11:15">
      <c r="K206" s="78"/>
      <c r="L206" s="78"/>
      <c r="M206" s="78"/>
      <c r="N206" s="78"/>
      <c r="O206" s="78"/>
    </row>
    <row r="207" spans="11:15">
      <c r="K207" s="78"/>
      <c r="L207" s="78"/>
      <c r="M207" s="78"/>
      <c r="N207" s="78"/>
      <c r="O207" s="78"/>
    </row>
    <row r="208" spans="11:15">
      <c r="K208" s="78"/>
      <c r="L208" s="78"/>
      <c r="M208" s="78"/>
      <c r="N208" s="78"/>
      <c r="O208" s="78"/>
    </row>
    <row r="209" spans="11:15">
      <c r="K209" s="78"/>
      <c r="L209" s="78"/>
      <c r="M209" s="78"/>
      <c r="N209" s="78"/>
      <c r="O209" s="78"/>
    </row>
    <row r="210" spans="11:15">
      <c r="K210" s="78"/>
      <c r="L210" s="78"/>
      <c r="M210" s="78"/>
      <c r="N210" s="78"/>
      <c r="O210" s="78"/>
    </row>
    <row r="211" spans="11:15">
      <c r="K211" s="78"/>
      <c r="L211" s="78"/>
      <c r="M211" s="78"/>
      <c r="N211" s="78"/>
      <c r="O211" s="78"/>
    </row>
    <row r="212" spans="11:15">
      <c r="K212" s="78"/>
      <c r="L212" s="78"/>
      <c r="M212" s="78"/>
      <c r="N212" s="78"/>
      <c r="O212" s="78"/>
    </row>
    <row r="213" spans="11:15">
      <c r="K213" s="78"/>
      <c r="L213" s="78"/>
      <c r="M213" s="78"/>
      <c r="N213" s="78"/>
      <c r="O213" s="78"/>
    </row>
    <row r="214" spans="11:15">
      <c r="K214" s="78"/>
      <c r="L214" s="78"/>
      <c r="M214" s="78"/>
      <c r="N214" s="78"/>
      <c r="O214" s="78"/>
    </row>
    <row r="215" spans="11:15">
      <c r="K215" s="78"/>
      <c r="L215" s="78"/>
      <c r="M215" s="78"/>
      <c r="N215" s="78"/>
      <c r="O215" s="78"/>
    </row>
    <row r="216" spans="11:15">
      <c r="K216" s="78"/>
      <c r="L216" s="78"/>
      <c r="M216" s="78"/>
      <c r="N216" s="78"/>
      <c r="O216" s="78"/>
    </row>
    <row r="217" spans="11:15">
      <c r="K217" s="78"/>
      <c r="L217" s="78"/>
      <c r="M217" s="78"/>
      <c r="N217" s="78"/>
      <c r="O217" s="78"/>
    </row>
    <row r="218" spans="11:15">
      <c r="K218" s="78"/>
      <c r="L218" s="78"/>
      <c r="M218" s="78"/>
      <c r="N218" s="78"/>
      <c r="O218" s="78"/>
    </row>
    <row r="219" spans="11:15">
      <c r="K219" s="78"/>
      <c r="L219" s="78"/>
      <c r="M219" s="78"/>
      <c r="N219" s="78"/>
      <c r="O219" s="78"/>
    </row>
    <row r="220" spans="11:15">
      <c r="K220" s="78"/>
      <c r="L220" s="78"/>
      <c r="M220" s="78"/>
      <c r="N220" s="78"/>
      <c r="O220" s="78"/>
    </row>
    <row r="221" spans="11:15">
      <c r="K221" s="78"/>
      <c r="L221" s="78"/>
      <c r="M221" s="78"/>
      <c r="N221" s="78"/>
      <c r="O221" s="78"/>
    </row>
    <row r="222" spans="11:15">
      <c r="K222" s="78"/>
      <c r="L222" s="78"/>
      <c r="M222" s="78"/>
      <c r="N222" s="78"/>
      <c r="O222" s="78"/>
    </row>
    <row r="223" spans="11:15">
      <c r="K223" s="78"/>
      <c r="L223" s="78"/>
      <c r="M223" s="78"/>
      <c r="N223" s="78"/>
      <c r="O223" s="78"/>
    </row>
    <row r="224" spans="11:15">
      <c r="K224" s="78"/>
      <c r="L224" s="78"/>
      <c r="M224" s="78"/>
      <c r="N224" s="78"/>
      <c r="O224" s="78"/>
    </row>
    <row r="225" spans="11:15">
      <c r="K225" s="78"/>
      <c r="L225" s="78"/>
      <c r="M225" s="78"/>
      <c r="N225" s="78"/>
      <c r="O225" s="78"/>
    </row>
    <row r="226" spans="11:15">
      <c r="K226" s="78"/>
      <c r="L226" s="78"/>
      <c r="M226" s="78"/>
      <c r="N226" s="78"/>
      <c r="O226" s="78"/>
    </row>
    <row r="227" spans="11:15">
      <c r="K227" s="78"/>
      <c r="L227" s="78"/>
      <c r="M227" s="78"/>
      <c r="N227" s="78"/>
      <c r="O227" s="78"/>
    </row>
    <row r="228" spans="11:15">
      <c r="K228" s="78"/>
      <c r="L228" s="78"/>
      <c r="M228" s="78"/>
      <c r="N228" s="78"/>
      <c r="O228" s="78"/>
    </row>
    <row r="229" spans="11:15">
      <c r="K229" s="78"/>
      <c r="L229" s="78"/>
      <c r="M229" s="78"/>
      <c r="N229" s="78"/>
      <c r="O229" s="78"/>
    </row>
    <row r="230" spans="11:15">
      <c r="K230" s="78"/>
      <c r="L230" s="78"/>
      <c r="M230" s="78"/>
      <c r="N230" s="78"/>
      <c r="O230" s="78"/>
    </row>
    <row r="231" spans="11:15">
      <c r="K231" s="78"/>
      <c r="L231" s="78"/>
      <c r="M231" s="78"/>
      <c r="N231" s="78"/>
      <c r="O231" s="78"/>
    </row>
    <row r="232" spans="11:15">
      <c r="K232" s="78"/>
      <c r="L232" s="78"/>
      <c r="M232" s="78"/>
      <c r="N232" s="78"/>
      <c r="O232" s="78"/>
    </row>
    <row r="233" spans="11:15">
      <c r="K233" s="78"/>
      <c r="L233" s="78"/>
      <c r="M233" s="78"/>
      <c r="N233" s="78"/>
      <c r="O233" s="78"/>
    </row>
    <row r="234" spans="11:15">
      <c r="K234" s="78"/>
      <c r="L234" s="78"/>
      <c r="M234" s="78"/>
      <c r="N234" s="78"/>
      <c r="O234" s="78"/>
    </row>
    <row r="235" spans="11:15">
      <c r="K235" s="78"/>
      <c r="L235" s="78"/>
      <c r="M235" s="78"/>
      <c r="N235" s="78"/>
      <c r="O235" s="78"/>
    </row>
    <row r="236" spans="11:15">
      <c r="K236" s="78"/>
      <c r="L236" s="78"/>
      <c r="M236" s="78"/>
      <c r="N236" s="78"/>
      <c r="O236" s="78"/>
    </row>
    <row r="237" spans="11:15">
      <c r="K237" s="78"/>
      <c r="L237" s="78"/>
      <c r="M237" s="78"/>
      <c r="N237" s="78"/>
      <c r="O237" s="78"/>
    </row>
    <row r="238" spans="11:15">
      <c r="K238" s="78"/>
      <c r="L238" s="78"/>
      <c r="M238" s="78"/>
      <c r="N238" s="78"/>
      <c r="O238" s="78"/>
    </row>
    <row r="239" spans="11:15">
      <c r="K239" s="78"/>
      <c r="L239" s="78"/>
      <c r="M239" s="78"/>
      <c r="N239" s="78"/>
      <c r="O239" s="78"/>
    </row>
    <row r="240" spans="11:15">
      <c r="K240" s="78"/>
      <c r="L240" s="78"/>
      <c r="M240" s="78"/>
      <c r="N240" s="78"/>
      <c r="O240" s="78"/>
    </row>
    <row r="241" spans="11:15">
      <c r="K241" s="78"/>
      <c r="L241" s="78"/>
      <c r="M241" s="78"/>
      <c r="N241" s="78"/>
      <c r="O241" s="78"/>
    </row>
    <row r="242" spans="11:15">
      <c r="K242" s="78"/>
      <c r="L242" s="78"/>
      <c r="M242" s="78"/>
      <c r="N242" s="78"/>
      <c r="O242" s="78"/>
    </row>
    <row r="243" spans="11:15">
      <c r="K243" s="78"/>
      <c r="L243" s="78"/>
      <c r="M243" s="78"/>
      <c r="N243" s="78"/>
      <c r="O243" s="78"/>
    </row>
    <row r="244" spans="11:15">
      <c r="K244" s="78"/>
      <c r="L244" s="78"/>
      <c r="M244" s="78"/>
      <c r="N244" s="78"/>
      <c r="O244" s="78"/>
    </row>
    <row r="245" spans="11:15">
      <c r="K245" s="78"/>
      <c r="L245" s="78"/>
      <c r="M245" s="78"/>
      <c r="N245" s="78"/>
      <c r="O245" s="78"/>
    </row>
    <row r="246" spans="11:15">
      <c r="K246" s="78"/>
      <c r="L246" s="78"/>
      <c r="M246" s="78"/>
      <c r="N246" s="78"/>
      <c r="O246" s="78"/>
    </row>
    <row r="247" spans="11:15">
      <c r="K247" s="78"/>
      <c r="L247" s="78"/>
      <c r="M247" s="78"/>
      <c r="N247" s="78"/>
      <c r="O247" s="78"/>
    </row>
    <row r="248" spans="11:15">
      <c r="K248" s="78"/>
      <c r="L248" s="78"/>
      <c r="M248" s="78"/>
      <c r="N248" s="78"/>
      <c r="O248" s="78"/>
    </row>
    <row r="249" spans="11:15">
      <c r="K249" s="78"/>
      <c r="L249" s="78"/>
      <c r="M249" s="78"/>
      <c r="N249" s="78"/>
      <c r="O249" s="78"/>
    </row>
    <row r="250" spans="11:15">
      <c r="K250" s="78"/>
      <c r="L250" s="78"/>
      <c r="M250" s="78"/>
      <c r="N250" s="78"/>
      <c r="O250" s="78"/>
    </row>
    <row r="251" spans="11:15">
      <c r="K251" s="78"/>
      <c r="L251" s="78"/>
      <c r="M251" s="78"/>
      <c r="N251" s="78"/>
      <c r="O251" s="78"/>
    </row>
    <row r="252" spans="11:15">
      <c r="K252" s="78"/>
      <c r="L252" s="78"/>
      <c r="M252" s="78"/>
      <c r="N252" s="78"/>
      <c r="O252" s="78"/>
    </row>
    <row r="253" spans="11:15">
      <c r="K253" s="78"/>
      <c r="L253" s="78"/>
      <c r="M253" s="78"/>
      <c r="N253" s="78"/>
      <c r="O253" s="78"/>
    </row>
    <row r="254" spans="11:15">
      <c r="K254" s="78"/>
      <c r="L254" s="78"/>
      <c r="M254" s="78"/>
      <c r="N254" s="78"/>
      <c r="O254" s="78"/>
    </row>
    <row r="255" spans="11:15">
      <c r="K255" s="78"/>
      <c r="L255" s="78"/>
      <c r="M255" s="78"/>
      <c r="N255" s="78"/>
      <c r="O255" s="78"/>
    </row>
    <row r="256" spans="11:15">
      <c r="K256" s="78"/>
      <c r="L256" s="78"/>
      <c r="M256" s="78"/>
      <c r="N256" s="78"/>
      <c r="O256" s="78"/>
    </row>
    <row r="257" spans="11:15">
      <c r="K257" s="78"/>
      <c r="L257" s="78"/>
      <c r="M257" s="78"/>
      <c r="N257" s="78"/>
      <c r="O257" s="78"/>
    </row>
    <row r="258" spans="11:15">
      <c r="K258" s="78"/>
      <c r="L258" s="78"/>
      <c r="M258" s="78"/>
      <c r="N258" s="78"/>
      <c r="O258" s="78"/>
    </row>
    <row r="259" spans="11:15">
      <c r="K259" s="78"/>
      <c r="L259" s="78"/>
      <c r="M259" s="78"/>
      <c r="N259" s="78"/>
      <c r="O259" s="78"/>
    </row>
    <row r="260" spans="11:15">
      <c r="K260" s="78"/>
      <c r="L260" s="78"/>
      <c r="M260" s="78"/>
      <c r="N260" s="78"/>
      <c r="O260" s="78"/>
    </row>
    <row r="261" spans="11:15">
      <c r="K261" s="78"/>
      <c r="L261" s="78"/>
      <c r="M261" s="78"/>
      <c r="N261" s="78"/>
      <c r="O261" s="78"/>
    </row>
    <row r="262" spans="11:15">
      <c r="K262" s="78"/>
      <c r="L262" s="78"/>
      <c r="M262" s="78"/>
      <c r="N262" s="78"/>
      <c r="O262" s="78"/>
    </row>
    <row r="263" spans="11:15">
      <c r="K263" s="78"/>
      <c r="L263" s="78"/>
      <c r="M263" s="78"/>
      <c r="N263" s="78"/>
      <c r="O263" s="78"/>
    </row>
    <row r="264" spans="11:15">
      <c r="K264" s="78"/>
      <c r="L264" s="78"/>
      <c r="M264" s="78"/>
      <c r="N264" s="78"/>
      <c r="O264" s="78"/>
    </row>
    <row r="265" spans="11:15">
      <c r="K265" s="78"/>
      <c r="L265" s="78"/>
      <c r="M265" s="78"/>
      <c r="N265" s="78"/>
      <c r="O265" s="78"/>
    </row>
    <row r="266" spans="11:15">
      <c r="K266" s="78"/>
      <c r="L266" s="78"/>
      <c r="M266" s="78"/>
      <c r="N266" s="78"/>
      <c r="O266" s="78"/>
    </row>
    <row r="267" spans="11:15">
      <c r="K267" s="78"/>
      <c r="L267" s="78"/>
      <c r="M267" s="78"/>
      <c r="N267" s="78"/>
      <c r="O267" s="78"/>
    </row>
    <row r="268" spans="11:15">
      <c r="K268" s="78"/>
      <c r="L268" s="78"/>
      <c r="M268" s="78"/>
      <c r="N268" s="78"/>
      <c r="O268" s="78"/>
    </row>
    <row r="269" spans="11:15">
      <c r="K269" s="78"/>
      <c r="L269" s="78"/>
      <c r="M269" s="78"/>
      <c r="N269" s="78"/>
      <c r="O269" s="78"/>
    </row>
    <row r="270" spans="11:15">
      <c r="K270" s="78"/>
      <c r="L270" s="78"/>
      <c r="M270" s="78"/>
      <c r="N270" s="78"/>
      <c r="O270" s="78"/>
    </row>
    <row r="271" spans="11:15">
      <c r="K271" s="78"/>
      <c r="L271" s="78"/>
      <c r="M271" s="78"/>
      <c r="N271" s="78"/>
      <c r="O271" s="78"/>
    </row>
    <row r="272" spans="11:15">
      <c r="K272" s="78"/>
      <c r="L272" s="78"/>
      <c r="M272" s="78"/>
      <c r="N272" s="78"/>
      <c r="O272" s="78"/>
    </row>
    <row r="273" spans="11:15">
      <c r="K273" s="78"/>
      <c r="L273" s="78"/>
      <c r="M273" s="78"/>
      <c r="N273" s="78"/>
      <c r="O273" s="78"/>
    </row>
    <row r="274" spans="11:15">
      <c r="K274" s="78"/>
      <c r="L274" s="78"/>
      <c r="M274" s="78"/>
      <c r="N274" s="78"/>
      <c r="O274" s="78"/>
    </row>
    <row r="275" spans="11:15">
      <c r="K275" s="78"/>
      <c r="L275" s="78"/>
      <c r="M275" s="78"/>
      <c r="N275" s="78"/>
      <c r="O275" s="78"/>
    </row>
    <row r="276" spans="11:15">
      <c r="K276" s="78"/>
      <c r="L276" s="78"/>
      <c r="M276" s="78"/>
      <c r="N276" s="78"/>
      <c r="O276" s="78"/>
    </row>
    <row r="277" spans="11:15">
      <c r="K277" s="78"/>
      <c r="L277" s="78"/>
      <c r="M277" s="78"/>
      <c r="N277" s="78"/>
      <c r="O277" s="78"/>
    </row>
    <row r="278" spans="11:15">
      <c r="K278" s="78"/>
      <c r="L278" s="78"/>
      <c r="M278" s="78"/>
      <c r="N278" s="78"/>
      <c r="O278" s="78"/>
    </row>
    <row r="279" spans="11:15">
      <c r="K279" s="78"/>
      <c r="L279" s="78"/>
      <c r="M279" s="78"/>
      <c r="N279" s="78"/>
      <c r="O279" s="78"/>
    </row>
    <row r="280" spans="11:15">
      <c r="K280" s="78"/>
      <c r="L280" s="78"/>
      <c r="M280" s="78"/>
      <c r="N280" s="78"/>
      <c r="O280" s="78"/>
    </row>
    <row r="281" spans="11:15">
      <c r="K281" s="78"/>
      <c r="L281" s="78"/>
      <c r="M281" s="78"/>
      <c r="N281" s="78"/>
      <c r="O281" s="78"/>
    </row>
    <row r="282" spans="11:15">
      <c r="K282" s="78"/>
      <c r="L282" s="78"/>
      <c r="M282" s="78"/>
      <c r="N282" s="78"/>
      <c r="O282" s="78"/>
    </row>
    <row r="283" spans="11:15">
      <c r="K283" s="78"/>
      <c r="L283" s="78"/>
      <c r="M283" s="78"/>
      <c r="N283" s="78"/>
      <c r="O283" s="78"/>
    </row>
    <row r="284" spans="11:15">
      <c r="K284" s="78"/>
      <c r="L284" s="78"/>
      <c r="M284" s="78"/>
      <c r="N284" s="78"/>
      <c r="O284" s="78"/>
    </row>
    <row r="285" spans="11:15">
      <c r="K285" s="78"/>
      <c r="L285" s="78"/>
      <c r="M285" s="78"/>
      <c r="N285" s="78"/>
      <c r="O285" s="78"/>
    </row>
    <row r="286" spans="11:15">
      <c r="K286" s="78"/>
      <c r="L286" s="78"/>
      <c r="M286" s="78"/>
      <c r="N286" s="78"/>
      <c r="O286" s="78"/>
    </row>
    <row r="287" spans="11:15">
      <c r="K287" s="78"/>
      <c r="L287" s="78"/>
      <c r="M287" s="78"/>
      <c r="N287" s="78"/>
      <c r="O287" s="78"/>
    </row>
    <row r="288" spans="11:15">
      <c r="K288" s="78"/>
      <c r="L288" s="78"/>
      <c r="M288" s="78"/>
      <c r="N288" s="78"/>
      <c r="O288" s="78"/>
    </row>
    <row r="289" spans="11:15">
      <c r="K289" s="78"/>
      <c r="L289" s="78"/>
      <c r="M289" s="78"/>
      <c r="N289" s="78"/>
      <c r="O289" s="78"/>
    </row>
    <row r="290" spans="11:15">
      <c r="K290" s="78"/>
      <c r="L290" s="78"/>
      <c r="M290" s="78"/>
      <c r="N290" s="78"/>
      <c r="O290" s="78"/>
    </row>
    <row r="291" spans="11:15">
      <c r="K291" s="78"/>
      <c r="L291" s="78"/>
      <c r="M291" s="78"/>
      <c r="N291" s="78"/>
      <c r="O291" s="78"/>
    </row>
    <row r="292" spans="11:15">
      <c r="K292" s="78"/>
      <c r="L292" s="78"/>
      <c r="M292" s="78"/>
      <c r="N292" s="78"/>
      <c r="O292" s="78"/>
    </row>
    <row r="293" spans="11:15">
      <c r="K293" s="78"/>
      <c r="L293" s="78"/>
      <c r="M293" s="78"/>
      <c r="N293" s="78"/>
      <c r="O293" s="78"/>
    </row>
    <row r="294" spans="11:15">
      <c r="K294" s="78"/>
      <c r="L294" s="78"/>
      <c r="M294" s="78"/>
      <c r="N294" s="78"/>
      <c r="O294" s="78"/>
    </row>
    <row r="295" spans="11:15">
      <c r="K295" s="78"/>
      <c r="L295" s="78"/>
      <c r="M295" s="78"/>
      <c r="N295" s="78"/>
      <c r="O295" s="78"/>
    </row>
    <row r="296" spans="11:15">
      <c r="K296" s="78"/>
      <c r="L296" s="78"/>
      <c r="M296" s="78"/>
      <c r="N296" s="78"/>
      <c r="O296" s="78"/>
    </row>
    <row r="297" spans="11:15">
      <c r="K297" s="78"/>
      <c r="L297" s="78"/>
      <c r="M297" s="78"/>
      <c r="N297" s="78"/>
      <c r="O297" s="78"/>
    </row>
    <row r="298" spans="11:15">
      <c r="K298" s="78"/>
      <c r="L298" s="78"/>
      <c r="M298" s="78"/>
      <c r="N298" s="78"/>
      <c r="O298" s="78"/>
    </row>
    <row r="299" spans="11:15">
      <c r="K299" s="78"/>
      <c r="L299" s="78"/>
      <c r="M299" s="78"/>
      <c r="N299" s="78"/>
      <c r="O299" s="78"/>
    </row>
    <row r="300" spans="11:15">
      <c r="K300" s="78"/>
      <c r="L300" s="78"/>
      <c r="M300" s="78"/>
      <c r="N300" s="78"/>
      <c r="O300" s="78"/>
    </row>
    <row r="301" spans="11:15">
      <c r="K301" s="78"/>
      <c r="L301" s="78"/>
      <c r="M301" s="78"/>
      <c r="N301" s="78"/>
      <c r="O301" s="78"/>
    </row>
    <row r="302" spans="11:15">
      <c r="K302" s="78"/>
      <c r="L302" s="78"/>
      <c r="M302" s="78"/>
      <c r="N302" s="78"/>
      <c r="O302" s="78"/>
    </row>
    <row r="303" spans="11:15">
      <c r="K303" s="78"/>
      <c r="L303" s="78"/>
      <c r="M303" s="78"/>
      <c r="N303" s="78"/>
      <c r="O303" s="78"/>
    </row>
    <row r="304" spans="11:15">
      <c r="K304" s="78"/>
      <c r="L304" s="78"/>
      <c r="M304" s="78"/>
      <c r="N304" s="78"/>
      <c r="O304" s="78"/>
    </row>
    <row r="305" spans="11:15">
      <c r="K305" s="78"/>
      <c r="L305" s="78"/>
      <c r="M305" s="78"/>
      <c r="N305" s="78"/>
      <c r="O305" s="78"/>
    </row>
    <row r="306" spans="11:15">
      <c r="K306" s="78"/>
      <c r="L306" s="78"/>
      <c r="M306" s="78"/>
      <c r="N306" s="78"/>
      <c r="O306" s="78"/>
    </row>
    <row r="307" spans="11:15">
      <c r="K307" s="78"/>
      <c r="L307" s="78"/>
      <c r="M307" s="78"/>
      <c r="N307" s="78"/>
      <c r="O307" s="78"/>
    </row>
    <row r="308" spans="11:15">
      <c r="K308" s="78"/>
      <c r="L308" s="78"/>
      <c r="M308" s="78"/>
      <c r="N308" s="78"/>
      <c r="O308" s="78"/>
    </row>
    <row r="309" spans="11:15">
      <c r="K309" s="78"/>
      <c r="L309" s="78"/>
      <c r="M309" s="78"/>
      <c r="N309" s="78"/>
      <c r="O309" s="78"/>
    </row>
    <row r="310" spans="11:15">
      <c r="K310" s="78"/>
      <c r="L310" s="78"/>
      <c r="M310" s="78"/>
      <c r="N310" s="78"/>
      <c r="O310" s="78"/>
    </row>
    <row r="311" spans="11:15">
      <c r="K311" s="78"/>
      <c r="L311" s="78"/>
      <c r="M311" s="78"/>
      <c r="N311" s="78"/>
      <c r="O311" s="78"/>
    </row>
    <row r="312" spans="11:15">
      <c r="K312" s="78"/>
      <c r="L312" s="78"/>
      <c r="M312" s="78"/>
      <c r="N312" s="78"/>
      <c r="O312" s="78"/>
    </row>
    <row r="313" spans="11:15">
      <c r="K313" s="78"/>
      <c r="L313" s="78"/>
      <c r="M313" s="78"/>
      <c r="N313" s="78"/>
      <c r="O313" s="78"/>
    </row>
    <row r="314" spans="11:15">
      <c r="K314" s="78"/>
      <c r="L314" s="78"/>
      <c r="M314" s="78"/>
      <c r="N314" s="78"/>
      <c r="O314" s="78"/>
    </row>
    <row r="315" spans="11:15">
      <c r="K315" s="78"/>
      <c r="L315" s="78"/>
      <c r="M315" s="78"/>
      <c r="N315" s="78"/>
      <c r="O315" s="78"/>
    </row>
    <row r="316" spans="11:15">
      <c r="K316" s="78"/>
      <c r="L316" s="78"/>
      <c r="M316" s="78"/>
      <c r="N316" s="78"/>
      <c r="O316" s="78"/>
    </row>
    <row r="317" spans="11:15">
      <c r="K317" s="78"/>
      <c r="L317" s="78"/>
      <c r="M317" s="78"/>
      <c r="N317" s="78"/>
      <c r="O317" s="78"/>
    </row>
    <row r="318" spans="11:15">
      <c r="K318" s="78"/>
      <c r="L318" s="78"/>
      <c r="M318" s="78"/>
      <c r="N318" s="78"/>
      <c r="O318" s="78"/>
    </row>
    <row r="319" spans="11:15">
      <c r="K319" s="78"/>
      <c r="L319" s="78"/>
      <c r="M319" s="78"/>
      <c r="N319" s="78"/>
      <c r="O319" s="78"/>
    </row>
    <row r="320" spans="11:15">
      <c r="K320" s="78"/>
      <c r="L320" s="78"/>
      <c r="M320" s="78"/>
      <c r="N320" s="78"/>
      <c r="O320" s="78"/>
    </row>
    <row r="321" spans="11:15">
      <c r="K321" s="78"/>
      <c r="L321" s="78"/>
      <c r="M321" s="78"/>
      <c r="N321" s="78"/>
      <c r="O321" s="78"/>
    </row>
    <row r="322" spans="11:15">
      <c r="K322" s="78"/>
      <c r="L322" s="78"/>
      <c r="M322" s="78"/>
      <c r="N322" s="78"/>
      <c r="O322" s="78"/>
    </row>
    <row r="323" spans="11:15">
      <c r="K323" s="78"/>
      <c r="L323" s="78"/>
      <c r="M323" s="78"/>
      <c r="N323" s="78"/>
      <c r="O323" s="78"/>
    </row>
    <row r="324" spans="11:15">
      <c r="K324" s="78"/>
      <c r="L324" s="78"/>
      <c r="M324" s="78"/>
      <c r="N324" s="78"/>
      <c r="O324" s="78"/>
    </row>
    <row r="325" spans="11:15">
      <c r="K325" s="78"/>
      <c r="L325" s="78"/>
      <c r="M325" s="78"/>
      <c r="N325" s="78"/>
      <c r="O325" s="78"/>
    </row>
    <row r="326" spans="11:15">
      <c r="K326" s="78"/>
      <c r="L326" s="78"/>
      <c r="M326" s="78"/>
      <c r="N326" s="78"/>
      <c r="O326" s="78"/>
    </row>
    <row r="327" spans="11:15">
      <c r="K327" s="78"/>
      <c r="L327" s="78"/>
      <c r="M327" s="78"/>
      <c r="N327" s="78"/>
      <c r="O327" s="78"/>
    </row>
    <row r="328" spans="11:15">
      <c r="K328" s="78"/>
      <c r="L328" s="78"/>
      <c r="M328" s="78"/>
      <c r="N328" s="78"/>
      <c r="O328" s="78"/>
    </row>
    <row r="329" spans="11:15">
      <c r="K329" s="78"/>
      <c r="L329" s="78"/>
      <c r="M329" s="78"/>
      <c r="N329" s="78"/>
      <c r="O329" s="78"/>
    </row>
    <row r="330" spans="11:15">
      <c r="K330" s="78"/>
      <c r="L330" s="78"/>
      <c r="M330" s="78"/>
      <c r="N330" s="78"/>
      <c r="O330" s="78"/>
    </row>
    <row r="331" spans="11:15">
      <c r="K331" s="78"/>
      <c r="L331" s="78"/>
      <c r="M331" s="78"/>
      <c r="N331" s="78"/>
      <c r="O331" s="78"/>
    </row>
    <row r="332" spans="11:15">
      <c r="K332" s="78"/>
      <c r="L332" s="78"/>
      <c r="M332" s="78"/>
      <c r="N332" s="78"/>
      <c r="O332" s="78"/>
    </row>
    <row r="333" spans="11:15">
      <c r="K333" s="78"/>
      <c r="L333" s="78"/>
      <c r="M333" s="78"/>
      <c r="N333" s="78"/>
      <c r="O333" s="78"/>
    </row>
    <row r="334" spans="11:15">
      <c r="K334" s="78"/>
      <c r="L334" s="78"/>
      <c r="M334" s="78"/>
      <c r="N334" s="78"/>
      <c r="O334" s="78"/>
    </row>
    <row r="335" spans="11:15">
      <c r="K335" s="78"/>
      <c r="L335" s="78"/>
      <c r="M335" s="78"/>
      <c r="N335" s="78"/>
      <c r="O335" s="78"/>
    </row>
    <row r="336" spans="11:15">
      <c r="K336" s="78"/>
      <c r="L336" s="78"/>
      <c r="M336" s="78"/>
      <c r="N336" s="78"/>
      <c r="O336" s="78"/>
    </row>
    <row r="337" spans="11:15">
      <c r="K337" s="78"/>
      <c r="L337" s="78"/>
      <c r="M337" s="78"/>
      <c r="N337" s="78"/>
      <c r="O337" s="78"/>
    </row>
    <row r="338" spans="11:15">
      <c r="K338" s="78"/>
      <c r="L338" s="78"/>
      <c r="M338" s="78"/>
      <c r="N338" s="78"/>
      <c r="O338" s="78"/>
    </row>
    <row r="339" spans="11:15">
      <c r="K339" s="78"/>
      <c r="L339" s="78"/>
      <c r="M339" s="78"/>
      <c r="N339" s="78"/>
      <c r="O339" s="78"/>
    </row>
    <row r="340" spans="11:15">
      <c r="K340" s="78"/>
      <c r="L340" s="78"/>
      <c r="M340" s="78"/>
      <c r="N340" s="78"/>
      <c r="O340" s="78"/>
    </row>
    <row r="341" spans="11:15">
      <c r="K341" s="78"/>
      <c r="L341" s="78"/>
      <c r="M341" s="78"/>
      <c r="N341" s="78"/>
      <c r="O341" s="78"/>
    </row>
    <row r="342" spans="11:15">
      <c r="K342" s="78"/>
      <c r="L342" s="78"/>
      <c r="M342" s="78"/>
      <c r="N342" s="78"/>
      <c r="O342" s="78"/>
    </row>
    <row r="343" spans="11:15">
      <c r="K343" s="78"/>
      <c r="L343" s="78"/>
      <c r="M343" s="78"/>
      <c r="N343" s="78"/>
      <c r="O343" s="78"/>
    </row>
    <row r="344" spans="11:15">
      <c r="K344" s="78"/>
      <c r="L344" s="78"/>
      <c r="M344" s="78"/>
      <c r="N344" s="78"/>
      <c r="O344" s="78"/>
    </row>
    <row r="345" spans="11:15">
      <c r="K345" s="78"/>
      <c r="L345" s="78"/>
      <c r="M345" s="78"/>
      <c r="N345" s="78"/>
      <c r="O345" s="78"/>
    </row>
    <row r="346" spans="11:15">
      <c r="K346" s="78"/>
      <c r="L346" s="78"/>
      <c r="M346" s="78"/>
      <c r="N346" s="78"/>
      <c r="O346" s="78"/>
    </row>
    <row r="347" spans="11:15">
      <c r="K347" s="78"/>
      <c r="L347" s="78"/>
      <c r="M347" s="78"/>
      <c r="N347" s="78"/>
      <c r="O347" s="78"/>
    </row>
    <row r="348" spans="11:15">
      <c r="K348" s="78"/>
      <c r="L348" s="78"/>
      <c r="M348" s="78"/>
      <c r="N348" s="78"/>
      <c r="O348" s="78"/>
    </row>
    <row r="349" spans="11:15">
      <c r="K349" s="78"/>
      <c r="L349" s="78"/>
      <c r="M349" s="78"/>
      <c r="N349" s="78"/>
      <c r="O349" s="78"/>
    </row>
    <row r="350" spans="11:15">
      <c r="K350" s="78"/>
      <c r="L350" s="78"/>
      <c r="M350" s="78"/>
      <c r="N350" s="78"/>
      <c r="O350" s="78"/>
    </row>
    <row r="351" spans="11:15">
      <c r="K351" s="78"/>
      <c r="L351" s="78"/>
      <c r="M351" s="78"/>
      <c r="N351" s="78"/>
      <c r="O351" s="78"/>
    </row>
    <row r="352" spans="11:15">
      <c r="K352" s="78"/>
      <c r="L352" s="78"/>
      <c r="M352" s="78"/>
      <c r="N352" s="78"/>
      <c r="O352" s="78"/>
    </row>
    <row r="353" spans="11:15">
      <c r="K353" s="78"/>
      <c r="L353" s="78"/>
      <c r="M353" s="78"/>
      <c r="N353" s="78"/>
      <c r="O353" s="78"/>
    </row>
    <row r="354" spans="11:15">
      <c r="K354" s="78"/>
      <c r="L354" s="78"/>
      <c r="M354" s="78"/>
      <c r="N354" s="78"/>
      <c r="O354" s="78"/>
    </row>
    <row r="355" spans="11:15">
      <c r="K355" s="78"/>
      <c r="L355" s="78"/>
      <c r="M355" s="78"/>
      <c r="N355" s="78"/>
      <c r="O355" s="78"/>
    </row>
    <row r="356" spans="11:15">
      <c r="K356" s="78"/>
      <c r="L356" s="78"/>
      <c r="M356" s="78"/>
      <c r="N356" s="78"/>
      <c r="O356" s="78"/>
    </row>
    <row r="357" spans="11:15">
      <c r="K357" s="78"/>
      <c r="L357" s="78"/>
      <c r="M357" s="78"/>
      <c r="N357" s="78"/>
      <c r="O357" s="78"/>
    </row>
    <row r="358" spans="11:15">
      <c r="K358" s="78"/>
      <c r="L358" s="78"/>
      <c r="M358" s="78"/>
      <c r="N358" s="78"/>
      <c r="O358" s="78"/>
    </row>
    <row r="359" spans="11:15">
      <c r="K359" s="78"/>
      <c r="L359" s="78"/>
      <c r="M359" s="78"/>
      <c r="N359" s="78"/>
      <c r="O359" s="78"/>
    </row>
    <row r="360" spans="11:15">
      <c r="K360" s="78"/>
      <c r="L360" s="78"/>
      <c r="M360" s="78"/>
      <c r="N360" s="78"/>
      <c r="O360" s="78"/>
    </row>
    <row r="361" spans="11:15">
      <c r="K361" s="78"/>
      <c r="L361" s="78"/>
      <c r="M361" s="78"/>
      <c r="N361" s="78"/>
      <c r="O361" s="78"/>
    </row>
    <row r="362" spans="11:15">
      <c r="K362" s="78"/>
      <c r="L362" s="78"/>
      <c r="M362" s="78"/>
      <c r="N362" s="78"/>
      <c r="O362" s="78"/>
    </row>
    <row r="363" spans="11:15">
      <c r="K363" s="78"/>
      <c r="L363" s="78"/>
      <c r="M363" s="78"/>
      <c r="N363" s="78"/>
      <c r="O363" s="78"/>
    </row>
    <row r="364" spans="11:15">
      <c r="K364" s="78"/>
      <c r="L364" s="78"/>
      <c r="M364" s="78"/>
      <c r="N364" s="78"/>
      <c r="O364" s="78"/>
    </row>
    <row r="365" spans="11:15">
      <c r="K365" s="78"/>
      <c r="L365" s="78"/>
      <c r="M365" s="78"/>
      <c r="N365" s="78"/>
      <c r="O365" s="78"/>
    </row>
    <row r="366" spans="11:15">
      <c r="K366" s="78"/>
      <c r="L366" s="78"/>
      <c r="M366" s="78"/>
      <c r="N366" s="78"/>
      <c r="O366" s="78"/>
    </row>
    <row r="367" spans="11:15">
      <c r="K367" s="78"/>
      <c r="L367" s="78"/>
      <c r="M367" s="78"/>
      <c r="N367" s="78"/>
      <c r="O367" s="78"/>
    </row>
    <row r="368" spans="11:15">
      <c r="K368" s="78"/>
      <c r="L368" s="78"/>
      <c r="M368" s="78"/>
      <c r="N368" s="78"/>
      <c r="O368" s="78"/>
    </row>
    <row r="369" spans="11:15">
      <c r="K369" s="78"/>
      <c r="L369" s="78"/>
      <c r="M369" s="78"/>
      <c r="N369" s="78"/>
      <c r="O369" s="78"/>
    </row>
    <row r="370" spans="11:15">
      <c r="K370" s="78"/>
      <c r="L370" s="78"/>
      <c r="M370" s="78"/>
      <c r="N370" s="78"/>
      <c r="O370" s="78"/>
    </row>
    <row r="371" spans="11:15">
      <c r="K371" s="78"/>
      <c r="L371" s="78"/>
      <c r="M371" s="78"/>
      <c r="N371" s="78"/>
      <c r="O371" s="78"/>
    </row>
    <row r="372" spans="11:15">
      <c r="K372" s="78"/>
      <c r="L372" s="78"/>
      <c r="M372" s="78"/>
      <c r="N372" s="78"/>
      <c r="O372" s="78"/>
    </row>
    <row r="373" spans="11:15">
      <c r="K373" s="78"/>
      <c r="L373" s="78"/>
      <c r="M373" s="78"/>
      <c r="N373" s="78"/>
      <c r="O373" s="78"/>
    </row>
    <row r="374" spans="11:15">
      <c r="K374" s="78"/>
      <c r="L374" s="78"/>
      <c r="M374" s="78"/>
      <c r="N374" s="78"/>
      <c r="O374" s="78"/>
    </row>
    <row r="375" spans="11:15">
      <c r="K375" s="78"/>
      <c r="L375" s="78"/>
      <c r="M375" s="78"/>
      <c r="N375" s="78"/>
      <c r="O375" s="78"/>
    </row>
    <row r="376" spans="11:15">
      <c r="K376" s="78"/>
      <c r="L376" s="78"/>
      <c r="M376" s="78"/>
      <c r="N376" s="78"/>
      <c r="O376" s="78"/>
    </row>
    <row r="377" spans="11:15">
      <c r="K377" s="78"/>
      <c r="L377" s="78"/>
      <c r="M377" s="78"/>
      <c r="N377" s="78"/>
      <c r="O377" s="78"/>
    </row>
    <row r="378" spans="11:15">
      <c r="K378" s="78"/>
      <c r="L378" s="78"/>
      <c r="M378" s="78"/>
      <c r="N378" s="78"/>
      <c r="O378" s="78"/>
    </row>
    <row r="379" spans="11:15">
      <c r="K379" s="78"/>
      <c r="L379" s="78"/>
      <c r="M379" s="78"/>
      <c r="N379" s="78"/>
      <c r="O379" s="78"/>
    </row>
    <row r="380" spans="11:15">
      <c r="K380" s="78"/>
      <c r="L380" s="78"/>
      <c r="M380" s="78"/>
      <c r="N380" s="78"/>
      <c r="O380" s="78"/>
    </row>
    <row r="381" spans="11:15">
      <c r="K381" s="78"/>
      <c r="L381" s="78"/>
      <c r="M381" s="78"/>
      <c r="N381" s="78"/>
      <c r="O381" s="78"/>
    </row>
    <row r="382" spans="11:15">
      <c r="K382" s="78"/>
      <c r="L382" s="78"/>
      <c r="M382" s="78"/>
      <c r="N382" s="78"/>
      <c r="O382" s="78"/>
    </row>
    <row r="383" spans="11:15">
      <c r="K383" s="78"/>
      <c r="L383" s="78"/>
      <c r="M383" s="78"/>
      <c r="N383" s="78"/>
      <c r="O383" s="78"/>
    </row>
    <row r="384" spans="11:15">
      <c r="K384" s="78"/>
      <c r="L384" s="78"/>
      <c r="M384" s="78"/>
      <c r="N384" s="78"/>
      <c r="O384" s="78"/>
    </row>
    <row r="385" spans="11:15">
      <c r="K385" s="78"/>
      <c r="L385" s="78"/>
      <c r="M385" s="78"/>
      <c r="N385" s="78"/>
      <c r="O385" s="78"/>
    </row>
    <row r="386" spans="11:15">
      <c r="K386" s="78"/>
      <c r="L386" s="78"/>
      <c r="M386" s="78"/>
      <c r="N386" s="78"/>
      <c r="O386" s="78"/>
    </row>
    <row r="387" spans="11:15">
      <c r="K387" s="78"/>
      <c r="L387" s="78"/>
      <c r="M387" s="78"/>
      <c r="N387" s="78"/>
      <c r="O387" s="78"/>
    </row>
    <row r="388" spans="11:15">
      <c r="K388" s="78"/>
      <c r="L388" s="78"/>
      <c r="M388" s="78"/>
      <c r="N388" s="78"/>
      <c r="O388" s="78"/>
    </row>
    <row r="389" spans="11:15">
      <c r="K389" s="78"/>
      <c r="L389" s="78"/>
      <c r="M389" s="78"/>
      <c r="N389" s="78"/>
      <c r="O389" s="78"/>
    </row>
    <row r="390" spans="11:15">
      <c r="K390" s="78"/>
      <c r="L390" s="78"/>
      <c r="M390" s="78"/>
      <c r="N390" s="78"/>
      <c r="O390" s="78"/>
    </row>
    <row r="391" spans="11:15">
      <c r="K391" s="78"/>
      <c r="L391" s="78"/>
      <c r="M391" s="78"/>
      <c r="N391" s="78"/>
      <c r="O391" s="78"/>
    </row>
    <row r="392" spans="11:15">
      <c r="K392" s="78"/>
      <c r="L392" s="78"/>
      <c r="M392" s="78"/>
      <c r="N392" s="78"/>
      <c r="O392" s="78"/>
    </row>
    <row r="393" spans="11:15">
      <c r="K393" s="78"/>
      <c r="L393" s="78"/>
      <c r="M393" s="78"/>
      <c r="N393" s="78"/>
      <c r="O393" s="78"/>
    </row>
    <row r="394" spans="11:15">
      <c r="K394" s="78"/>
      <c r="L394" s="78"/>
      <c r="M394" s="78"/>
      <c r="N394" s="78"/>
      <c r="O394" s="78"/>
    </row>
    <row r="395" spans="11:15">
      <c r="K395" s="78"/>
      <c r="L395" s="78"/>
      <c r="M395" s="78"/>
      <c r="N395" s="78"/>
      <c r="O395" s="78"/>
    </row>
    <row r="396" spans="11:15">
      <c r="K396" s="78"/>
      <c r="L396" s="78"/>
      <c r="M396" s="78"/>
      <c r="N396" s="78"/>
      <c r="O396" s="78"/>
    </row>
    <row r="397" spans="11:15">
      <c r="K397" s="78"/>
      <c r="L397" s="78"/>
      <c r="M397" s="78"/>
      <c r="N397" s="78"/>
      <c r="O397" s="78"/>
    </row>
    <row r="398" spans="11:15">
      <c r="K398" s="78"/>
      <c r="L398" s="78"/>
      <c r="M398" s="78"/>
      <c r="N398" s="78"/>
      <c r="O398" s="78"/>
    </row>
    <row r="399" spans="11:15">
      <c r="K399" s="78"/>
      <c r="L399" s="78"/>
      <c r="M399" s="78"/>
      <c r="N399" s="78"/>
      <c r="O399" s="78"/>
    </row>
    <row r="400" spans="11:15">
      <c r="K400" s="78"/>
      <c r="L400" s="78"/>
      <c r="M400" s="78"/>
      <c r="N400" s="78"/>
      <c r="O400" s="78"/>
    </row>
    <row r="401" spans="11:15">
      <c r="K401" s="78"/>
      <c r="L401" s="78"/>
      <c r="M401" s="78"/>
      <c r="N401" s="78"/>
      <c r="O401" s="78"/>
    </row>
    <row r="402" spans="11:15">
      <c r="K402" s="78"/>
      <c r="L402" s="78"/>
      <c r="M402" s="78"/>
      <c r="N402" s="78"/>
      <c r="O402" s="78"/>
    </row>
    <row r="403" spans="11:15">
      <c r="K403" s="78"/>
      <c r="L403" s="78"/>
      <c r="M403" s="78"/>
      <c r="N403" s="78"/>
      <c r="O403" s="78"/>
    </row>
    <row r="404" spans="11:15">
      <c r="K404" s="78"/>
      <c r="L404" s="78"/>
      <c r="M404" s="78"/>
      <c r="N404" s="78"/>
      <c r="O404" s="78"/>
    </row>
    <row r="405" spans="11:15">
      <c r="K405" s="78"/>
      <c r="L405" s="78"/>
      <c r="M405" s="78"/>
      <c r="N405" s="78"/>
      <c r="O405" s="78"/>
    </row>
    <row r="406" spans="11:15">
      <c r="K406" s="78"/>
      <c r="L406" s="78"/>
      <c r="M406" s="78"/>
      <c r="N406" s="78"/>
      <c r="O406" s="78"/>
    </row>
    <row r="407" spans="11:15">
      <c r="K407" s="78"/>
      <c r="L407" s="78"/>
      <c r="M407" s="78"/>
      <c r="N407" s="78"/>
      <c r="O407" s="78"/>
    </row>
    <row r="408" spans="11:15">
      <c r="K408" s="78"/>
      <c r="L408" s="78"/>
      <c r="M408" s="78"/>
      <c r="N408" s="78"/>
      <c r="O408" s="78"/>
    </row>
    <row r="409" spans="11:15">
      <c r="K409" s="78"/>
      <c r="L409" s="78"/>
      <c r="M409" s="78"/>
      <c r="N409" s="78"/>
      <c r="O409" s="78"/>
    </row>
    <row r="410" spans="11:15">
      <c r="K410" s="78"/>
      <c r="L410" s="78"/>
      <c r="M410" s="78"/>
      <c r="N410" s="78"/>
      <c r="O410" s="78"/>
    </row>
    <row r="411" spans="11:15">
      <c r="K411" s="78"/>
      <c r="L411" s="78"/>
      <c r="M411" s="78"/>
      <c r="N411" s="78"/>
      <c r="O411" s="78"/>
    </row>
    <row r="412" spans="11:15">
      <c r="K412" s="78"/>
      <c r="L412" s="78"/>
      <c r="M412" s="78"/>
      <c r="N412" s="78"/>
      <c r="O412" s="78"/>
    </row>
    <row r="413" spans="11:15">
      <c r="K413" s="78"/>
      <c r="L413" s="78"/>
      <c r="M413" s="78"/>
      <c r="N413" s="78"/>
      <c r="O413" s="78"/>
    </row>
    <row r="414" spans="11:15">
      <c r="K414" s="78"/>
      <c r="L414" s="78"/>
      <c r="M414" s="78"/>
      <c r="N414" s="78"/>
      <c r="O414" s="78"/>
    </row>
    <row r="415" spans="11:15">
      <c r="K415" s="78"/>
      <c r="L415" s="78"/>
      <c r="M415" s="78"/>
      <c r="N415" s="78"/>
      <c r="O415" s="78"/>
    </row>
    <row r="416" spans="11:15">
      <c r="K416" s="78"/>
      <c r="L416" s="78"/>
      <c r="M416" s="78"/>
      <c r="N416" s="78"/>
      <c r="O416" s="78"/>
    </row>
    <row r="417" spans="11:15">
      <c r="K417" s="78"/>
      <c r="L417" s="78"/>
      <c r="M417" s="78"/>
      <c r="N417" s="78"/>
      <c r="O417" s="78"/>
    </row>
    <row r="418" spans="11:15">
      <c r="K418" s="78"/>
      <c r="L418" s="78"/>
      <c r="M418" s="78"/>
      <c r="N418" s="78"/>
      <c r="O418" s="78"/>
    </row>
    <row r="419" spans="11:15">
      <c r="K419" s="78"/>
      <c r="L419" s="78"/>
      <c r="M419" s="78"/>
      <c r="N419" s="78"/>
      <c r="O419" s="78"/>
    </row>
    <row r="420" spans="11:15">
      <c r="K420" s="78"/>
      <c r="L420" s="78"/>
      <c r="M420" s="78"/>
      <c r="N420" s="78"/>
      <c r="O420" s="78"/>
    </row>
    <row r="421" spans="11:15">
      <c r="K421" s="78"/>
      <c r="L421" s="78"/>
      <c r="M421" s="78"/>
      <c r="N421" s="78"/>
      <c r="O421" s="78"/>
    </row>
    <row r="422" spans="11:15">
      <c r="K422" s="78"/>
      <c r="L422" s="78"/>
      <c r="M422" s="78"/>
      <c r="N422" s="78"/>
      <c r="O422" s="78"/>
    </row>
    <row r="423" spans="11:15">
      <c r="K423" s="78"/>
      <c r="L423" s="78"/>
      <c r="M423" s="78"/>
      <c r="N423" s="78"/>
      <c r="O423" s="78"/>
    </row>
    <row r="424" spans="11:15">
      <c r="K424" s="78"/>
      <c r="L424" s="78"/>
      <c r="M424" s="78"/>
      <c r="N424" s="78"/>
      <c r="O424" s="78"/>
    </row>
    <row r="425" spans="11:15">
      <c r="K425" s="78"/>
      <c r="L425" s="78"/>
      <c r="M425" s="78"/>
      <c r="N425" s="78"/>
      <c r="O425" s="78"/>
    </row>
    <row r="426" spans="11:15">
      <c r="K426" s="78"/>
      <c r="L426" s="78"/>
      <c r="M426" s="78"/>
      <c r="N426" s="78"/>
      <c r="O426" s="78"/>
    </row>
    <row r="427" spans="11:15">
      <c r="K427" s="78"/>
      <c r="L427" s="78"/>
      <c r="M427" s="78"/>
      <c r="N427" s="78"/>
      <c r="O427" s="78"/>
    </row>
    <row r="428" spans="11:15">
      <c r="K428" s="78"/>
      <c r="L428" s="78"/>
      <c r="M428" s="78"/>
      <c r="N428" s="78"/>
      <c r="O428" s="78"/>
    </row>
    <row r="429" spans="11:15">
      <c r="K429" s="78"/>
      <c r="L429" s="78"/>
      <c r="M429" s="78"/>
      <c r="N429" s="78"/>
      <c r="O429" s="78"/>
    </row>
    <row r="430" spans="11:15">
      <c r="K430" s="78"/>
      <c r="L430" s="78"/>
      <c r="M430" s="78"/>
      <c r="N430" s="78"/>
      <c r="O430" s="78"/>
    </row>
    <row r="431" spans="11:15">
      <c r="K431" s="78"/>
      <c r="L431" s="78"/>
      <c r="M431" s="78"/>
      <c r="N431" s="78"/>
      <c r="O431" s="78"/>
    </row>
    <row r="432" spans="11:15">
      <c r="K432" s="78"/>
      <c r="L432" s="78"/>
      <c r="M432" s="78"/>
      <c r="N432" s="78"/>
      <c r="O432" s="78"/>
    </row>
    <row r="433" spans="11:15">
      <c r="K433" s="78"/>
      <c r="L433" s="78"/>
      <c r="M433" s="78"/>
      <c r="N433" s="78"/>
      <c r="O433" s="78"/>
    </row>
    <row r="434" spans="11:15">
      <c r="K434" s="78"/>
      <c r="L434" s="78"/>
      <c r="M434" s="78"/>
      <c r="N434" s="78"/>
      <c r="O434" s="78"/>
    </row>
    <row r="435" spans="11:15">
      <c r="K435" s="78"/>
      <c r="L435" s="78"/>
      <c r="M435" s="78"/>
      <c r="N435" s="78"/>
      <c r="O435" s="78"/>
    </row>
    <row r="436" spans="11:15">
      <c r="K436" s="78"/>
      <c r="L436" s="78"/>
      <c r="M436" s="78"/>
      <c r="N436" s="78"/>
      <c r="O436" s="78"/>
    </row>
    <row r="437" spans="11:15">
      <c r="K437" s="78"/>
      <c r="L437" s="78"/>
      <c r="M437" s="78"/>
      <c r="N437" s="78"/>
      <c r="O437" s="78"/>
    </row>
    <row r="438" spans="11:15">
      <c r="K438" s="78"/>
      <c r="L438" s="78"/>
      <c r="M438" s="78"/>
      <c r="N438" s="78"/>
      <c r="O438" s="78"/>
    </row>
    <row r="439" spans="11:15">
      <c r="K439" s="78"/>
      <c r="L439" s="78"/>
      <c r="M439" s="78"/>
      <c r="N439" s="78"/>
      <c r="O439" s="78"/>
    </row>
    <row r="440" spans="11:15">
      <c r="K440" s="78"/>
      <c r="L440" s="78"/>
      <c r="M440" s="78"/>
      <c r="N440" s="78"/>
      <c r="O440" s="78"/>
    </row>
    <row r="441" spans="11:15">
      <c r="K441" s="78"/>
      <c r="L441" s="78"/>
      <c r="M441" s="78"/>
      <c r="N441" s="78"/>
      <c r="O441" s="78"/>
    </row>
    <row r="442" spans="11:15">
      <c r="K442" s="78"/>
      <c r="L442" s="78"/>
      <c r="M442" s="78"/>
      <c r="N442" s="78"/>
      <c r="O442" s="78"/>
    </row>
    <row r="443" spans="11:15">
      <c r="K443" s="78"/>
      <c r="L443" s="78"/>
      <c r="M443" s="78"/>
      <c r="N443" s="78"/>
      <c r="O443" s="78"/>
    </row>
    <row r="444" spans="11:15">
      <c r="K444" s="78"/>
      <c r="L444" s="78"/>
      <c r="M444" s="78"/>
      <c r="N444" s="78"/>
      <c r="O444" s="78"/>
    </row>
    <row r="445" spans="11:15">
      <c r="K445" s="78"/>
      <c r="L445" s="78"/>
      <c r="M445" s="78"/>
      <c r="N445" s="78"/>
      <c r="O445" s="78"/>
    </row>
    <row r="446" spans="11:15">
      <c r="K446" s="78"/>
      <c r="L446" s="78"/>
      <c r="M446" s="78"/>
      <c r="N446" s="78"/>
      <c r="O446" s="78"/>
    </row>
    <row r="447" spans="11:15">
      <c r="K447" s="78"/>
      <c r="L447" s="78"/>
      <c r="M447" s="78"/>
      <c r="N447" s="78"/>
      <c r="O447" s="78"/>
    </row>
    <row r="448" spans="11:15">
      <c r="K448" s="78"/>
      <c r="L448" s="78"/>
      <c r="M448" s="78"/>
      <c r="N448" s="78"/>
      <c r="O448" s="78"/>
    </row>
    <row r="449" spans="11:15">
      <c r="K449" s="78"/>
      <c r="L449" s="78"/>
      <c r="M449" s="78"/>
      <c r="N449" s="78"/>
      <c r="O449" s="78"/>
    </row>
    <row r="450" spans="11:15">
      <c r="K450" s="78"/>
      <c r="L450" s="78"/>
      <c r="M450" s="78"/>
      <c r="N450" s="78"/>
      <c r="O450" s="78"/>
    </row>
    <row r="451" spans="11:15">
      <c r="K451" s="78"/>
      <c r="L451" s="78"/>
      <c r="M451" s="78"/>
      <c r="N451" s="78"/>
      <c r="O451" s="78"/>
    </row>
    <row r="452" spans="11:15">
      <c r="K452" s="78"/>
      <c r="L452" s="78"/>
      <c r="M452" s="78"/>
      <c r="N452" s="78"/>
      <c r="O452" s="78"/>
    </row>
    <row r="453" spans="11:15">
      <c r="K453" s="78"/>
      <c r="L453" s="78"/>
      <c r="M453" s="78"/>
      <c r="N453" s="78"/>
      <c r="O453" s="78"/>
    </row>
    <row r="454" spans="11:15">
      <c r="K454" s="78"/>
      <c r="L454" s="78"/>
      <c r="M454" s="78"/>
      <c r="N454" s="78"/>
      <c r="O454" s="78"/>
    </row>
    <row r="455" spans="11:15">
      <c r="K455" s="78"/>
      <c r="L455" s="78"/>
      <c r="M455" s="78"/>
      <c r="N455" s="78"/>
      <c r="O455" s="78"/>
    </row>
    <row r="456" spans="11:15">
      <c r="K456" s="78"/>
      <c r="L456" s="78"/>
      <c r="M456" s="78"/>
      <c r="N456" s="78"/>
      <c r="O456" s="78"/>
    </row>
    <row r="457" spans="11:15">
      <c r="K457" s="78"/>
      <c r="L457" s="78"/>
      <c r="M457" s="78"/>
      <c r="N457" s="78"/>
      <c r="O457" s="78"/>
    </row>
    <row r="458" spans="11:15">
      <c r="K458" s="78"/>
      <c r="L458" s="78"/>
      <c r="M458" s="78"/>
      <c r="N458" s="78"/>
      <c r="O458" s="78"/>
    </row>
    <row r="459" spans="11:15">
      <c r="K459" s="78"/>
      <c r="L459" s="78"/>
      <c r="M459" s="78"/>
      <c r="N459" s="78"/>
      <c r="O459" s="78"/>
    </row>
    <row r="460" spans="11:15">
      <c r="K460" s="78"/>
      <c r="L460" s="78"/>
      <c r="M460" s="78"/>
      <c r="N460" s="78"/>
      <c r="O460" s="78"/>
    </row>
    <row r="461" spans="11:15">
      <c r="K461" s="78"/>
      <c r="L461" s="78"/>
      <c r="M461" s="78"/>
      <c r="N461" s="78"/>
      <c r="O461" s="78"/>
    </row>
    <row r="462" spans="11:15">
      <c r="K462" s="78"/>
      <c r="L462" s="78"/>
      <c r="M462" s="78"/>
      <c r="N462" s="78"/>
      <c r="O462" s="78"/>
    </row>
    <row r="463" spans="11:15">
      <c r="K463" s="78"/>
      <c r="L463" s="78"/>
      <c r="M463" s="78"/>
      <c r="N463" s="78"/>
      <c r="O463" s="78"/>
    </row>
    <row r="464" spans="11:15">
      <c r="K464" s="78"/>
      <c r="L464" s="78"/>
      <c r="M464" s="78"/>
      <c r="N464" s="78"/>
      <c r="O464" s="78"/>
    </row>
    <row r="465" spans="11:15">
      <c r="K465" s="78"/>
      <c r="L465" s="78"/>
      <c r="M465" s="78"/>
      <c r="N465" s="78"/>
      <c r="O465" s="78"/>
    </row>
    <row r="466" spans="11:15">
      <c r="K466" s="78"/>
      <c r="L466" s="78"/>
      <c r="M466" s="78"/>
      <c r="N466" s="78"/>
      <c r="O466" s="78"/>
    </row>
    <row r="467" spans="11:15">
      <c r="K467" s="78"/>
      <c r="L467" s="78"/>
      <c r="M467" s="78"/>
      <c r="N467" s="78"/>
      <c r="O467" s="78"/>
    </row>
    <row r="468" spans="11:15">
      <c r="K468" s="78"/>
      <c r="L468" s="78"/>
      <c r="M468" s="78"/>
      <c r="N468" s="78"/>
      <c r="O468" s="78"/>
    </row>
    <row r="469" spans="11:15">
      <c r="K469" s="78"/>
      <c r="L469" s="78"/>
      <c r="M469" s="78"/>
      <c r="N469" s="78"/>
      <c r="O469" s="78"/>
    </row>
    <row r="470" spans="11:15">
      <c r="K470" s="78"/>
      <c r="L470" s="78"/>
      <c r="M470" s="78"/>
      <c r="N470" s="78"/>
      <c r="O470" s="78"/>
    </row>
    <row r="471" spans="11:15">
      <c r="K471" s="78"/>
      <c r="L471" s="78"/>
      <c r="M471" s="78"/>
      <c r="N471" s="78"/>
      <c r="O471" s="78"/>
    </row>
    <row r="472" spans="11:15">
      <c r="K472" s="78"/>
      <c r="L472" s="78"/>
      <c r="M472" s="78"/>
      <c r="N472" s="78"/>
      <c r="O472" s="78"/>
    </row>
    <row r="473" spans="11:15">
      <c r="K473" s="78"/>
      <c r="L473" s="78"/>
      <c r="M473" s="78"/>
      <c r="N473" s="78"/>
      <c r="O473" s="78"/>
    </row>
    <row r="474" spans="11:15">
      <c r="K474" s="78"/>
      <c r="L474" s="78"/>
      <c r="M474" s="78"/>
      <c r="N474" s="78"/>
      <c r="O474" s="78"/>
    </row>
    <row r="475" spans="11:15">
      <c r="K475" s="78"/>
      <c r="L475" s="78"/>
      <c r="M475" s="78"/>
      <c r="N475" s="78"/>
      <c r="O475" s="78"/>
    </row>
    <row r="476" spans="11:15">
      <c r="K476" s="78"/>
      <c r="L476" s="78"/>
      <c r="M476" s="78"/>
      <c r="N476" s="78"/>
      <c r="O476" s="78"/>
    </row>
    <row r="477" spans="11:15">
      <c r="K477" s="78"/>
      <c r="L477" s="78"/>
      <c r="M477" s="78"/>
      <c r="N477" s="78"/>
      <c r="O477" s="78"/>
    </row>
    <row r="478" spans="11:15">
      <c r="K478" s="78"/>
      <c r="L478" s="78"/>
      <c r="M478" s="78"/>
      <c r="N478" s="78"/>
      <c r="O478" s="78"/>
    </row>
    <row r="479" spans="11:15">
      <c r="K479" s="78"/>
      <c r="L479" s="78"/>
      <c r="M479" s="78"/>
      <c r="N479" s="78"/>
      <c r="O479" s="78"/>
    </row>
    <row r="480" spans="11:15">
      <c r="K480" s="78"/>
      <c r="L480" s="78"/>
      <c r="M480" s="78"/>
      <c r="N480" s="78"/>
      <c r="O480" s="78"/>
    </row>
    <row r="481" spans="11:15">
      <c r="K481" s="78"/>
      <c r="L481" s="78"/>
      <c r="M481" s="78"/>
      <c r="N481" s="78"/>
      <c r="O481" s="78"/>
    </row>
    <row r="482" spans="11:15">
      <c r="K482" s="78"/>
      <c r="L482" s="78"/>
      <c r="M482" s="78"/>
      <c r="N482" s="78"/>
      <c r="O482" s="78"/>
    </row>
    <row r="483" spans="11:15">
      <c r="K483" s="78"/>
      <c r="L483" s="78"/>
      <c r="M483" s="78"/>
      <c r="N483" s="78"/>
      <c r="O483" s="78"/>
    </row>
    <row r="484" spans="11:15">
      <c r="K484" s="78"/>
      <c r="L484" s="78"/>
      <c r="M484" s="78"/>
      <c r="N484" s="78"/>
      <c r="O484" s="78"/>
    </row>
    <row r="485" spans="11:15">
      <c r="K485" s="78"/>
      <c r="L485" s="78"/>
      <c r="M485" s="78"/>
      <c r="N485" s="78"/>
      <c r="O485" s="78"/>
    </row>
    <row r="486" spans="11:15">
      <c r="K486" s="78"/>
      <c r="L486" s="78"/>
      <c r="M486" s="78"/>
      <c r="N486" s="78"/>
      <c r="O486" s="78"/>
    </row>
    <row r="487" spans="11:15">
      <c r="K487" s="78"/>
      <c r="L487" s="78"/>
      <c r="M487" s="78"/>
      <c r="N487" s="78"/>
      <c r="O487" s="78"/>
    </row>
    <row r="488" spans="11:15">
      <c r="K488" s="78"/>
      <c r="L488" s="78"/>
      <c r="M488" s="78"/>
      <c r="N488" s="78"/>
      <c r="O488" s="78"/>
    </row>
    <row r="489" spans="11:15">
      <c r="K489" s="78"/>
      <c r="L489" s="78"/>
      <c r="M489" s="78"/>
      <c r="N489" s="78"/>
      <c r="O489" s="78"/>
    </row>
    <row r="490" spans="11:15">
      <c r="K490" s="78"/>
      <c r="L490" s="78"/>
      <c r="M490" s="78"/>
      <c r="N490" s="78"/>
      <c r="O490" s="78"/>
    </row>
    <row r="491" spans="11:15">
      <c r="K491" s="78"/>
      <c r="L491" s="78"/>
      <c r="M491" s="78"/>
      <c r="N491" s="78"/>
      <c r="O491" s="78"/>
    </row>
    <row r="492" spans="11:15">
      <c r="K492" s="78"/>
      <c r="L492" s="78"/>
      <c r="M492" s="78"/>
      <c r="N492" s="78"/>
      <c r="O492" s="78"/>
    </row>
    <row r="493" spans="11:15">
      <c r="K493" s="78"/>
      <c r="L493" s="78"/>
      <c r="M493" s="78"/>
      <c r="N493" s="78"/>
      <c r="O493" s="78"/>
    </row>
    <row r="494" spans="11:15">
      <c r="K494" s="78"/>
      <c r="L494" s="78"/>
      <c r="M494" s="78"/>
      <c r="N494" s="78"/>
      <c r="O494" s="78"/>
    </row>
    <row r="495" spans="11:15">
      <c r="K495" s="78"/>
      <c r="L495" s="78"/>
      <c r="M495" s="78"/>
      <c r="N495" s="78"/>
      <c r="O495" s="78"/>
    </row>
    <row r="496" spans="11:15">
      <c r="K496" s="78"/>
      <c r="L496" s="78"/>
      <c r="M496" s="78"/>
      <c r="N496" s="78"/>
      <c r="O496" s="78"/>
    </row>
    <row r="497" spans="11:15">
      <c r="K497" s="78"/>
      <c r="L497" s="78"/>
      <c r="M497" s="78"/>
      <c r="N497" s="78"/>
      <c r="O497" s="78"/>
    </row>
    <row r="498" spans="11:15">
      <c r="K498" s="78"/>
      <c r="L498" s="78"/>
      <c r="M498" s="78"/>
      <c r="N498" s="78"/>
      <c r="O498" s="78"/>
    </row>
    <row r="499" spans="11:15">
      <c r="K499" s="78"/>
      <c r="L499" s="78"/>
      <c r="M499" s="78"/>
      <c r="N499" s="78"/>
      <c r="O499" s="78"/>
    </row>
    <row r="500" spans="11:15">
      <c r="K500" s="78"/>
      <c r="L500" s="78"/>
      <c r="M500" s="78"/>
      <c r="N500" s="78"/>
      <c r="O500" s="78"/>
    </row>
    <row r="501" spans="11:15">
      <c r="K501" s="78"/>
      <c r="L501" s="78"/>
      <c r="M501" s="78"/>
      <c r="N501" s="78"/>
      <c r="O501" s="78"/>
    </row>
    <row r="502" spans="11:15">
      <c r="K502" s="78"/>
      <c r="L502" s="78"/>
      <c r="M502" s="78"/>
      <c r="N502" s="78"/>
      <c r="O502" s="78"/>
    </row>
    <row r="503" spans="11:15">
      <c r="K503" s="78"/>
      <c r="L503" s="78"/>
      <c r="M503" s="78"/>
      <c r="N503" s="78"/>
      <c r="O503" s="78"/>
    </row>
    <row r="504" spans="11:15">
      <c r="K504" s="78"/>
      <c r="L504" s="78"/>
      <c r="M504" s="78"/>
      <c r="N504" s="78"/>
      <c r="O504" s="78"/>
    </row>
    <row r="505" spans="11:15">
      <c r="K505" s="78"/>
      <c r="L505" s="78"/>
      <c r="M505" s="78"/>
      <c r="N505" s="78"/>
      <c r="O505" s="78"/>
    </row>
    <row r="506" spans="11:15">
      <c r="K506" s="78"/>
      <c r="L506" s="78"/>
      <c r="M506" s="78"/>
      <c r="N506" s="78"/>
      <c r="O506" s="78"/>
    </row>
    <row r="507" spans="11:15">
      <c r="K507" s="78"/>
      <c r="L507" s="78"/>
      <c r="M507" s="78"/>
      <c r="N507" s="78"/>
      <c r="O507" s="78"/>
    </row>
    <row r="508" spans="11:15">
      <c r="K508" s="78"/>
      <c r="L508" s="78"/>
      <c r="M508" s="78"/>
      <c r="N508" s="78"/>
      <c r="O508" s="78"/>
    </row>
    <row r="509" spans="11:15">
      <c r="K509" s="78"/>
      <c r="L509" s="78"/>
      <c r="M509" s="78"/>
      <c r="N509" s="78"/>
      <c r="O509" s="78"/>
    </row>
    <row r="510" spans="11:15">
      <c r="K510" s="78"/>
      <c r="L510" s="78"/>
      <c r="M510" s="78"/>
      <c r="N510" s="78"/>
      <c r="O510" s="78"/>
    </row>
    <row r="511" spans="11:15">
      <c r="K511" s="78"/>
      <c r="L511" s="78"/>
      <c r="M511" s="78"/>
      <c r="N511" s="78"/>
      <c r="O511" s="78"/>
    </row>
    <row r="512" spans="11:15">
      <c r="K512" s="78"/>
      <c r="L512" s="78"/>
      <c r="M512" s="78"/>
      <c r="N512" s="78"/>
      <c r="O512" s="78"/>
    </row>
    <row r="513" spans="11:15">
      <c r="K513" s="78"/>
      <c r="L513" s="78"/>
      <c r="M513" s="78"/>
      <c r="N513" s="78"/>
      <c r="O513" s="78"/>
    </row>
    <row r="514" spans="11:15">
      <c r="K514" s="78"/>
      <c r="L514" s="78"/>
      <c r="M514" s="78"/>
      <c r="N514" s="78"/>
      <c r="O514" s="78"/>
    </row>
    <row r="515" spans="11:15">
      <c r="K515" s="78"/>
      <c r="L515" s="78"/>
      <c r="M515" s="78"/>
      <c r="N515" s="78"/>
      <c r="O515" s="78"/>
    </row>
    <row r="516" spans="11:15">
      <c r="K516" s="78"/>
      <c r="L516" s="78"/>
      <c r="M516" s="78"/>
      <c r="N516" s="78"/>
      <c r="O516" s="78"/>
    </row>
    <row r="517" spans="11:15">
      <c r="K517" s="78"/>
      <c r="L517" s="78"/>
      <c r="M517" s="78"/>
      <c r="N517" s="78"/>
      <c r="O517" s="78"/>
    </row>
    <row r="518" spans="11:15">
      <c r="K518" s="78"/>
      <c r="L518" s="78"/>
      <c r="M518" s="78"/>
      <c r="N518" s="78"/>
      <c r="O518" s="78"/>
    </row>
    <row r="519" spans="11:15">
      <c r="K519" s="78"/>
      <c r="L519" s="78"/>
      <c r="M519" s="78"/>
      <c r="N519" s="78"/>
      <c r="O519" s="78"/>
    </row>
    <row r="520" spans="11:15">
      <c r="K520" s="78"/>
      <c r="L520" s="78"/>
      <c r="M520" s="78"/>
      <c r="N520" s="78"/>
      <c r="O520" s="78"/>
    </row>
    <row r="521" spans="11:15">
      <c r="K521" s="78"/>
      <c r="L521" s="78"/>
      <c r="M521" s="78"/>
      <c r="N521" s="78"/>
      <c r="O521" s="78"/>
    </row>
    <row r="522" spans="11:15">
      <c r="K522" s="78"/>
      <c r="L522" s="78"/>
      <c r="M522" s="78"/>
      <c r="N522" s="78"/>
      <c r="O522" s="78"/>
    </row>
    <row r="523" spans="11:15">
      <c r="K523" s="78"/>
      <c r="L523" s="78"/>
      <c r="M523" s="78"/>
      <c r="N523" s="78"/>
      <c r="O523" s="78"/>
    </row>
    <row r="524" spans="11:15">
      <c r="K524" s="78"/>
      <c r="L524" s="78"/>
      <c r="M524" s="78"/>
      <c r="N524" s="78"/>
      <c r="O524" s="78"/>
    </row>
    <row r="525" spans="11:15">
      <c r="K525" s="78"/>
      <c r="L525" s="78"/>
      <c r="M525" s="78"/>
      <c r="N525" s="78"/>
      <c r="O525" s="78"/>
    </row>
    <row r="526" spans="11:15">
      <c r="K526" s="78"/>
      <c r="L526" s="78"/>
      <c r="M526" s="78"/>
      <c r="N526" s="78"/>
      <c r="O526" s="78"/>
    </row>
    <row r="527" spans="11:15">
      <c r="K527" s="78"/>
      <c r="L527" s="78"/>
      <c r="M527" s="78"/>
      <c r="N527" s="78"/>
      <c r="O527" s="78"/>
    </row>
    <row r="528" spans="11:15">
      <c r="K528" s="78"/>
      <c r="L528" s="78"/>
      <c r="M528" s="78"/>
      <c r="N528" s="78"/>
      <c r="O528" s="78"/>
    </row>
    <row r="529" spans="11:15">
      <c r="K529" s="78"/>
      <c r="L529" s="78"/>
      <c r="M529" s="78"/>
      <c r="N529" s="78"/>
      <c r="O529" s="78"/>
    </row>
    <row r="530" spans="11:15">
      <c r="K530" s="78"/>
      <c r="L530" s="78"/>
      <c r="M530" s="78"/>
      <c r="N530" s="78"/>
      <c r="O530" s="78"/>
    </row>
    <row r="531" spans="11:15">
      <c r="K531" s="78"/>
      <c r="L531" s="78"/>
      <c r="M531" s="78"/>
      <c r="N531" s="78"/>
      <c r="O531" s="78"/>
    </row>
    <row r="532" spans="11:15">
      <c r="K532" s="78"/>
      <c r="L532" s="78"/>
      <c r="M532" s="78"/>
      <c r="N532" s="78"/>
      <c r="O532" s="78"/>
    </row>
    <row r="533" spans="11:15">
      <c r="K533" s="78"/>
      <c r="L533" s="78"/>
      <c r="M533" s="78"/>
      <c r="N533" s="78"/>
      <c r="O533" s="78"/>
    </row>
    <row r="534" spans="11:15">
      <c r="K534" s="78"/>
      <c r="L534" s="78"/>
      <c r="M534" s="78"/>
      <c r="N534" s="78"/>
      <c r="O534" s="78"/>
    </row>
    <row r="535" spans="11:15">
      <c r="K535" s="78"/>
      <c r="L535" s="78"/>
      <c r="M535" s="78"/>
      <c r="N535" s="78"/>
      <c r="O535" s="78"/>
    </row>
    <row r="536" spans="11:15">
      <c r="K536" s="78"/>
      <c r="L536" s="78"/>
      <c r="M536" s="78"/>
      <c r="N536" s="78"/>
      <c r="O536" s="78"/>
    </row>
    <row r="537" spans="11:15">
      <c r="K537" s="78"/>
      <c r="L537" s="78"/>
      <c r="M537" s="78"/>
      <c r="N537" s="78"/>
      <c r="O537" s="78"/>
    </row>
    <row r="538" spans="11:15">
      <c r="K538" s="78"/>
      <c r="L538" s="78"/>
      <c r="M538" s="78"/>
      <c r="N538" s="78"/>
      <c r="O538" s="78"/>
    </row>
    <row r="539" spans="11:15">
      <c r="K539" s="78"/>
      <c r="L539" s="78"/>
      <c r="M539" s="78"/>
      <c r="N539" s="78"/>
      <c r="O539" s="78"/>
    </row>
    <row r="540" spans="11:15">
      <c r="K540" s="78"/>
      <c r="L540" s="78"/>
      <c r="M540" s="78"/>
      <c r="N540" s="78"/>
      <c r="O540" s="78"/>
    </row>
    <row r="541" spans="11:15">
      <c r="K541" s="78"/>
      <c r="L541" s="78"/>
      <c r="M541" s="78"/>
      <c r="N541" s="78"/>
      <c r="O541" s="78"/>
    </row>
    <row r="542" spans="11:15">
      <c r="K542" s="78"/>
      <c r="L542" s="78"/>
      <c r="M542" s="78"/>
      <c r="N542" s="78"/>
      <c r="O542" s="78"/>
    </row>
    <row r="543" spans="11:15">
      <c r="K543" s="78"/>
      <c r="L543" s="78"/>
      <c r="M543" s="78"/>
      <c r="N543" s="78"/>
      <c r="O543" s="78"/>
    </row>
    <row r="544" spans="11:15">
      <c r="K544" s="78"/>
      <c r="L544" s="78"/>
      <c r="M544" s="78"/>
      <c r="N544" s="78"/>
      <c r="O544" s="78"/>
    </row>
    <row r="545" spans="11:15">
      <c r="K545" s="78"/>
      <c r="L545" s="78"/>
      <c r="M545" s="78"/>
      <c r="N545" s="78"/>
      <c r="O545" s="78"/>
    </row>
    <row r="546" spans="11:15">
      <c r="K546" s="78"/>
      <c r="L546" s="78"/>
      <c r="M546" s="78"/>
      <c r="N546" s="78"/>
      <c r="O546" s="78"/>
    </row>
    <row r="547" spans="11:15">
      <c r="K547" s="78"/>
      <c r="L547" s="78"/>
      <c r="M547" s="78"/>
      <c r="N547" s="78"/>
      <c r="O547" s="78"/>
    </row>
    <row r="548" spans="11:15">
      <c r="K548" s="78"/>
      <c r="L548" s="78"/>
      <c r="M548" s="78"/>
      <c r="N548" s="78"/>
      <c r="O548" s="78"/>
    </row>
    <row r="549" spans="11:15">
      <c r="K549" s="78"/>
      <c r="L549" s="78"/>
      <c r="M549" s="78"/>
      <c r="N549" s="78"/>
      <c r="O549" s="78"/>
    </row>
    <row r="550" spans="11:15">
      <c r="K550" s="78"/>
      <c r="L550" s="78"/>
      <c r="M550" s="78"/>
      <c r="N550" s="78"/>
      <c r="O550" s="78"/>
    </row>
    <row r="551" spans="11:15">
      <c r="K551" s="78"/>
      <c r="L551" s="78"/>
      <c r="M551" s="78"/>
      <c r="N551" s="78"/>
      <c r="O551" s="78"/>
    </row>
    <row r="552" spans="11:15">
      <c r="K552" s="78"/>
      <c r="L552" s="78"/>
      <c r="M552" s="78"/>
      <c r="N552" s="78"/>
      <c r="O552" s="78"/>
    </row>
    <row r="553" spans="11:15">
      <c r="K553" s="78"/>
      <c r="L553" s="78"/>
      <c r="M553" s="78"/>
      <c r="N553" s="78"/>
      <c r="O553" s="78"/>
    </row>
    <row r="554" spans="11:15">
      <c r="K554" s="78"/>
      <c r="L554" s="78"/>
      <c r="M554" s="78"/>
      <c r="N554" s="78"/>
      <c r="O554" s="78"/>
    </row>
    <row r="555" spans="11:15">
      <c r="K555" s="78"/>
      <c r="L555" s="78"/>
      <c r="M555" s="78"/>
      <c r="N555" s="78"/>
      <c r="O555" s="78"/>
    </row>
    <row r="556" spans="11:15">
      <c r="K556" s="78"/>
      <c r="L556" s="78"/>
      <c r="M556" s="78"/>
      <c r="N556" s="78"/>
      <c r="O556" s="78"/>
    </row>
    <row r="557" spans="11:15">
      <c r="K557" s="78"/>
      <c r="L557" s="78"/>
      <c r="M557" s="78"/>
      <c r="N557" s="78"/>
      <c r="O557" s="78"/>
    </row>
    <row r="558" spans="11:15">
      <c r="K558" s="78"/>
      <c r="L558" s="78"/>
      <c r="M558" s="78"/>
      <c r="N558" s="78"/>
      <c r="O558" s="78"/>
    </row>
    <row r="559" spans="11:15">
      <c r="K559" s="78"/>
      <c r="L559" s="78"/>
      <c r="M559" s="78"/>
      <c r="N559" s="78"/>
      <c r="O559" s="78"/>
    </row>
    <row r="560" spans="11:15">
      <c r="K560" s="78"/>
      <c r="L560" s="78"/>
      <c r="M560" s="78"/>
      <c r="N560" s="78"/>
      <c r="O560" s="78"/>
    </row>
    <row r="561" spans="11:15">
      <c r="K561" s="78"/>
      <c r="L561" s="78"/>
      <c r="M561" s="78"/>
      <c r="N561" s="78"/>
      <c r="O561" s="78"/>
    </row>
    <row r="562" spans="11:15">
      <c r="K562" s="78"/>
      <c r="L562" s="78"/>
      <c r="M562" s="78"/>
      <c r="N562" s="78"/>
      <c r="O562" s="78"/>
    </row>
    <row r="563" spans="11:15">
      <c r="K563" s="78"/>
      <c r="L563" s="78"/>
      <c r="M563" s="78"/>
      <c r="N563" s="78"/>
      <c r="O563" s="78"/>
    </row>
    <row r="564" spans="11:15">
      <c r="K564" s="78"/>
      <c r="L564" s="78"/>
      <c r="M564" s="78"/>
      <c r="N564" s="78"/>
      <c r="O564" s="78"/>
    </row>
    <row r="565" spans="11:15">
      <c r="K565" s="78"/>
      <c r="L565" s="78"/>
      <c r="M565" s="78"/>
      <c r="N565" s="78"/>
      <c r="O565" s="78"/>
    </row>
    <row r="566" spans="11:15">
      <c r="K566" s="78"/>
      <c r="L566" s="78"/>
      <c r="M566" s="78"/>
      <c r="N566" s="78"/>
      <c r="O566" s="78"/>
    </row>
    <row r="567" spans="11:15">
      <c r="K567" s="78"/>
      <c r="L567" s="78"/>
      <c r="M567" s="78"/>
      <c r="N567" s="78"/>
      <c r="O567" s="78"/>
    </row>
    <row r="568" spans="11:15">
      <c r="K568" s="78"/>
      <c r="L568" s="78"/>
      <c r="M568" s="78"/>
      <c r="N568" s="78"/>
      <c r="O568" s="78"/>
    </row>
    <row r="569" spans="11:15">
      <c r="K569" s="78"/>
      <c r="L569" s="78"/>
      <c r="M569" s="78"/>
      <c r="N569" s="78"/>
      <c r="O569" s="78"/>
    </row>
    <row r="570" spans="11:15">
      <c r="K570" s="78"/>
      <c r="L570" s="78"/>
      <c r="M570" s="78"/>
      <c r="N570" s="78"/>
      <c r="O570" s="78"/>
    </row>
    <row r="571" spans="11:15">
      <c r="K571" s="78"/>
      <c r="L571" s="78"/>
      <c r="M571" s="78"/>
      <c r="N571" s="78"/>
      <c r="O571" s="78"/>
    </row>
    <row r="572" spans="11:15">
      <c r="K572" s="78"/>
      <c r="L572" s="78"/>
      <c r="M572" s="78"/>
      <c r="N572" s="78"/>
      <c r="O572" s="78"/>
    </row>
    <row r="573" spans="11:15">
      <c r="K573" s="78"/>
      <c r="L573" s="78"/>
      <c r="M573" s="78"/>
      <c r="N573" s="78"/>
      <c r="O573" s="78"/>
    </row>
    <row r="574" spans="11:15">
      <c r="K574" s="78"/>
      <c r="L574" s="78"/>
      <c r="M574" s="78"/>
      <c r="N574" s="78"/>
      <c r="O574" s="78"/>
    </row>
    <row r="575" spans="11:15">
      <c r="K575" s="78"/>
      <c r="L575" s="78"/>
      <c r="M575" s="78"/>
      <c r="N575" s="78"/>
      <c r="O575" s="78"/>
    </row>
    <row r="576" spans="11:15">
      <c r="K576" s="78"/>
      <c r="L576" s="78"/>
      <c r="M576" s="78"/>
      <c r="N576" s="78"/>
      <c r="O576" s="78"/>
    </row>
    <row r="577" spans="11:15">
      <c r="K577" s="78"/>
      <c r="L577" s="78"/>
      <c r="M577" s="78"/>
      <c r="N577" s="78"/>
      <c r="O577" s="78"/>
    </row>
    <row r="578" spans="11:15">
      <c r="K578" s="78"/>
      <c r="L578" s="78"/>
      <c r="M578" s="78"/>
      <c r="N578" s="78"/>
      <c r="O578" s="78"/>
    </row>
    <row r="579" spans="11:15">
      <c r="K579" s="78"/>
      <c r="L579" s="78"/>
      <c r="M579" s="78"/>
      <c r="N579" s="78"/>
      <c r="O579" s="78"/>
    </row>
    <row r="580" spans="11:15">
      <c r="K580" s="78"/>
      <c r="L580" s="78"/>
      <c r="M580" s="78"/>
      <c r="N580" s="78"/>
      <c r="O580" s="78"/>
    </row>
    <row r="581" spans="11:15">
      <c r="K581" s="78"/>
      <c r="L581" s="78"/>
      <c r="M581" s="78"/>
      <c r="N581" s="78"/>
      <c r="O581" s="78"/>
    </row>
    <row r="582" spans="11:15">
      <c r="K582" s="78"/>
      <c r="L582" s="78"/>
      <c r="M582" s="78"/>
      <c r="N582" s="78"/>
      <c r="O582" s="78"/>
    </row>
    <row r="583" spans="11:15">
      <c r="K583" s="78"/>
      <c r="L583" s="78"/>
      <c r="M583" s="78"/>
      <c r="N583" s="78"/>
      <c r="O583" s="78"/>
    </row>
    <row r="584" spans="11:15">
      <c r="K584" s="78"/>
      <c r="L584" s="78"/>
      <c r="M584" s="78"/>
      <c r="N584" s="78"/>
      <c r="O584" s="78"/>
    </row>
    <row r="585" spans="11:15">
      <c r="K585" s="78"/>
      <c r="L585" s="78"/>
      <c r="M585" s="78"/>
      <c r="N585" s="78"/>
      <c r="O585" s="78"/>
    </row>
    <row r="586" spans="11:15">
      <c r="K586" s="78"/>
      <c r="L586" s="78"/>
      <c r="M586" s="78"/>
      <c r="N586" s="78"/>
      <c r="O586" s="78"/>
    </row>
    <row r="587" spans="11:15">
      <c r="K587" s="78"/>
      <c r="L587" s="78"/>
      <c r="M587" s="78"/>
      <c r="N587" s="78"/>
      <c r="O587" s="78"/>
    </row>
    <row r="588" spans="11:15">
      <c r="K588" s="78"/>
      <c r="L588" s="78"/>
      <c r="M588" s="78"/>
      <c r="N588" s="78"/>
      <c r="O588" s="78"/>
    </row>
    <row r="589" spans="11:15">
      <c r="K589" s="78"/>
      <c r="L589" s="78"/>
      <c r="M589" s="78"/>
      <c r="N589" s="78"/>
      <c r="O589" s="78"/>
    </row>
    <row r="590" spans="11:15">
      <c r="K590" s="78"/>
      <c r="L590" s="78"/>
      <c r="M590" s="78"/>
      <c r="N590" s="78"/>
      <c r="O590" s="78"/>
    </row>
    <row r="591" spans="11:15">
      <c r="K591" s="78"/>
      <c r="L591" s="78"/>
      <c r="M591" s="78"/>
      <c r="N591" s="78"/>
      <c r="O591" s="78"/>
    </row>
    <row r="592" spans="11:15">
      <c r="K592" s="78"/>
      <c r="L592" s="78"/>
      <c r="M592" s="78"/>
      <c r="N592" s="78"/>
      <c r="O592" s="78"/>
    </row>
    <row r="593" spans="11:15">
      <c r="K593" s="78"/>
      <c r="L593" s="78"/>
      <c r="M593" s="78"/>
      <c r="N593" s="78"/>
      <c r="O593" s="78"/>
    </row>
    <row r="594" spans="11:15">
      <c r="K594" s="78"/>
      <c r="L594" s="78"/>
      <c r="M594" s="78"/>
      <c r="N594" s="78"/>
      <c r="O594" s="78"/>
    </row>
    <row r="595" spans="11:15">
      <c r="K595" s="78"/>
      <c r="L595" s="78"/>
      <c r="M595" s="78"/>
      <c r="N595" s="78"/>
      <c r="O595" s="78"/>
    </row>
    <row r="596" spans="11:15">
      <c r="K596" s="78"/>
      <c r="L596" s="78"/>
      <c r="M596" s="78"/>
      <c r="N596" s="78"/>
      <c r="O596" s="78"/>
    </row>
    <row r="597" spans="11:15">
      <c r="K597" s="78"/>
      <c r="L597" s="78"/>
      <c r="M597" s="78"/>
      <c r="N597" s="78"/>
      <c r="O597" s="78"/>
    </row>
    <row r="598" spans="11:15">
      <c r="K598" s="78"/>
      <c r="L598" s="78"/>
      <c r="M598" s="78"/>
      <c r="N598" s="78"/>
      <c r="O598" s="78"/>
    </row>
    <row r="599" spans="11:15">
      <c r="K599" s="78"/>
      <c r="L599" s="78"/>
      <c r="M599" s="78"/>
      <c r="N599" s="78"/>
      <c r="O599" s="78"/>
    </row>
    <row r="600" spans="11:15">
      <c r="K600" s="78"/>
      <c r="L600" s="78"/>
      <c r="M600" s="78"/>
      <c r="N600" s="78"/>
      <c r="O600" s="78"/>
    </row>
    <row r="601" spans="11:15">
      <c r="K601" s="78"/>
      <c r="L601" s="78"/>
      <c r="M601" s="78"/>
      <c r="N601" s="78"/>
      <c r="O601" s="78"/>
    </row>
    <row r="602" spans="11:15">
      <c r="K602" s="78"/>
      <c r="L602" s="78"/>
      <c r="M602" s="78"/>
      <c r="N602" s="78"/>
      <c r="O602" s="78"/>
    </row>
    <row r="603" spans="11:15">
      <c r="K603" s="78"/>
      <c r="L603" s="78"/>
      <c r="M603" s="78"/>
      <c r="N603" s="78"/>
      <c r="O603" s="78"/>
    </row>
    <row r="604" spans="11:15">
      <c r="K604" s="78"/>
      <c r="L604" s="78"/>
      <c r="M604" s="78"/>
      <c r="N604" s="78"/>
      <c r="O604" s="78"/>
    </row>
    <row r="605" spans="11:15">
      <c r="K605" s="78"/>
      <c r="L605" s="78"/>
      <c r="M605" s="78"/>
      <c r="N605" s="78"/>
      <c r="O605" s="78"/>
    </row>
    <row r="606" spans="11:15">
      <c r="K606" s="78"/>
      <c r="L606" s="78"/>
      <c r="M606" s="78"/>
      <c r="N606" s="78"/>
      <c r="O606" s="78"/>
    </row>
    <row r="607" spans="11:15">
      <c r="K607" s="78"/>
      <c r="L607" s="78"/>
      <c r="M607" s="78"/>
      <c r="N607" s="78"/>
      <c r="O607" s="78"/>
    </row>
    <row r="608" spans="11:15">
      <c r="K608" s="78"/>
      <c r="L608" s="78"/>
      <c r="M608" s="78"/>
      <c r="N608" s="78"/>
      <c r="O608" s="78"/>
    </row>
    <row r="609" spans="11:15">
      <c r="K609" s="78"/>
      <c r="L609" s="78"/>
      <c r="M609" s="78"/>
      <c r="N609" s="78"/>
      <c r="O609" s="78"/>
    </row>
    <row r="610" spans="11:15">
      <c r="K610" s="78"/>
      <c r="L610" s="78"/>
      <c r="M610" s="78"/>
      <c r="N610" s="78"/>
      <c r="O610" s="78"/>
    </row>
    <row r="611" spans="11:15">
      <c r="K611" s="78"/>
      <c r="L611" s="78"/>
      <c r="M611" s="78"/>
      <c r="N611" s="78"/>
      <c r="O611" s="78"/>
    </row>
    <row r="612" spans="11:15">
      <c r="K612" s="78"/>
      <c r="L612" s="78"/>
      <c r="M612" s="78"/>
      <c r="N612" s="78"/>
      <c r="O612" s="78"/>
    </row>
    <row r="613" spans="11:15">
      <c r="K613" s="78"/>
      <c r="L613" s="78"/>
      <c r="M613" s="78"/>
      <c r="N613" s="78"/>
      <c r="O613" s="78"/>
    </row>
    <row r="614" spans="11:15">
      <c r="K614" s="78"/>
      <c r="L614" s="78"/>
      <c r="M614" s="78"/>
      <c r="N614" s="78"/>
      <c r="O614" s="78"/>
    </row>
    <row r="615" spans="11:15">
      <c r="K615" s="78"/>
      <c r="L615" s="78"/>
      <c r="M615" s="78"/>
      <c r="N615" s="78"/>
      <c r="O615" s="78"/>
    </row>
    <row r="616" spans="11:15">
      <c r="K616" s="78"/>
      <c r="L616" s="78"/>
      <c r="M616" s="78"/>
      <c r="N616" s="78"/>
      <c r="O616" s="78"/>
    </row>
    <row r="617" spans="11:15">
      <c r="K617" s="78"/>
      <c r="L617" s="78"/>
      <c r="M617" s="78"/>
      <c r="N617" s="78"/>
      <c r="O617" s="78"/>
    </row>
  </sheetData>
  <mergeCells count="11">
    <mergeCell ref="H5:H6"/>
    <mergeCell ref="A1:H1"/>
    <mergeCell ref="A2:H2"/>
    <mergeCell ref="A3:H3"/>
    <mergeCell ref="A4:G4"/>
    <mergeCell ref="A5:A6"/>
    <mergeCell ref="B5:B6"/>
    <mergeCell ref="C5:C6"/>
    <mergeCell ref="D5:D6"/>
    <mergeCell ref="E5:E6"/>
    <mergeCell ref="G5:G6"/>
  </mergeCells>
  <printOptions horizontalCentered="1"/>
  <pageMargins left="0.196850393700787" right="0.196850393700787" top="0.23622047244094499" bottom="0" header="0.31496062992126" footer="0.43307086614173201"/>
  <pageSetup scale="64" orientation="portrait" r:id="rId1"/>
  <rowBreaks count="2" manualBreakCount="2">
    <brk id="46" max="7" man="1"/>
    <brk id="86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J144"/>
  <sheetViews>
    <sheetView showGridLines="0" view="pageBreakPreview" zoomScaleSheetLayoutView="100" workbookViewId="0">
      <selection activeCell="F7" sqref="F7"/>
    </sheetView>
  </sheetViews>
  <sheetFormatPr defaultRowHeight="14.25"/>
  <cols>
    <col min="1" max="1" width="8" style="64" customWidth="1"/>
    <col min="2" max="2" width="75.7109375" style="64" customWidth="1"/>
    <col min="3" max="8" width="12.7109375" style="64" customWidth="1"/>
    <col min="9" max="9" width="10" style="64" bestFit="1" customWidth="1"/>
    <col min="10" max="10" width="15.5703125" style="64" customWidth="1"/>
    <col min="11" max="11" width="26.7109375" style="64" customWidth="1"/>
    <col min="12" max="16384" width="9.140625" style="64"/>
  </cols>
  <sheetData>
    <row r="1" spans="1:10" ht="15.75" customHeight="1">
      <c r="A1" s="357" t="s">
        <v>168</v>
      </c>
      <c r="B1" s="357"/>
      <c r="C1" s="357"/>
      <c r="D1" s="357"/>
      <c r="E1" s="357"/>
      <c r="F1" s="357"/>
      <c r="G1" s="357"/>
      <c r="H1" s="357"/>
    </row>
    <row r="2" spans="1:10" ht="15.75" customHeight="1">
      <c r="A2" s="357" t="s">
        <v>996</v>
      </c>
      <c r="B2" s="357"/>
      <c r="C2" s="357"/>
      <c r="D2" s="357"/>
      <c r="E2" s="357"/>
      <c r="F2" s="357"/>
      <c r="G2" s="357"/>
      <c r="H2" s="357"/>
    </row>
    <row r="3" spans="1:10" ht="15.75" customHeight="1">
      <c r="A3" s="357" t="s">
        <v>281</v>
      </c>
      <c r="B3" s="357"/>
      <c r="C3" s="357"/>
      <c r="D3" s="357"/>
      <c r="E3" s="357"/>
      <c r="F3" s="357"/>
      <c r="G3" s="357"/>
      <c r="H3" s="357"/>
    </row>
    <row r="4" spans="1:10" ht="15.75" customHeight="1" thickBot="1">
      <c r="A4" s="348"/>
      <c r="B4" s="348"/>
      <c r="C4" s="348"/>
      <c r="D4" s="348"/>
      <c r="E4" s="348"/>
      <c r="F4" s="348"/>
      <c r="G4" s="348"/>
    </row>
    <row r="5" spans="1:10" ht="17.25" customHeight="1" thickTop="1" thickBot="1">
      <c r="A5" s="358" t="s">
        <v>53</v>
      </c>
      <c r="B5" s="362" t="s">
        <v>142</v>
      </c>
      <c r="C5" s="360" t="s">
        <v>54</v>
      </c>
      <c r="D5" s="361" t="s">
        <v>342</v>
      </c>
      <c r="E5" s="361" t="s">
        <v>997</v>
      </c>
      <c r="F5" s="136" t="s">
        <v>172</v>
      </c>
      <c r="G5" s="360" t="s">
        <v>148</v>
      </c>
      <c r="H5" s="356" t="s">
        <v>130</v>
      </c>
    </row>
    <row r="6" spans="1:10" s="137" customFormat="1" ht="31.5" customHeight="1" thickTop="1" thickBot="1">
      <c r="A6" s="358"/>
      <c r="B6" s="362"/>
      <c r="C6" s="360"/>
      <c r="D6" s="363"/>
      <c r="E6" s="363"/>
      <c r="F6" s="136" t="s">
        <v>998</v>
      </c>
      <c r="G6" s="360"/>
      <c r="H6" s="356"/>
    </row>
    <row r="7" spans="1:10" s="137" customFormat="1" ht="15.75" customHeight="1" thickTop="1">
      <c r="A7" s="268">
        <v>0</v>
      </c>
      <c r="B7" s="269" t="s">
        <v>61</v>
      </c>
      <c r="C7" s="270">
        <v>100.00000138049801</v>
      </c>
      <c r="D7" s="127">
        <v>130.72200000000001</v>
      </c>
      <c r="E7" s="271">
        <v>137.19550000000001</v>
      </c>
      <c r="F7" s="271">
        <f t="shared" ref="F7:F13" si="0">(E7/D7-1)*100</f>
        <v>4.9521121157876991</v>
      </c>
      <c r="G7" s="271">
        <f>SUM(G8,G22,G29,G36,G51,G67,G77,G89,G94,G112,G121,G126)</f>
        <v>4.9521871014505852</v>
      </c>
      <c r="H7" s="139">
        <f>SUM(H8,H22,H29,H36,H51,H67,H77,H89,H94,H112,H121,H126)</f>
        <v>100</v>
      </c>
      <c r="I7" s="159"/>
    </row>
    <row r="8" spans="1:10" ht="15.75" customHeight="1">
      <c r="A8" s="142">
        <v>1</v>
      </c>
      <c r="B8" s="143" t="s">
        <v>62</v>
      </c>
      <c r="C8" s="280">
        <v>23.835128000000001</v>
      </c>
      <c r="D8" s="145">
        <v>141.8382</v>
      </c>
      <c r="E8" s="144">
        <v>153.45599999999999</v>
      </c>
      <c r="F8" s="144">
        <f>(E8/D8-1)*100</f>
        <v>8.190882287000246</v>
      </c>
      <c r="G8" s="144">
        <f>(E8-D8)/$D$7*C8</f>
        <v>2.1183255311148828</v>
      </c>
      <c r="H8" s="144">
        <f>(G8/$G$7)*100</f>
        <v>42.775555279290373</v>
      </c>
      <c r="I8" s="159"/>
      <c r="J8" s="137"/>
    </row>
    <row r="9" spans="1:10" ht="15.75" customHeight="1">
      <c r="A9" s="142">
        <v>11</v>
      </c>
      <c r="B9" s="143" t="s">
        <v>63</v>
      </c>
      <c r="C9" s="280">
        <v>21.043777299999999</v>
      </c>
      <c r="D9" s="145">
        <v>142.31049999999999</v>
      </c>
      <c r="E9" s="144">
        <v>153.6009</v>
      </c>
      <c r="F9" s="144">
        <f t="shared" si="0"/>
        <v>7.9336380660597783</v>
      </c>
      <c r="G9" s="144">
        <f t="shared" ref="G9:G72" si="1">(E9-D9)/$D$7*C9</f>
        <v>1.8175415249760567</v>
      </c>
      <c r="H9" s="144">
        <f t="shared" ref="H9:H72" si="2">(G9/$G$7)*100</f>
        <v>36.701794333329325</v>
      </c>
      <c r="I9" s="159"/>
      <c r="J9" s="137"/>
    </row>
    <row r="10" spans="1:10" ht="15.75" customHeight="1">
      <c r="A10" s="142">
        <v>111</v>
      </c>
      <c r="B10" s="143" t="s">
        <v>174</v>
      </c>
      <c r="C10" s="280">
        <v>3.7578867599999999</v>
      </c>
      <c r="D10" s="145">
        <v>145.33279999999999</v>
      </c>
      <c r="E10" s="144">
        <v>150.22810000000001</v>
      </c>
      <c r="F10" s="144">
        <f t="shared" si="0"/>
        <v>3.3683380489469839</v>
      </c>
      <c r="G10" s="144">
        <f t="shared" si="1"/>
        <v>0.14072599146454365</v>
      </c>
      <c r="H10" s="144">
        <f t="shared" si="2"/>
        <v>2.8416937523083985</v>
      </c>
      <c r="I10" s="159"/>
      <c r="J10" s="137"/>
    </row>
    <row r="11" spans="1:10" ht="15.75" customHeight="1">
      <c r="A11" s="142">
        <v>112</v>
      </c>
      <c r="B11" s="143" t="s">
        <v>175</v>
      </c>
      <c r="C11" s="280">
        <v>5.2990781800000004</v>
      </c>
      <c r="D11" s="145">
        <v>146.1722</v>
      </c>
      <c r="E11" s="144">
        <v>158.3921</v>
      </c>
      <c r="F11" s="144">
        <f t="shared" si="0"/>
        <v>8.3599343787669653</v>
      </c>
      <c r="G11" s="144">
        <f t="shared" si="1"/>
        <v>0.4953581298617063</v>
      </c>
      <c r="H11" s="144">
        <f t="shared" si="2"/>
        <v>10.002815316016775</v>
      </c>
      <c r="I11" s="159"/>
      <c r="J11" s="137"/>
    </row>
    <row r="12" spans="1:10" ht="15.75" customHeight="1">
      <c r="A12" s="142">
        <v>113</v>
      </c>
      <c r="B12" s="143" t="s">
        <v>176</v>
      </c>
      <c r="C12" s="280">
        <v>0.87925302500000002</v>
      </c>
      <c r="D12" s="145">
        <v>136.11680000000001</v>
      </c>
      <c r="E12" s="144">
        <v>159.7236</v>
      </c>
      <c r="F12" s="144">
        <f t="shared" si="0"/>
        <v>17.343046560013153</v>
      </c>
      <c r="G12" s="144">
        <f t="shared" si="1"/>
        <v>0.15878238024640071</v>
      </c>
      <c r="H12" s="144">
        <f t="shared" si="2"/>
        <v>3.2063081824975979</v>
      </c>
      <c r="I12" s="159"/>
      <c r="J12" s="137"/>
    </row>
    <row r="13" spans="1:10" ht="15.75" customHeight="1">
      <c r="A13" s="142">
        <v>114</v>
      </c>
      <c r="B13" s="143" t="s">
        <v>177</v>
      </c>
      <c r="C13" s="280">
        <v>2.9905282500000001</v>
      </c>
      <c r="D13" s="145">
        <v>136.5018</v>
      </c>
      <c r="E13" s="144">
        <v>142.77250000000001</v>
      </c>
      <c r="F13" s="144">
        <f t="shared" si="0"/>
        <v>4.5938588355611376</v>
      </c>
      <c r="G13" s="144">
        <f t="shared" si="1"/>
        <v>0.1434548545560427</v>
      </c>
      <c r="H13" s="144">
        <f t="shared" si="2"/>
        <v>2.8967979524445306</v>
      </c>
      <c r="I13" s="159"/>
      <c r="J13" s="137"/>
    </row>
    <row r="14" spans="1:10" ht="15.75" customHeight="1">
      <c r="A14" s="142">
        <v>115</v>
      </c>
      <c r="B14" s="143" t="s">
        <v>178</v>
      </c>
      <c r="C14" s="280">
        <v>0.65911803199999996</v>
      </c>
      <c r="D14" s="145">
        <v>159.68969999999999</v>
      </c>
      <c r="E14" s="144">
        <v>159.89080000000001</v>
      </c>
      <c r="F14" s="144">
        <f t="shared" ref="F14:F77" si="3">(E14/D14-1)*100</f>
        <v>0.12593172884665105</v>
      </c>
      <c r="G14" s="144">
        <f t="shared" si="1"/>
        <v>1.0139734416182171E-3</v>
      </c>
      <c r="H14" s="144">
        <f t="shared" si="2"/>
        <v>2.0475265187803706E-2</v>
      </c>
      <c r="I14" s="159"/>
      <c r="J14" s="137"/>
    </row>
    <row r="15" spans="1:10" ht="15.75" customHeight="1">
      <c r="A15" s="142">
        <v>116</v>
      </c>
      <c r="B15" s="143" t="s">
        <v>179</v>
      </c>
      <c r="C15" s="280">
        <v>2.1186846799999999</v>
      </c>
      <c r="D15" s="145">
        <v>140.21340000000001</v>
      </c>
      <c r="E15" s="144">
        <v>167.70859999999999</v>
      </c>
      <c r="F15" s="144">
        <f t="shared" si="3"/>
        <v>19.609538032741504</v>
      </c>
      <c r="G15" s="144">
        <f t="shared" si="1"/>
        <v>0.44563010827202737</v>
      </c>
      <c r="H15" s="144">
        <f t="shared" si="2"/>
        <v>8.998652497226816</v>
      </c>
      <c r="I15" s="159"/>
      <c r="J15" s="137"/>
    </row>
    <row r="16" spans="1:10" ht="15.75" customHeight="1">
      <c r="A16" s="142">
        <v>117</v>
      </c>
      <c r="B16" s="143" t="s">
        <v>180</v>
      </c>
      <c r="C16" s="280">
        <v>3.42007577</v>
      </c>
      <c r="D16" s="145">
        <v>138.6848</v>
      </c>
      <c r="E16" s="144">
        <v>149.74189999999999</v>
      </c>
      <c r="F16" s="144">
        <f t="shared" si="3"/>
        <v>7.9728275917764435</v>
      </c>
      <c r="G16" s="144">
        <f t="shared" si="1"/>
        <v>0.28928657606574998</v>
      </c>
      <c r="H16" s="144">
        <f t="shared" si="2"/>
        <v>5.8415922124794664</v>
      </c>
      <c r="I16" s="159"/>
      <c r="J16" s="137"/>
    </row>
    <row r="17" spans="1:10" ht="15.75" customHeight="1">
      <c r="A17" s="142">
        <v>118</v>
      </c>
      <c r="B17" s="143" t="s">
        <v>181</v>
      </c>
      <c r="C17" s="280">
        <v>0.62855216700000005</v>
      </c>
      <c r="D17" s="145">
        <v>137.8107</v>
      </c>
      <c r="E17" s="144">
        <v>143.09559999999999</v>
      </c>
      <c r="F17" s="144">
        <f t="shared" si="3"/>
        <v>3.834898161028133</v>
      </c>
      <c r="G17" s="144">
        <f t="shared" si="1"/>
        <v>2.5411448320698093E-2</v>
      </c>
      <c r="H17" s="144">
        <f t="shared" si="2"/>
        <v>0.51313586906388531</v>
      </c>
      <c r="I17" s="159"/>
      <c r="J17" s="137"/>
    </row>
    <row r="18" spans="1:10" ht="15.75" customHeight="1">
      <c r="A18" s="142">
        <v>119</v>
      </c>
      <c r="B18" s="143" t="s">
        <v>64</v>
      </c>
      <c r="C18" s="280">
        <v>1.2906004</v>
      </c>
      <c r="D18" s="145">
        <v>141.69970000000001</v>
      </c>
      <c r="E18" s="144">
        <v>153.6405</v>
      </c>
      <c r="F18" s="144">
        <f t="shared" si="3"/>
        <v>8.4268350603423858</v>
      </c>
      <c r="G18" s="144">
        <f t="shared" si="1"/>
        <v>0.11788988277657925</v>
      </c>
      <c r="H18" s="144">
        <f t="shared" si="2"/>
        <v>2.3805619691155684</v>
      </c>
      <c r="I18" s="159"/>
      <c r="J18" s="137"/>
    </row>
    <row r="19" spans="1:10" ht="15.75" customHeight="1">
      <c r="A19" s="142">
        <v>12</v>
      </c>
      <c r="B19" s="143" t="s">
        <v>65</v>
      </c>
      <c r="C19" s="280">
        <v>2.7913507399999999</v>
      </c>
      <c r="D19" s="145">
        <v>138.2782</v>
      </c>
      <c r="E19" s="144">
        <v>152.36349999999999</v>
      </c>
      <c r="F19" s="144">
        <f t="shared" si="3"/>
        <v>10.186204333004035</v>
      </c>
      <c r="G19" s="144">
        <f t="shared" si="1"/>
        <v>0.30076813832501004</v>
      </c>
      <c r="H19" s="144">
        <f t="shared" si="2"/>
        <v>6.0734405256398656</v>
      </c>
      <c r="I19" s="159"/>
      <c r="J19" s="137"/>
    </row>
    <row r="20" spans="1:10" ht="15.75" customHeight="1">
      <c r="A20" s="142">
        <v>121</v>
      </c>
      <c r="B20" s="143" t="s">
        <v>182</v>
      </c>
      <c r="C20" s="280">
        <v>0.57634590900000005</v>
      </c>
      <c r="D20" s="145">
        <v>139.79179999999999</v>
      </c>
      <c r="E20" s="144">
        <v>178.2242</v>
      </c>
      <c r="F20" s="144">
        <f t="shared" si="3"/>
        <v>27.492599708995801</v>
      </c>
      <c r="G20" s="144">
        <f t="shared" si="1"/>
        <v>0.16944627922653877</v>
      </c>
      <c r="H20" s="144">
        <f t="shared" si="2"/>
        <v>3.4216453408415219</v>
      </c>
      <c r="I20" s="159"/>
    </row>
    <row r="21" spans="1:10" ht="15.75" customHeight="1">
      <c r="A21" s="128">
        <v>122</v>
      </c>
      <c r="B21" s="143" t="s">
        <v>66</v>
      </c>
      <c r="C21" s="280">
        <v>2.2150048299999998</v>
      </c>
      <c r="D21" s="145">
        <v>137.8844</v>
      </c>
      <c r="E21" s="144">
        <v>145.6345</v>
      </c>
      <c r="F21" s="144">
        <f t="shared" si="3"/>
        <v>5.6207228664011399</v>
      </c>
      <c r="G21" s="144">
        <f t="shared" si="1"/>
        <v>0.13132073356422794</v>
      </c>
      <c r="H21" s="144">
        <f t="shared" si="2"/>
        <v>2.6517724567749412</v>
      </c>
      <c r="I21" s="159"/>
    </row>
    <row r="22" spans="1:10" ht="15.75" customHeight="1">
      <c r="A22" s="142">
        <v>2</v>
      </c>
      <c r="B22" s="143" t="s">
        <v>67</v>
      </c>
      <c r="C22" s="280">
        <v>2.3590851499999999</v>
      </c>
      <c r="D22" s="145">
        <v>133.221</v>
      </c>
      <c r="E22" s="144">
        <v>140.0258</v>
      </c>
      <c r="F22" s="144">
        <f t="shared" si="3"/>
        <v>5.1079034086217723</v>
      </c>
      <c r="G22" s="144">
        <f t="shared" si="1"/>
        <v>0.12280337379109865</v>
      </c>
      <c r="H22" s="144">
        <f t="shared" si="2"/>
        <v>2.4797805752356834</v>
      </c>
      <c r="I22" s="159"/>
    </row>
    <row r="23" spans="1:10" ht="15.75" customHeight="1">
      <c r="A23" s="142">
        <v>21</v>
      </c>
      <c r="B23" s="143" t="s">
        <v>15</v>
      </c>
      <c r="C23" s="280">
        <v>2.13972074</v>
      </c>
      <c r="D23" s="145">
        <v>133.8732</v>
      </c>
      <c r="E23" s="144">
        <v>140.6696</v>
      </c>
      <c r="F23" s="144">
        <f t="shared" si="3"/>
        <v>5.0767442624812142</v>
      </c>
      <c r="G23" s="144">
        <f t="shared" si="1"/>
        <v>0.11124675293627706</v>
      </c>
      <c r="H23" s="144">
        <f t="shared" si="2"/>
        <v>2.2464165964910912</v>
      </c>
      <c r="I23" s="159"/>
    </row>
    <row r="24" spans="1:10" ht="15.75" customHeight="1">
      <c r="A24" s="142">
        <v>211</v>
      </c>
      <c r="B24" s="143" t="s">
        <v>68</v>
      </c>
      <c r="C24" s="280">
        <v>0.49473110799999998</v>
      </c>
      <c r="D24" s="145">
        <v>132.60310000000001</v>
      </c>
      <c r="E24" s="144">
        <v>136.33799999999999</v>
      </c>
      <c r="F24" s="144">
        <f t="shared" si="3"/>
        <v>2.8166008185328772</v>
      </c>
      <c r="G24" s="144">
        <f t="shared" si="1"/>
        <v>1.4135120448502861E-2</v>
      </c>
      <c r="H24" s="144">
        <f t="shared" si="2"/>
        <v>0.28543187401708686</v>
      </c>
      <c r="I24" s="159"/>
    </row>
    <row r="25" spans="1:10" ht="15.75" customHeight="1">
      <c r="A25" s="142">
        <v>212</v>
      </c>
      <c r="B25" s="143" t="s">
        <v>69</v>
      </c>
      <c r="C25" s="280">
        <v>0.121235303</v>
      </c>
      <c r="D25" s="145">
        <v>128.31370000000001</v>
      </c>
      <c r="E25" s="144">
        <v>132.74299999999999</v>
      </c>
      <c r="F25" s="144">
        <f t="shared" si="3"/>
        <v>3.4519306979690967</v>
      </c>
      <c r="G25" s="144">
        <f>(E25-D25)/$D$7*C25</f>
        <v>4.1078588728591823E-3</v>
      </c>
      <c r="H25" s="144">
        <f t="shared" si="2"/>
        <v>8.2950397242784218E-2</v>
      </c>
      <c r="I25" s="159"/>
    </row>
    <row r="26" spans="1:10" ht="15.75" customHeight="1">
      <c r="A26" s="142">
        <v>213</v>
      </c>
      <c r="B26" s="143" t="s">
        <v>70</v>
      </c>
      <c r="C26" s="280">
        <v>1.52375433</v>
      </c>
      <c r="D26" s="145">
        <v>134.72790000000001</v>
      </c>
      <c r="E26" s="144">
        <v>142.70670000000001</v>
      </c>
      <c r="F26" s="144">
        <f t="shared" si="3"/>
        <v>5.9221586620143318</v>
      </c>
      <c r="G26" s="144">
        <f t="shared" si="1"/>
        <v>9.3004475514481183E-2</v>
      </c>
      <c r="H26" s="144">
        <f t="shared" si="2"/>
        <v>1.8780484987580233</v>
      </c>
      <c r="I26" s="159"/>
    </row>
    <row r="27" spans="1:10" ht="15.75" customHeight="1">
      <c r="A27" s="142">
        <v>22</v>
      </c>
      <c r="B27" s="143" t="s">
        <v>71</v>
      </c>
      <c r="C27" s="280">
        <v>0.21936440700000001</v>
      </c>
      <c r="D27" s="145">
        <v>126.8591</v>
      </c>
      <c r="E27" s="144">
        <v>133.74590000000001</v>
      </c>
      <c r="F27" s="144">
        <f t="shared" si="3"/>
        <v>5.4287000301909805</v>
      </c>
      <c r="G27" s="144">
        <f t="shared" si="1"/>
        <v>1.1556729533878015E-2</v>
      </c>
      <c r="H27" s="144">
        <f t="shared" si="2"/>
        <v>0.23336617331144133</v>
      </c>
      <c r="I27" s="159"/>
    </row>
    <row r="28" spans="1:10" ht="15.75" customHeight="1">
      <c r="A28" s="142">
        <v>221</v>
      </c>
      <c r="B28" s="143" t="s">
        <v>71</v>
      </c>
      <c r="C28" s="280">
        <v>0.21936440700000001</v>
      </c>
      <c r="D28" s="145">
        <v>126.8591</v>
      </c>
      <c r="E28" s="144">
        <v>133.74590000000001</v>
      </c>
      <c r="F28" s="144">
        <f t="shared" si="3"/>
        <v>5.4287000301909805</v>
      </c>
      <c r="G28" s="144">
        <f t="shared" si="1"/>
        <v>1.1556729533878015E-2</v>
      </c>
      <c r="H28" s="144">
        <f t="shared" si="2"/>
        <v>0.23336617331144133</v>
      </c>
      <c r="I28" s="159"/>
    </row>
    <row r="29" spans="1:10" ht="15.75" customHeight="1">
      <c r="A29" s="142">
        <v>3</v>
      </c>
      <c r="B29" s="143" t="s">
        <v>72</v>
      </c>
      <c r="C29" s="280">
        <v>4.1869516899999999</v>
      </c>
      <c r="D29" s="145">
        <v>98.392099999999999</v>
      </c>
      <c r="E29" s="144">
        <v>96.993899999999996</v>
      </c>
      <c r="F29" s="144">
        <f t="shared" si="3"/>
        <v>-1.4210490476369575</v>
      </c>
      <c r="G29" s="144">
        <f t="shared" si="1"/>
        <v>-4.478355481830152E-2</v>
      </c>
      <c r="H29" s="144">
        <f t="shared" si="2"/>
        <v>-0.90431871617256965</v>
      </c>
      <c r="I29" s="159"/>
    </row>
    <row r="30" spans="1:10" ht="15.75" customHeight="1">
      <c r="A30" s="142">
        <v>31</v>
      </c>
      <c r="B30" s="143" t="s">
        <v>183</v>
      </c>
      <c r="C30" s="280">
        <v>2.9123703299999999</v>
      </c>
      <c r="D30" s="145">
        <v>101.87860000000001</v>
      </c>
      <c r="E30" s="144">
        <v>101.4164</v>
      </c>
      <c r="F30" s="144">
        <f t="shared" si="3"/>
        <v>-0.45367721974979291</v>
      </c>
      <c r="G30" s="144">
        <f t="shared" si="1"/>
        <v>-1.0297406454353734E-2</v>
      </c>
      <c r="H30" s="144">
        <f t="shared" si="2"/>
        <v>-0.20793653881408153</v>
      </c>
      <c r="I30" s="159"/>
    </row>
    <row r="31" spans="1:10" ht="15.75" customHeight="1">
      <c r="A31" s="142">
        <v>312</v>
      </c>
      <c r="B31" s="143" t="s">
        <v>184</v>
      </c>
      <c r="C31" s="280">
        <v>2.6880314799999998</v>
      </c>
      <c r="D31" s="145">
        <v>100.49469999999999</v>
      </c>
      <c r="E31" s="144">
        <v>99.702299999999994</v>
      </c>
      <c r="F31" s="144">
        <f t="shared" si="3"/>
        <v>-0.7884992939926172</v>
      </c>
      <c r="G31" s="144">
        <f t="shared" si="1"/>
        <v>-1.629409085503589E-2</v>
      </c>
      <c r="H31" s="144">
        <f t="shared" si="2"/>
        <v>-0.32902817525337552</v>
      </c>
      <c r="I31" s="159"/>
    </row>
    <row r="32" spans="1:10" ht="15.75" customHeight="1">
      <c r="A32" s="142">
        <v>313</v>
      </c>
      <c r="B32" s="143" t="s">
        <v>185</v>
      </c>
      <c r="C32" s="280">
        <v>8.1715649000000001E-2</v>
      </c>
      <c r="D32" s="145">
        <v>106.73690000000001</v>
      </c>
      <c r="E32" s="144">
        <v>106.6194</v>
      </c>
      <c r="F32" s="144">
        <f t="shared" si="3"/>
        <v>-0.11008376671985953</v>
      </c>
      <c r="G32" s="144">
        <f t="shared" si="1"/>
        <v>-7.3450442599566694E-5</v>
      </c>
      <c r="H32" s="144">
        <f t="shared" si="2"/>
        <v>-1.483191993655727E-3</v>
      </c>
      <c r="I32" s="159"/>
    </row>
    <row r="33" spans="1:9" ht="15.75" customHeight="1">
      <c r="A33" s="128">
        <v>314</v>
      </c>
      <c r="B33" s="143" t="s">
        <v>186</v>
      </c>
      <c r="C33" s="280">
        <v>0.14262319900000001</v>
      </c>
      <c r="D33" s="145">
        <v>125.17829999999999</v>
      </c>
      <c r="E33" s="144">
        <v>130.74010000000001</v>
      </c>
      <c r="F33" s="144">
        <f t="shared" si="3"/>
        <v>4.4431023587954366</v>
      </c>
      <c r="G33" s="144">
        <f t="shared" si="1"/>
        <v>6.0681576796423149E-3</v>
      </c>
      <c r="H33" s="144">
        <f t="shared" si="2"/>
        <v>0.12253490337359915</v>
      </c>
      <c r="I33" s="159"/>
    </row>
    <row r="34" spans="1:9" ht="15.75" customHeight="1">
      <c r="A34" s="142">
        <v>32</v>
      </c>
      <c r="B34" s="143" t="s">
        <v>73</v>
      </c>
      <c r="C34" s="280">
        <v>1.27458136</v>
      </c>
      <c r="D34" s="145">
        <v>90.4255</v>
      </c>
      <c r="E34" s="144">
        <v>86.8887</v>
      </c>
      <c r="F34" s="144">
        <f t="shared" si="3"/>
        <v>-3.9112860863362631</v>
      </c>
      <c r="G34" s="144">
        <f t="shared" si="1"/>
        <v>-3.4484932559538557E-2</v>
      </c>
      <c r="H34" s="144">
        <f t="shared" si="2"/>
        <v>-0.6963576265007696</v>
      </c>
      <c r="I34" s="159"/>
    </row>
    <row r="35" spans="1:9" ht="15.75" customHeight="1">
      <c r="A35" s="142">
        <v>321</v>
      </c>
      <c r="B35" s="143" t="s">
        <v>187</v>
      </c>
      <c r="C35" s="280">
        <v>1.27458136</v>
      </c>
      <c r="D35" s="145">
        <v>90.4255</v>
      </c>
      <c r="E35" s="144">
        <v>86.8887</v>
      </c>
      <c r="F35" s="144">
        <f t="shared" si="3"/>
        <v>-3.9112860863362631</v>
      </c>
      <c r="G35" s="144">
        <f t="shared" si="1"/>
        <v>-3.4484932559538557E-2</v>
      </c>
      <c r="H35" s="144">
        <f t="shared" si="2"/>
        <v>-0.6963576265007696</v>
      </c>
      <c r="I35" s="159"/>
    </row>
    <row r="36" spans="1:9" ht="15.75" customHeight="1">
      <c r="A36" s="142">
        <v>4</v>
      </c>
      <c r="B36" s="143" t="s">
        <v>16</v>
      </c>
      <c r="C36" s="280">
        <v>12.9784343</v>
      </c>
      <c r="D36" s="145">
        <v>123.2454</v>
      </c>
      <c r="E36" s="144">
        <v>126.28579999999999</v>
      </c>
      <c r="F36" s="144">
        <f t="shared" si="3"/>
        <v>2.466948056479179</v>
      </c>
      <c r="G36" s="144">
        <f t="shared" si="1"/>
        <v>0.3018591487715907</v>
      </c>
      <c r="H36" s="144">
        <f t="shared" si="2"/>
        <v>6.0954714066269968</v>
      </c>
      <c r="I36" s="159"/>
    </row>
    <row r="37" spans="1:9" ht="15.75" customHeight="1">
      <c r="A37" s="142">
        <v>41</v>
      </c>
      <c r="B37" s="143" t="s">
        <v>74</v>
      </c>
      <c r="C37" s="280">
        <v>6.3978329399999998</v>
      </c>
      <c r="D37" s="145">
        <v>114.9542</v>
      </c>
      <c r="E37" s="144">
        <v>118.0806</v>
      </c>
      <c r="F37" s="144">
        <f t="shared" si="3"/>
        <v>2.7196918424903238</v>
      </c>
      <c r="G37" s="144">
        <f t="shared" si="1"/>
        <v>0.15301314930628374</v>
      </c>
      <c r="H37" s="144">
        <f t="shared" si="2"/>
        <v>3.0898095361030165</v>
      </c>
      <c r="I37" s="159"/>
    </row>
    <row r="38" spans="1:9" ht="15.75" customHeight="1">
      <c r="A38" s="142">
        <v>411</v>
      </c>
      <c r="B38" s="143" t="s">
        <v>188</v>
      </c>
      <c r="C38" s="280">
        <v>6.3978329399999998</v>
      </c>
      <c r="D38" s="145">
        <v>114.9542</v>
      </c>
      <c r="E38" s="144">
        <v>118.0806</v>
      </c>
      <c r="F38" s="144">
        <f t="shared" si="3"/>
        <v>2.7196918424903238</v>
      </c>
      <c r="G38" s="144">
        <f t="shared" si="1"/>
        <v>0.15301314930628374</v>
      </c>
      <c r="H38" s="144">
        <f t="shared" si="2"/>
        <v>3.0898095361030165</v>
      </c>
      <c r="I38" s="159"/>
    </row>
    <row r="39" spans="1:9" ht="15.75" customHeight="1">
      <c r="A39" s="142">
        <v>43</v>
      </c>
      <c r="B39" s="143" t="s">
        <v>75</v>
      </c>
      <c r="C39" s="280">
        <v>0.96549262499999999</v>
      </c>
      <c r="D39" s="145">
        <v>136.56399999999999</v>
      </c>
      <c r="E39" s="144">
        <v>143.0926</v>
      </c>
      <c r="F39" s="144">
        <f t="shared" si="3"/>
        <v>4.7806156820245471</v>
      </c>
      <c r="G39" s="144">
        <f t="shared" si="1"/>
        <v>4.821923740131738E-2</v>
      </c>
      <c r="H39" s="144">
        <f t="shared" si="2"/>
        <v>0.97369579164715103</v>
      </c>
      <c r="I39" s="159"/>
    </row>
    <row r="40" spans="1:9" ht="15.75" customHeight="1">
      <c r="A40" s="142">
        <v>431</v>
      </c>
      <c r="B40" s="143" t="s">
        <v>189</v>
      </c>
      <c r="C40" s="280">
        <v>0.33477081199999997</v>
      </c>
      <c r="D40" s="145">
        <v>135.63560000000001</v>
      </c>
      <c r="E40" s="144">
        <v>135.76220000000001</v>
      </c>
      <c r="F40" s="144">
        <f t="shared" si="3"/>
        <v>9.3338327105851882E-2</v>
      </c>
      <c r="G40" s="144">
        <f t="shared" si="1"/>
        <v>3.2421462951300278E-4</v>
      </c>
      <c r="H40" s="144">
        <f t="shared" si="2"/>
        <v>6.5468978225405594E-3</v>
      </c>
      <c r="I40" s="159"/>
    </row>
    <row r="41" spans="1:9" ht="15.75" customHeight="1">
      <c r="A41" s="128">
        <v>432</v>
      </c>
      <c r="B41" s="143" t="s">
        <v>190</v>
      </c>
      <c r="C41" s="280">
        <v>0.63072181299999996</v>
      </c>
      <c r="D41" s="145">
        <v>137.05680000000001</v>
      </c>
      <c r="E41" s="144">
        <v>146.98339999999999</v>
      </c>
      <c r="F41" s="144">
        <f t="shared" si="3"/>
        <v>7.2426906216984444</v>
      </c>
      <c r="G41" s="144">
        <f t="shared" si="1"/>
        <v>4.7894946137037271E-2</v>
      </c>
      <c r="H41" s="144">
        <f t="shared" si="2"/>
        <v>0.96714734633123967</v>
      </c>
      <c r="I41" s="159"/>
    </row>
    <row r="42" spans="1:9" ht="15.75" customHeight="1">
      <c r="A42" s="128">
        <v>44</v>
      </c>
      <c r="B42" s="143" t="s">
        <v>76</v>
      </c>
      <c r="C42" s="282">
        <v>0.82742868800000002</v>
      </c>
      <c r="D42" s="145">
        <v>117.4744</v>
      </c>
      <c r="E42" s="144">
        <v>120.8338</v>
      </c>
      <c r="F42" s="144">
        <f t="shared" si="3"/>
        <v>2.8596868764598771</v>
      </c>
      <c r="G42" s="144">
        <f t="shared" si="1"/>
        <v>2.1263933649020017E-2</v>
      </c>
      <c r="H42" s="144">
        <f t="shared" si="2"/>
        <v>0.42938469838491006</v>
      </c>
      <c r="I42" s="159"/>
    </row>
    <row r="43" spans="1:9" ht="15.75" customHeight="1">
      <c r="A43" s="128">
        <v>441</v>
      </c>
      <c r="B43" s="143" t="s">
        <v>77</v>
      </c>
      <c r="C43" s="280">
        <v>0.38879435499999998</v>
      </c>
      <c r="D43" s="145">
        <v>118.8349</v>
      </c>
      <c r="E43" s="144">
        <v>119.1887</v>
      </c>
      <c r="F43" s="144">
        <f t="shared" si="3"/>
        <v>0.2977239851255753</v>
      </c>
      <c r="G43" s="144">
        <f t="shared" si="1"/>
        <v>1.0522746194136954E-3</v>
      </c>
      <c r="H43" s="144">
        <f t="shared" si="2"/>
        <v>2.1248684628766657E-2</v>
      </c>
      <c r="I43" s="159"/>
    </row>
    <row r="44" spans="1:9" ht="15.75" customHeight="1">
      <c r="A44" s="142">
        <v>442</v>
      </c>
      <c r="B44" s="143" t="s">
        <v>78</v>
      </c>
      <c r="C44" s="280">
        <v>0.106279659</v>
      </c>
      <c r="D44" s="145">
        <v>144.4539</v>
      </c>
      <c r="E44" s="144">
        <v>148.9254</v>
      </c>
      <c r="F44" s="144">
        <f t="shared" si="3"/>
        <v>3.0954512131551981</v>
      </c>
      <c r="G44" s="144">
        <f t="shared" si="1"/>
        <v>3.6354209331137762E-3</v>
      </c>
      <c r="H44" s="144">
        <f t="shared" si="2"/>
        <v>7.3410411574491921E-2</v>
      </c>
      <c r="I44" s="159"/>
    </row>
    <row r="45" spans="1:9" ht="15.75" customHeight="1">
      <c r="A45" s="142">
        <v>443</v>
      </c>
      <c r="B45" s="143" t="s">
        <v>191</v>
      </c>
      <c r="C45" s="280">
        <v>0.33235467400000002</v>
      </c>
      <c r="D45" s="145">
        <v>107.25539999999999</v>
      </c>
      <c r="E45" s="144">
        <v>113.7752</v>
      </c>
      <c r="F45" s="144">
        <f t="shared" si="3"/>
        <v>6.0787615355497371</v>
      </c>
      <c r="G45" s="144">
        <f t="shared" si="1"/>
        <v>1.6576291699524189E-2</v>
      </c>
      <c r="H45" s="144">
        <f t="shared" si="2"/>
        <v>0.33472668459292854</v>
      </c>
      <c r="I45" s="159"/>
    </row>
    <row r="46" spans="1:9" ht="15.75" customHeight="1">
      <c r="A46" s="147">
        <v>45</v>
      </c>
      <c r="B46" s="147" t="s">
        <v>79</v>
      </c>
      <c r="C46" s="283">
        <v>4.7876800299999998</v>
      </c>
      <c r="D46" s="148">
        <v>132.63659999999999</v>
      </c>
      <c r="E46" s="148">
        <v>134.80330000000001</v>
      </c>
      <c r="F46" s="148">
        <f t="shared" si="3"/>
        <v>1.6335611739143108</v>
      </c>
      <c r="G46" s="148">
        <f t="shared" si="1"/>
        <v>7.9355168380235111E-2</v>
      </c>
      <c r="H46" s="148">
        <f t="shared" si="2"/>
        <v>1.6024267006589987</v>
      </c>
      <c r="I46" s="159"/>
    </row>
    <row r="47" spans="1:9" ht="15.75" customHeight="1">
      <c r="A47" s="142">
        <v>451</v>
      </c>
      <c r="B47" s="143" t="s">
        <v>80</v>
      </c>
      <c r="C47" s="280">
        <v>2.57638408</v>
      </c>
      <c r="D47" s="145">
        <v>131.59399999999999</v>
      </c>
      <c r="E47" s="144">
        <v>131.59399999999999</v>
      </c>
      <c r="F47" s="144">
        <f t="shared" si="3"/>
        <v>0</v>
      </c>
      <c r="G47" s="144">
        <f t="shared" si="1"/>
        <v>0</v>
      </c>
      <c r="H47" s="144">
        <f t="shared" si="2"/>
        <v>0</v>
      </c>
      <c r="I47" s="159"/>
    </row>
    <row r="48" spans="1:9" ht="15.75" customHeight="1">
      <c r="A48" s="142">
        <v>452</v>
      </c>
      <c r="B48" s="143" t="s">
        <v>81</v>
      </c>
      <c r="C48" s="280">
        <v>2.0601282599999999</v>
      </c>
      <c r="D48" s="145">
        <v>133.4727</v>
      </c>
      <c r="E48" s="144">
        <v>138.10300000000001</v>
      </c>
      <c r="F48" s="144">
        <f t="shared" si="3"/>
        <v>3.4690989243493231</v>
      </c>
      <c r="G48" s="144">
        <f t="shared" si="1"/>
        <v>7.2971740657869447E-2</v>
      </c>
      <c r="H48" s="144">
        <f t="shared" si="2"/>
        <v>1.4735255183814582</v>
      </c>
      <c r="I48" s="159"/>
    </row>
    <row r="49" spans="1:9" ht="15.75" customHeight="1">
      <c r="A49" s="142">
        <v>453</v>
      </c>
      <c r="B49" s="143" t="s">
        <v>192</v>
      </c>
      <c r="C49" s="280">
        <v>2.5658726999999999E-2</v>
      </c>
      <c r="D49" s="145">
        <v>144.49469999999999</v>
      </c>
      <c r="E49" s="144">
        <v>148.65219999999999</v>
      </c>
      <c r="F49" s="144">
        <f t="shared" si="3"/>
        <v>2.8772681627769137</v>
      </c>
      <c r="G49" s="144">
        <f t="shared" si="1"/>
        <v>8.1605359084545802E-4</v>
      </c>
      <c r="H49" s="144">
        <f t="shared" si="2"/>
        <v>1.6478650223179597E-2</v>
      </c>
      <c r="I49" s="159"/>
    </row>
    <row r="50" spans="1:9" ht="15.75" customHeight="1">
      <c r="A50" s="142">
        <v>454</v>
      </c>
      <c r="B50" s="143" t="s">
        <v>193</v>
      </c>
      <c r="C50" s="280">
        <v>0.125508962</v>
      </c>
      <c r="D50" s="145">
        <v>137.88900000000001</v>
      </c>
      <c r="E50" s="144">
        <v>143.68969999999999</v>
      </c>
      <c r="F50" s="144">
        <f t="shared" si="3"/>
        <v>4.2067895191059357</v>
      </c>
      <c r="G50" s="144">
        <f t="shared" si="1"/>
        <v>5.5693749779945007E-3</v>
      </c>
      <c r="H50" s="144">
        <f t="shared" si="2"/>
        <v>0.11246293534351985</v>
      </c>
      <c r="I50" s="159"/>
    </row>
    <row r="51" spans="1:9" ht="15.75" customHeight="1">
      <c r="A51" s="142">
        <v>5</v>
      </c>
      <c r="B51" s="143" t="s">
        <v>82</v>
      </c>
      <c r="C51" s="280">
        <v>5.1732337099999999</v>
      </c>
      <c r="D51" s="145">
        <v>122.59610000000001</v>
      </c>
      <c r="E51" s="144">
        <v>124.848</v>
      </c>
      <c r="F51" s="144">
        <f t="shared" si="3"/>
        <v>1.8368447283396483</v>
      </c>
      <c r="G51" s="144">
        <f t="shared" si="1"/>
        <v>8.9117401749888747E-2</v>
      </c>
      <c r="H51" s="144">
        <f t="shared" si="2"/>
        <v>1.7995564368677559</v>
      </c>
      <c r="I51" s="159"/>
    </row>
    <row r="52" spans="1:9" ht="15.75" customHeight="1">
      <c r="A52" s="142">
        <v>51</v>
      </c>
      <c r="B52" s="143" t="s">
        <v>83</v>
      </c>
      <c r="C52" s="280">
        <v>0.49294528100000001</v>
      </c>
      <c r="D52" s="145">
        <v>139.3561</v>
      </c>
      <c r="E52" s="144">
        <v>142.429</v>
      </c>
      <c r="F52" s="144">
        <f t="shared" si="3"/>
        <v>2.2050703198496446</v>
      </c>
      <c r="G52" s="144">
        <f t="shared" si="1"/>
        <v>1.1587732393819725E-2</v>
      </c>
      <c r="H52" s="144">
        <f t="shared" si="2"/>
        <v>0.23399221710394322</v>
      </c>
      <c r="I52" s="159"/>
    </row>
    <row r="53" spans="1:9" ht="15.75" customHeight="1">
      <c r="A53" s="142">
        <v>511</v>
      </c>
      <c r="B53" s="143" t="s">
        <v>84</v>
      </c>
      <c r="C53" s="280">
        <v>0.43024714200000003</v>
      </c>
      <c r="D53" s="145">
        <v>126.53740000000001</v>
      </c>
      <c r="E53" s="144">
        <v>126.1075</v>
      </c>
      <c r="F53" s="144">
        <f t="shared" si="3"/>
        <v>-0.33974145193437222</v>
      </c>
      <c r="G53" s="144">
        <f t="shared" si="1"/>
        <v>-1.4149358665396911E-3</v>
      </c>
      <c r="H53" s="144">
        <f t="shared" si="2"/>
        <v>-2.857193877277437E-2</v>
      </c>
      <c r="I53" s="159"/>
    </row>
    <row r="54" spans="1:9" ht="15.75" customHeight="1">
      <c r="A54" s="142">
        <v>513</v>
      </c>
      <c r="B54" s="143" t="s">
        <v>85</v>
      </c>
      <c r="C54" s="280">
        <v>6.2698139E-2</v>
      </c>
      <c r="D54" s="145">
        <v>227.32069999999999</v>
      </c>
      <c r="E54" s="144">
        <v>254.43039999999999</v>
      </c>
      <c r="F54" s="144">
        <f t="shared" si="3"/>
        <v>11.925750712539607</v>
      </c>
      <c r="G54" s="144">
        <f t="shared" si="1"/>
        <v>1.3002614241277674E-2</v>
      </c>
      <c r="H54" s="144">
        <f t="shared" si="2"/>
        <v>0.26256306506410015</v>
      </c>
      <c r="I54" s="159"/>
    </row>
    <row r="55" spans="1:9" ht="15.75" customHeight="1">
      <c r="A55" s="142">
        <v>52</v>
      </c>
      <c r="B55" s="143" t="s">
        <v>86</v>
      </c>
      <c r="C55" s="280">
        <v>0.276162403</v>
      </c>
      <c r="D55" s="145">
        <v>106.7953</v>
      </c>
      <c r="E55" s="144">
        <v>106.4113</v>
      </c>
      <c r="F55" s="144">
        <f t="shared" si="3"/>
        <v>-0.35956638541209118</v>
      </c>
      <c r="G55" s="144">
        <f t="shared" si="1"/>
        <v>-8.1123577325928375E-4</v>
      </c>
      <c r="H55" s="144">
        <f t="shared" si="2"/>
        <v>-1.63813635599846E-2</v>
      </c>
      <c r="I55" s="159"/>
    </row>
    <row r="56" spans="1:9" ht="15.75" customHeight="1">
      <c r="A56" s="142">
        <v>521</v>
      </c>
      <c r="B56" s="143" t="s">
        <v>87</v>
      </c>
      <c r="C56" s="280">
        <v>0.276162403</v>
      </c>
      <c r="D56" s="145">
        <v>106.7953</v>
      </c>
      <c r="E56" s="144">
        <v>106.4113</v>
      </c>
      <c r="F56" s="144">
        <f t="shared" si="3"/>
        <v>-0.35956638541209118</v>
      </c>
      <c r="G56" s="144">
        <f t="shared" si="1"/>
        <v>-8.1123577325928375E-4</v>
      </c>
      <c r="H56" s="144">
        <f t="shared" si="2"/>
        <v>-1.63813635599846E-2</v>
      </c>
      <c r="I56" s="159"/>
    </row>
    <row r="57" spans="1:9" ht="15.75" customHeight="1">
      <c r="A57" s="142">
        <v>53</v>
      </c>
      <c r="B57" s="143" t="s">
        <v>88</v>
      </c>
      <c r="C57" s="280">
        <v>0.71722896300000005</v>
      </c>
      <c r="D57" s="145">
        <v>114.7907</v>
      </c>
      <c r="E57" s="144">
        <v>110.11790000000001</v>
      </c>
      <c r="F57" s="144">
        <f t="shared" si="3"/>
        <v>-4.0707130455690184</v>
      </c>
      <c r="G57" s="144">
        <f t="shared" si="1"/>
        <v>-2.563812899363838E-2</v>
      </c>
      <c r="H57" s="144">
        <f t="shared" si="2"/>
        <v>-0.51771325413227032</v>
      </c>
      <c r="I57" s="159"/>
    </row>
    <row r="58" spans="1:9" ht="15.75" customHeight="1">
      <c r="A58" s="142">
        <v>531</v>
      </c>
      <c r="B58" s="143" t="s">
        <v>194</v>
      </c>
      <c r="C58" s="280">
        <v>0.63290397799999998</v>
      </c>
      <c r="D58" s="145">
        <v>114.1228</v>
      </c>
      <c r="E58" s="144">
        <v>109.2043</v>
      </c>
      <c r="F58" s="144">
        <f t="shared" si="3"/>
        <v>-4.3098311643247396</v>
      </c>
      <c r="G58" s="144">
        <f t="shared" si="1"/>
        <v>-2.3813422498072216E-2</v>
      </c>
      <c r="H58" s="144">
        <f t="shared" si="2"/>
        <v>-0.48086677684485779</v>
      </c>
      <c r="I58" s="159"/>
    </row>
    <row r="59" spans="1:9" ht="15.75" customHeight="1">
      <c r="A59" s="142">
        <v>532</v>
      </c>
      <c r="B59" s="143" t="s">
        <v>195</v>
      </c>
      <c r="C59" s="280">
        <v>8.4324985000000005E-2</v>
      </c>
      <c r="D59" s="145">
        <v>119.8035</v>
      </c>
      <c r="E59" s="144">
        <v>116.9752</v>
      </c>
      <c r="F59" s="144">
        <f t="shared" si="3"/>
        <v>-2.3607824479251471</v>
      </c>
      <c r="G59" s="144">
        <f t="shared" si="1"/>
        <v>-1.8244546065352418E-3</v>
      </c>
      <c r="H59" s="144">
        <f t="shared" si="2"/>
        <v>-3.6841390867498242E-2</v>
      </c>
      <c r="I59" s="159"/>
    </row>
    <row r="60" spans="1:9" ht="15.75" customHeight="1">
      <c r="A60" s="142">
        <v>54</v>
      </c>
      <c r="B60" s="143" t="s">
        <v>89</v>
      </c>
      <c r="C60" s="280">
        <v>7.8511948999999998E-2</v>
      </c>
      <c r="D60" s="145">
        <v>115.9781</v>
      </c>
      <c r="E60" s="144">
        <v>115.94710000000001</v>
      </c>
      <c r="F60" s="144">
        <f t="shared" si="3"/>
        <v>-2.6729184216667257E-2</v>
      </c>
      <c r="G60" s="144">
        <f t="shared" si="1"/>
        <v>-1.8618674890220071E-5</v>
      </c>
      <c r="H60" s="144">
        <f t="shared" si="2"/>
        <v>-3.7596872874141456E-4</v>
      </c>
      <c r="I60" s="159"/>
    </row>
    <row r="61" spans="1:9" ht="15.75" customHeight="1">
      <c r="A61" s="142">
        <v>541</v>
      </c>
      <c r="B61" s="143" t="s">
        <v>196</v>
      </c>
      <c r="C61" s="280">
        <v>7.8511948999999998E-2</v>
      </c>
      <c r="D61" s="145">
        <v>115.9781</v>
      </c>
      <c r="E61" s="144">
        <v>115.94710000000001</v>
      </c>
      <c r="F61" s="144">
        <f t="shared" si="3"/>
        <v>-2.6729184216667257E-2</v>
      </c>
      <c r="G61" s="144">
        <f t="shared" si="1"/>
        <v>-1.8618674890220071E-5</v>
      </c>
      <c r="H61" s="144">
        <f t="shared" si="2"/>
        <v>-3.7596872874141456E-4</v>
      </c>
      <c r="I61" s="159"/>
    </row>
    <row r="62" spans="1:9" ht="15.75" customHeight="1">
      <c r="A62" s="142">
        <v>55</v>
      </c>
      <c r="B62" s="143" t="s">
        <v>197</v>
      </c>
      <c r="C62" s="280">
        <v>6.0344713000000001E-2</v>
      </c>
      <c r="D62" s="145">
        <v>117.8053</v>
      </c>
      <c r="E62" s="144">
        <v>118.3502</v>
      </c>
      <c r="F62" s="144">
        <f t="shared" si="3"/>
        <v>0.46254285673055229</v>
      </c>
      <c r="G62" s="144">
        <f t="shared" si="1"/>
        <v>2.5154017008384129E-4</v>
      </c>
      <c r="H62" s="144">
        <f t="shared" si="2"/>
        <v>5.079375333176742E-3</v>
      </c>
      <c r="I62" s="159"/>
    </row>
    <row r="63" spans="1:9" ht="15.75" customHeight="1">
      <c r="A63" s="142">
        <v>552</v>
      </c>
      <c r="B63" s="143" t="s">
        <v>198</v>
      </c>
      <c r="C63" s="280">
        <v>6.0344713000000001E-2</v>
      </c>
      <c r="D63" s="145">
        <v>117.8053</v>
      </c>
      <c r="E63" s="144">
        <v>118.3502</v>
      </c>
      <c r="F63" s="144">
        <f t="shared" si="3"/>
        <v>0.46254285673055229</v>
      </c>
      <c r="G63" s="144">
        <f t="shared" si="1"/>
        <v>2.5154017008384129E-4</v>
      </c>
      <c r="H63" s="144">
        <f t="shared" si="2"/>
        <v>5.079375333176742E-3</v>
      </c>
      <c r="I63" s="159"/>
    </row>
    <row r="64" spans="1:9" ht="15.75" customHeight="1">
      <c r="A64" s="142">
        <v>56</v>
      </c>
      <c r="B64" s="143" t="s">
        <v>90</v>
      </c>
      <c r="C64" s="280">
        <v>3.5480404000000001</v>
      </c>
      <c r="D64" s="145">
        <v>123.3032</v>
      </c>
      <c r="E64" s="144">
        <v>127.1255</v>
      </c>
      <c r="F64" s="144">
        <f t="shared" si="3"/>
        <v>3.0999195479111563</v>
      </c>
      <c r="G64" s="144">
        <f t="shared" si="1"/>
        <v>0.10374439513563129</v>
      </c>
      <c r="H64" s="144">
        <f t="shared" si="2"/>
        <v>2.0949207493643094</v>
      </c>
      <c r="I64" s="159"/>
    </row>
    <row r="65" spans="1:9" ht="15.75" customHeight="1">
      <c r="A65" s="142">
        <v>561</v>
      </c>
      <c r="B65" s="143" t="s">
        <v>199</v>
      </c>
      <c r="C65" s="280">
        <v>1.81724252</v>
      </c>
      <c r="D65" s="145">
        <v>133.22409999999999</v>
      </c>
      <c r="E65" s="144">
        <v>138.37950000000001</v>
      </c>
      <c r="F65" s="144">
        <f t="shared" si="3"/>
        <v>3.8697202683298348</v>
      </c>
      <c r="G65" s="144">
        <f t="shared" si="1"/>
        <v>7.1668212600847797E-2</v>
      </c>
      <c r="H65" s="144">
        <f t="shared" si="2"/>
        <v>1.4472032484365318</v>
      </c>
      <c r="I65" s="159"/>
    </row>
    <row r="66" spans="1:9" ht="15.75" customHeight="1">
      <c r="A66" s="142">
        <v>562</v>
      </c>
      <c r="B66" s="143" t="s">
        <v>200</v>
      </c>
      <c r="C66" s="280">
        <v>1.7307978799999999</v>
      </c>
      <c r="D66" s="145">
        <v>112.88679999999999</v>
      </c>
      <c r="E66" s="144">
        <v>115.3094</v>
      </c>
      <c r="F66" s="144">
        <f t="shared" si="3"/>
        <v>2.1460436472643396</v>
      </c>
      <c r="G66" s="144">
        <f t="shared" si="1"/>
        <v>3.2075939352886308E-2</v>
      </c>
      <c r="H66" s="144">
        <f t="shared" si="2"/>
        <v>0.64771259033186945</v>
      </c>
      <c r="I66" s="159"/>
    </row>
    <row r="67" spans="1:9" ht="15.75" customHeight="1">
      <c r="A67" s="142">
        <v>6</v>
      </c>
      <c r="B67" s="143" t="s">
        <v>17</v>
      </c>
      <c r="C67" s="280">
        <v>4.7407437400000001</v>
      </c>
      <c r="D67" s="145">
        <v>127.5579</v>
      </c>
      <c r="E67" s="144">
        <v>134.06270000000001</v>
      </c>
      <c r="F67" s="144">
        <f t="shared" si="3"/>
        <v>5.099488154006937</v>
      </c>
      <c r="G67" s="144">
        <f t="shared" si="1"/>
        <v>0.23590206606349362</v>
      </c>
      <c r="H67" s="144">
        <f t="shared" si="2"/>
        <v>4.7635935644352703</v>
      </c>
      <c r="I67" s="159"/>
    </row>
    <row r="68" spans="1:9" ht="15.75" customHeight="1">
      <c r="A68" s="142">
        <v>61</v>
      </c>
      <c r="B68" s="143" t="s">
        <v>91</v>
      </c>
      <c r="C68" s="280">
        <v>3.3125024700000001</v>
      </c>
      <c r="D68" s="145">
        <v>126.66849999999999</v>
      </c>
      <c r="E68" s="144">
        <v>133.14859999999999</v>
      </c>
      <c r="F68" s="144">
        <f t="shared" si="3"/>
        <v>5.1157943766603431</v>
      </c>
      <c r="G68" s="144">
        <f t="shared" si="1"/>
        <v>0.16420608050555358</v>
      </c>
      <c r="H68" s="144">
        <f t="shared" si="2"/>
        <v>3.3158294939513624</v>
      </c>
      <c r="I68" s="159"/>
    </row>
    <row r="69" spans="1:9" ht="15.75" customHeight="1">
      <c r="A69" s="142">
        <v>611</v>
      </c>
      <c r="B69" s="143" t="s">
        <v>201</v>
      </c>
      <c r="C69" s="280">
        <v>3.2116952200000002</v>
      </c>
      <c r="D69" s="145">
        <v>127.1799</v>
      </c>
      <c r="E69" s="144">
        <v>133.82320000000001</v>
      </c>
      <c r="F69" s="144">
        <f t="shared" si="3"/>
        <v>5.2235455445396761</v>
      </c>
      <c r="G69" s="144">
        <f t="shared" si="1"/>
        <v>0.16321854664881225</v>
      </c>
      <c r="H69" s="144">
        <f t="shared" si="2"/>
        <v>3.2958881258949724</v>
      </c>
      <c r="I69" s="159"/>
    </row>
    <row r="70" spans="1:9" ht="15.75" customHeight="1">
      <c r="A70" s="142">
        <v>613</v>
      </c>
      <c r="B70" s="143" t="s">
        <v>92</v>
      </c>
      <c r="C70" s="280">
        <v>0.10080725</v>
      </c>
      <c r="D70" s="145">
        <v>110.3728</v>
      </c>
      <c r="E70" s="144">
        <v>111.6585</v>
      </c>
      <c r="F70" s="144">
        <f t="shared" si="3"/>
        <v>1.1648703303712482</v>
      </c>
      <c r="G70" s="144">
        <f t="shared" si="1"/>
        <v>9.9147719071771044E-4</v>
      </c>
      <c r="H70" s="144">
        <f t="shared" si="2"/>
        <v>2.0020996186256551E-2</v>
      </c>
      <c r="I70" s="159"/>
    </row>
    <row r="71" spans="1:9" ht="15.75" customHeight="1">
      <c r="A71" s="142">
        <v>62</v>
      </c>
      <c r="B71" s="143" t="s">
        <v>93</v>
      </c>
      <c r="C71" s="280">
        <v>0.91730788100000005</v>
      </c>
      <c r="D71" s="145">
        <v>135.37190000000001</v>
      </c>
      <c r="E71" s="144">
        <v>142.92920000000001</v>
      </c>
      <c r="F71" s="144">
        <f t="shared" si="3"/>
        <v>5.5826209132028071</v>
      </c>
      <c r="G71" s="144">
        <f t="shared" si="1"/>
        <v>5.3031401363820153E-2</v>
      </c>
      <c r="H71" s="144">
        <f t="shared" si="2"/>
        <v>1.07086829066467</v>
      </c>
      <c r="I71" s="159"/>
    </row>
    <row r="72" spans="1:9" ht="15.75" customHeight="1">
      <c r="A72" s="142">
        <v>621</v>
      </c>
      <c r="B72" s="143" t="s">
        <v>94</v>
      </c>
      <c r="C72" s="280">
        <v>0.37477136700000002</v>
      </c>
      <c r="D72" s="145">
        <v>143.91120000000001</v>
      </c>
      <c r="E72" s="144">
        <v>154.47300000000001</v>
      </c>
      <c r="F72" s="144">
        <f t="shared" si="3"/>
        <v>7.3391091172889888</v>
      </c>
      <c r="G72" s="144">
        <f t="shared" si="1"/>
        <v>3.0279985189796681E-2</v>
      </c>
      <c r="H72" s="144">
        <f t="shared" si="2"/>
        <v>0.6114467117150546</v>
      </c>
      <c r="I72" s="159"/>
    </row>
    <row r="73" spans="1:9" ht="15.75" customHeight="1">
      <c r="A73" s="142">
        <v>622</v>
      </c>
      <c r="B73" s="143" t="s">
        <v>95</v>
      </c>
      <c r="C73" s="280">
        <v>9.1662175999999998E-2</v>
      </c>
      <c r="D73" s="145">
        <v>135.72929999999999</v>
      </c>
      <c r="E73" s="144">
        <v>142.29499999999999</v>
      </c>
      <c r="F73" s="144">
        <f t="shared" si="3"/>
        <v>4.8373490469633351</v>
      </c>
      <c r="G73" s="144">
        <f t="shared" ref="G73:G136" si="4">(E73-D73)/$D$7*C73</f>
        <v>4.6038642995302947E-3</v>
      </c>
      <c r="H73" s="144">
        <f t="shared" ref="H73:H136" si="5">(G73/$G$7)*100</f>
        <v>9.2966283486779794E-2</v>
      </c>
      <c r="I73" s="159"/>
    </row>
    <row r="74" spans="1:9" ht="15.75" customHeight="1">
      <c r="A74" s="142">
        <v>623</v>
      </c>
      <c r="B74" s="143" t="s">
        <v>202</v>
      </c>
      <c r="C74" s="280">
        <v>0.45087433900000001</v>
      </c>
      <c r="D74" s="145">
        <v>128.2013</v>
      </c>
      <c r="E74" s="144">
        <v>133.46279999999999</v>
      </c>
      <c r="F74" s="144">
        <f t="shared" si="3"/>
        <v>4.1040925482034751</v>
      </c>
      <c r="G74" s="144">
        <f t="shared" si="4"/>
        <v>1.8147483473696033E-2</v>
      </c>
      <c r="H74" s="144">
        <f t="shared" si="5"/>
        <v>0.36645391423882806</v>
      </c>
      <c r="I74" s="159"/>
    </row>
    <row r="75" spans="1:9" ht="15.75" customHeight="1">
      <c r="A75" s="142">
        <v>63</v>
      </c>
      <c r="B75" s="143" t="s">
        <v>96</v>
      </c>
      <c r="C75" s="280">
        <v>0.51093338600000004</v>
      </c>
      <c r="D75" s="145">
        <v>119.2953</v>
      </c>
      <c r="E75" s="144">
        <v>124.0707</v>
      </c>
      <c r="F75" s="144">
        <f t="shared" si="3"/>
        <v>4.0030076624980149</v>
      </c>
      <c r="G75" s="144">
        <f t="shared" si="4"/>
        <v>1.8664886488153502E-2</v>
      </c>
      <c r="H75" s="144">
        <f t="shared" si="5"/>
        <v>0.37690188407231662</v>
      </c>
      <c r="I75" s="159"/>
    </row>
    <row r="76" spans="1:9" ht="15.75" customHeight="1">
      <c r="A76" s="142">
        <v>631</v>
      </c>
      <c r="B76" s="143" t="s">
        <v>97</v>
      </c>
      <c r="C76" s="280">
        <v>0.51093338600000004</v>
      </c>
      <c r="D76" s="145">
        <v>119.2953</v>
      </c>
      <c r="E76" s="144">
        <v>124.0707</v>
      </c>
      <c r="F76" s="144">
        <f t="shared" si="3"/>
        <v>4.0030076624980149</v>
      </c>
      <c r="G76" s="144">
        <f t="shared" si="4"/>
        <v>1.8664886488153502E-2</v>
      </c>
      <c r="H76" s="144">
        <f t="shared" si="5"/>
        <v>0.37690188407231662</v>
      </c>
      <c r="I76" s="159"/>
    </row>
    <row r="77" spans="1:9" ht="15.75" customHeight="1">
      <c r="A77" s="142">
        <v>7</v>
      </c>
      <c r="B77" s="142" t="s">
        <v>18</v>
      </c>
      <c r="C77" s="280">
        <v>16.646278200000001</v>
      </c>
      <c r="D77" s="145">
        <v>135.9691</v>
      </c>
      <c r="E77" s="144">
        <v>140.65690000000001</v>
      </c>
      <c r="F77" s="144">
        <f t="shared" si="3"/>
        <v>3.4476951013134638</v>
      </c>
      <c r="G77" s="144">
        <f t="shared" si="4"/>
        <v>0.59694942661495509</v>
      </c>
      <c r="H77" s="144">
        <f t="shared" si="5"/>
        <v>12.054258338504573</v>
      </c>
      <c r="I77" s="159"/>
    </row>
    <row r="78" spans="1:9" ht="15.75" customHeight="1">
      <c r="A78" s="142">
        <v>71</v>
      </c>
      <c r="B78" s="143" t="s">
        <v>98</v>
      </c>
      <c r="C78" s="280">
        <v>3.0807926700000001</v>
      </c>
      <c r="D78" s="145">
        <v>121.8768</v>
      </c>
      <c r="E78" s="144">
        <v>128.48500000000001</v>
      </c>
      <c r="F78" s="144">
        <f t="shared" ref="F78:F140" si="6">(E78/D78-1)*100</f>
        <v>5.42203274126003</v>
      </c>
      <c r="G78" s="144">
        <f t="shared" si="4"/>
        <v>0.15573885131725365</v>
      </c>
      <c r="H78" s="144">
        <f t="shared" si="5"/>
        <v>3.144849904229889</v>
      </c>
      <c r="I78" s="159"/>
    </row>
    <row r="79" spans="1:9" ht="15.75" customHeight="1">
      <c r="A79" s="142">
        <v>711</v>
      </c>
      <c r="B79" s="143" t="s">
        <v>203</v>
      </c>
      <c r="C79" s="280">
        <v>2.88743076</v>
      </c>
      <c r="D79" s="145">
        <v>120.2246</v>
      </c>
      <c r="E79" s="144">
        <v>127.0445</v>
      </c>
      <c r="F79" s="144">
        <f t="shared" si="6"/>
        <v>5.6726327224212003</v>
      </c>
      <c r="G79" s="144">
        <f t="shared" si="4"/>
        <v>0.15064020624014329</v>
      </c>
      <c r="H79" s="144">
        <f t="shared" si="5"/>
        <v>3.04189246395836</v>
      </c>
      <c r="I79" s="159"/>
    </row>
    <row r="80" spans="1:9" ht="15.75" customHeight="1">
      <c r="A80" s="128">
        <v>712</v>
      </c>
      <c r="B80" s="143" t="s">
        <v>99</v>
      </c>
      <c r="C80" s="280">
        <v>0.193361908</v>
      </c>
      <c r="D80" s="145">
        <v>146.54849999999999</v>
      </c>
      <c r="E80" s="144">
        <v>149.99469999999999</v>
      </c>
      <c r="F80" s="144">
        <f t="shared" si="6"/>
        <v>2.3515764405640516</v>
      </c>
      <c r="G80" s="144">
        <f t="shared" si="4"/>
        <v>5.0975643529750222E-3</v>
      </c>
      <c r="H80" s="144">
        <f t="shared" si="5"/>
        <v>0.1029356171030342</v>
      </c>
      <c r="I80" s="159"/>
    </row>
    <row r="81" spans="1:9" ht="15.75" customHeight="1">
      <c r="A81" s="128">
        <v>72</v>
      </c>
      <c r="B81" s="143" t="s">
        <v>204</v>
      </c>
      <c r="C81" s="280">
        <v>8.4404824699999992</v>
      </c>
      <c r="D81" s="145">
        <v>140.6028</v>
      </c>
      <c r="E81" s="144">
        <v>143.32579999999999</v>
      </c>
      <c r="F81" s="144">
        <f t="shared" si="6"/>
        <v>1.9366612898178204</v>
      </c>
      <c r="G81" s="144">
        <f t="shared" si="4"/>
        <v>0.17581917172174438</v>
      </c>
      <c r="H81" s="144">
        <f t="shared" si="5"/>
        <v>3.5503337842434055</v>
      </c>
      <c r="I81" s="159"/>
    </row>
    <row r="82" spans="1:9" ht="15.75" customHeight="1">
      <c r="A82" s="128">
        <v>721</v>
      </c>
      <c r="B82" s="143" t="s">
        <v>205</v>
      </c>
      <c r="C82" s="280">
        <v>0.53260233000000001</v>
      </c>
      <c r="D82" s="145">
        <v>138.6463</v>
      </c>
      <c r="E82" s="144">
        <v>148.1574</v>
      </c>
      <c r="F82" s="144">
        <f t="shared" si="6"/>
        <v>6.859973904821115</v>
      </c>
      <c r="G82" s="144">
        <f t="shared" si="4"/>
        <v>3.8751197356703529E-2</v>
      </c>
      <c r="H82" s="144">
        <f t="shared" si="5"/>
        <v>0.7825067301143086</v>
      </c>
      <c r="I82" s="159"/>
    </row>
    <row r="83" spans="1:9" ht="15.75" customHeight="1">
      <c r="A83" s="128">
        <v>722</v>
      </c>
      <c r="B83" s="143" t="s">
        <v>206</v>
      </c>
      <c r="C83" s="280">
        <v>6.94065201</v>
      </c>
      <c r="D83" s="145">
        <v>139.04390000000001</v>
      </c>
      <c r="E83" s="144">
        <v>139.6217</v>
      </c>
      <c r="F83" s="144">
        <f t="shared" si="6"/>
        <v>0.4155522104889231</v>
      </c>
      <c r="G83" s="144">
        <f t="shared" si="4"/>
        <v>3.0678146994216539E-2</v>
      </c>
      <c r="H83" s="144">
        <f t="shared" si="5"/>
        <v>0.61948683209546662</v>
      </c>
      <c r="I83" s="159"/>
    </row>
    <row r="84" spans="1:9" ht="15.75" customHeight="1">
      <c r="A84" s="142">
        <v>723</v>
      </c>
      <c r="B84" s="143" t="s">
        <v>207</v>
      </c>
      <c r="C84" s="280">
        <v>0.87730871399999999</v>
      </c>
      <c r="D84" s="145">
        <v>155.8032</v>
      </c>
      <c r="E84" s="144">
        <v>169.8201</v>
      </c>
      <c r="F84" s="144">
        <f t="shared" si="6"/>
        <v>8.9965417911827217</v>
      </c>
      <c r="G84" s="144">
        <f t="shared" si="4"/>
        <v>9.4070994272322891E-2</v>
      </c>
      <c r="H84" s="144">
        <f t="shared" si="5"/>
        <v>1.899584816671563</v>
      </c>
      <c r="I84" s="159"/>
    </row>
    <row r="85" spans="1:9" ht="15.75" customHeight="1">
      <c r="A85" s="142">
        <v>724</v>
      </c>
      <c r="B85" s="143" t="s">
        <v>208</v>
      </c>
      <c r="C85" s="280">
        <v>8.9919413000000004E-2</v>
      </c>
      <c r="D85" s="145">
        <v>124.21980000000001</v>
      </c>
      <c r="E85" s="144">
        <v>142.12889999999999</v>
      </c>
      <c r="F85" s="144">
        <f t="shared" si="6"/>
        <v>14.417266812537122</v>
      </c>
      <c r="G85" s="144">
        <f t="shared" si="4"/>
        <v>1.2319087524351664E-2</v>
      </c>
      <c r="H85" s="144">
        <f t="shared" si="5"/>
        <v>0.2487605430082232</v>
      </c>
      <c r="I85" s="159"/>
    </row>
    <row r="86" spans="1:9" ht="15.75" customHeight="1">
      <c r="A86" s="147">
        <v>73</v>
      </c>
      <c r="B86" s="147" t="s">
        <v>101</v>
      </c>
      <c r="C86" s="283">
        <v>5.1250031099999998</v>
      </c>
      <c r="D86" s="148">
        <v>136.8091</v>
      </c>
      <c r="E86" s="148">
        <v>143.57830000000001</v>
      </c>
      <c r="F86" s="148">
        <f t="shared" si="6"/>
        <v>4.947916476316272</v>
      </c>
      <c r="G86" s="148">
        <f t="shared" si="4"/>
        <v>0.26538892498747002</v>
      </c>
      <c r="H86" s="148">
        <f t="shared" si="5"/>
        <v>5.3590245996507848</v>
      </c>
      <c r="I86" s="159"/>
    </row>
    <row r="87" spans="1:9" ht="15.75" customHeight="1">
      <c r="A87" s="142">
        <v>732</v>
      </c>
      <c r="B87" s="143" t="s">
        <v>209</v>
      </c>
      <c r="C87" s="280">
        <v>4.8476457000000002</v>
      </c>
      <c r="D87" s="145">
        <v>135.62719999999999</v>
      </c>
      <c r="E87" s="144">
        <v>141.0941</v>
      </c>
      <c r="F87" s="144">
        <f t="shared" si="6"/>
        <v>4.0308286243467384</v>
      </c>
      <c r="G87" s="144">
        <f t="shared" si="4"/>
        <v>0.20273247255496432</v>
      </c>
      <c r="H87" s="144">
        <f t="shared" si="5"/>
        <v>4.0937967084397986</v>
      </c>
      <c r="I87" s="159"/>
    </row>
    <row r="88" spans="1:9" ht="15.75" customHeight="1">
      <c r="A88" s="142">
        <v>733</v>
      </c>
      <c r="B88" s="143" t="s">
        <v>210</v>
      </c>
      <c r="C88" s="280">
        <v>0.27735740599999997</v>
      </c>
      <c r="D88" s="145">
        <v>157.46610000000001</v>
      </c>
      <c r="E88" s="144">
        <v>186.99690000000001</v>
      </c>
      <c r="F88" s="144">
        <f t="shared" si="6"/>
        <v>18.753750807316628</v>
      </c>
      <c r="G88" s="144">
        <f t="shared" si="4"/>
        <v>6.2656523654050569E-2</v>
      </c>
      <c r="H88" s="144">
        <f t="shared" si="5"/>
        <v>1.2652293293946293</v>
      </c>
      <c r="I88" s="159"/>
    </row>
    <row r="89" spans="1:9" ht="15.75" customHeight="1">
      <c r="A89" s="142">
        <v>8</v>
      </c>
      <c r="B89" s="143" t="s">
        <v>19</v>
      </c>
      <c r="C89" s="280">
        <v>5.0611789700000003</v>
      </c>
      <c r="D89" s="145">
        <v>97.522300000000001</v>
      </c>
      <c r="E89" s="144">
        <v>98.292000000000002</v>
      </c>
      <c r="F89" s="144">
        <f t="shared" si="6"/>
        <v>0.7892553805642466</v>
      </c>
      <c r="G89" s="144">
        <f t="shared" si="4"/>
        <v>2.9800564963885202E-2</v>
      </c>
      <c r="H89" s="144">
        <f t="shared" si="5"/>
        <v>0.60176573205717687</v>
      </c>
      <c r="I89" s="159"/>
    </row>
    <row r="90" spans="1:9" ht="15.75" customHeight="1">
      <c r="A90" s="142">
        <v>82</v>
      </c>
      <c r="B90" s="143" t="s">
        <v>211</v>
      </c>
      <c r="C90" s="280">
        <v>0.221632303</v>
      </c>
      <c r="D90" s="145">
        <v>91.410499999999999</v>
      </c>
      <c r="E90" s="144">
        <v>94.139700000000005</v>
      </c>
      <c r="F90" s="144">
        <f t="shared" si="6"/>
        <v>2.985652632903224</v>
      </c>
      <c r="G90" s="144">
        <f t="shared" si="4"/>
        <v>4.6272156281850132E-3</v>
      </c>
      <c r="H90" s="144">
        <f t="shared" si="5"/>
        <v>9.3437819157309671E-2</v>
      </c>
      <c r="I90" s="159"/>
    </row>
    <row r="91" spans="1:9" ht="15.75" customHeight="1">
      <c r="A91" s="142">
        <v>821</v>
      </c>
      <c r="B91" s="143" t="s">
        <v>211</v>
      </c>
      <c r="C91" s="280">
        <v>0.221632303</v>
      </c>
      <c r="D91" s="145">
        <v>91.410499999999999</v>
      </c>
      <c r="E91" s="144">
        <v>94.139700000000005</v>
      </c>
      <c r="F91" s="144">
        <f t="shared" si="6"/>
        <v>2.985652632903224</v>
      </c>
      <c r="G91" s="144">
        <f t="shared" si="4"/>
        <v>4.6272156281850132E-3</v>
      </c>
      <c r="H91" s="144">
        <f t="shared" si="5"/>
        <v>9.3437819157309671E-2</v>
      </c>
      <c r="I91" s="159"/>
    </row>
    <row r="92" spans="1:9" ht="15.75" customHeight="1">
      <c r="A92" s="142">
        <v>83</v>
      </c>
      <c r="B92" s="143" t="s">
        <v>212</v>
      </c>
      <c r="C92" s="280">
        <v>4.8395466599999999</v>
      </c>
      <c r="D92" s="145">
        <v>97.802199999999999</v>
      </c>
      <c r="E92" s="144">
        <v>98.482200000000006</v>
      </c>
      <c r="F92" s="144">
        <f t="shared" si="6"/>
        <v>0.69528088325212511</v>
      </c>
      <c r="G92" s="144">
        <f t="shared" si="4"/>
        <v>2.517473515399116E-2</v>
      </c>
      <c r="H92" s="144">
        <f t="shared" si="5"/>
        <v>0.50835589686457983</v>
      </c>
      <c r="I92" s="159"/>
    </row>
    <row r="93" spans="1:9" ht="15.75" customHeight="1">
      <c r="A93" s="142">
        <v>831</v>
      </c>
      <c r="B93" s="143" t="s">
        <v>213</v>
      </c>
      <c r="C93" s="280">
        <v>4.8395466599999999</v>
      </c>
      <c r="D93" s="145">
        <v>97.802199999999999</v>
      </c>
      <c r="E93" s="144">
        <v>98.482200000000006</v>
      </c>
      <c r="F93" s="144">
        <f t="shared" si="6"/>
        <v>0.69528088325212511</v>
      </c>
      <c r="G93" s="144">
        <f t="shared" si="4"/>
        <v>2.517473515399116E-2</v>
      </c>
      <c r="H93" s="144">
        <f t="shared" si="5"/>
        <v>0.50835589686457983</v>
      </c>
      <c r="I93" s="159"/>
    </row>
    <row r="94" spans="1:9" ht="15.75" customHeight="1">
      <c r="A94" s="142">
        <v>9</v>
      </c>
      <c r="B94" s="143" t="s">
        <v>102</v>
      </c>
      <c r="C94" s="280">
        <v>3.0303016</v>
      </c>
      <c r="D94" s="145">
        <v>118.20140000000001</v>
      </c>
      <c r="E94" s="144">
        <v>121.4089</v>
      </c>
      <c r="F94" s="144">
        <f t="shared" si="6"/>
        <v>2.71358884074131</v>
      </c>
      <c r="G94" s="144">
        <f t="shared" si="4"/>
        <v>7.4353914276097263E-2</v>
      </c>
      <c r="H94" s="144">
        <f t="shared" si="5"/>
        <v>1.5014358858597578</v>
      </c>
      <c r="I94" s="159"/>
    </row>
    <row r="95" spans="1:9" ht="15.75" customHeight="1">
      <c r="A95" s="142">
        <v>91</v>
      </c>
      <c r="B95" s="143" t="s">
        <v>103</v>
      </c>
      <c r="C95" s="280">
        <v>0.320875994</v>
      </c>
      <c r="D95" s="145">
        <v>101.0067</v>
      </c>
      <c r="E95" s="144">
        <v>97.277699999999996</v>
      </c>
      <c r="F95" s="144">
        <f t="shared" si="6"/>
        <v>-3.6918343040610146</v>
      </c>
      <c r="G95" s="144">
        <f t="shared" si="4"/>
        <v>-9.1533680759627277E-3</v>
      </c>
      <c r="H95" s="144">
        <f t="shared" si="5"/>
        <v>-0.18483485959731896</v>
      </c>
      <c r="I95" s="159"/>
    </row>
    <row r="96" spans="1:9" ht="15.75" customHeight="1">
      <c r="A96" s="142">
        <v>911</v>
      </c>
      <c r="B96" s="143" t="s">
        <v>214</v>
      </c>
      <c r="C96" s="280">
        <v>0.23513193199999999</v>
      </c>
      <c r="D96" s="149">
        <v>97.586699999999993</v>
      </c>
      <c r="E96" s="144">
        <v>91.854500000000002</v>
      </c>
      <c r="F96" s="144">
        <f t="shared" si="6"/>
        <v>-5.8739561846030135</v>
      </c>
      <c r="G96" s="144">
        <f t="shared" si="4"/>
        <v>-1.0310607706509984E-2</v>
      </c>
      <c r="H96" s="144">
        <f t="shared" si="5"/>
        <v>-0.20820311299405103</v>
      </c>
      <c r="I96" s="159"/>
    </row>
    <row r="97" spans="1:9" ht="15.75" customHeight="1">
      <c r="A97" s="142">
        <v>913</v>
      </c>
      <c r="B97" s="143" t="s">
        <v>215</v>
      </c>
      <c r="C97" s="280">
        <v>8.5744061999999996E-2</v>
      </c>
      <c r="D97" s="149">
        <v>110.3853</v>
      </c>
      <c r="E97" s="144">
        <v>112.1493</v>
      </c>
      <c r="F97" s="144">
        <f t="shared" si="6"/>
        <v>1.5980388693059622</v>
      </c>
      <c r="G97" s="144">
        <f t="shared" si="4"/>
        <v>1.1570548596869664E-3</v>
      </c>
      <c r="H97" s="144">
        <f t="shared" si="5"/>
        <v>2.3364522300622366E-2</v>
      </c>
      <c r="I97" s="159"/>
    </row>
    <row r="98" spans="1:9" ht="15.75" customHeight="1">
      <c r="A98" s="142">
        <v>93</v>
      </c>
      <c r="B98" s="143" t="s">
        <v>104</v>
      </c>
      <c r="C98" s="280">
        <v>0.234422204</v>
      </c>
      <c r="D98" s="149">
        <v>124.3085</v>
      </c>
      <c r="E98" s="144">
        <v>127.1527</v>
      </c>
      <c r="F98" s="144">
        <f t="shared" si="6"/>
        <v>2.2880173117687086</v>
      </c>
      <c r="G98" s="144">
        <f t="shared" si="4"/>
        <v>5.1004699485687191E-3</v>
      </c>
      <c r="H98" s="144">
        <f t="shared" si="5"/>
        <v>0.10299429007992648</v>
      </c>
      <c r="I98" s="159"/>
    </row>
    <row r="99" spans="1:9" ht="15.75" customHeight="1">
      <c r="A99" s="142">
        <v>931</v>
      </c>
      <c r="B99" s="143" t="s">
        <v>106</v>
      </c>
      <c r="C99" s="280">
        <v>8.3218986999999994E-2</v>
      </c>
      <c r="D99" s="149">
        <v>102.94499999999999</v>
      </c>
      <c r="E99" s="144">
        <v>102.8049</v>
      </c>
      <c r="F99" s="144">
        <f t="shared" si="6"/>
        <v>-0.13609208800815509</v>
      </c>
      <c r="G99" s="144">
        <f t="shared" si="4"/>
        <v>-8.9189119495564163E-5</v>
      </c>
      <c r="H99" s="144">
        <f t="shared" si="5"/>
        <v>-1.8010046403424268E-3</v>
      </c>
      <c r="I99" s="159"/>
    </row>
    <row r="100" spans="1:9" ht="15.75" customHeight="1">
      <c r="A100" s="142">
        <v>932</v>
      </c>
      <c r="B100" s="143" t="s">
        <v>105</v>
      </c>
      <c r="C100" s="280">
        <v>1.7544493000000001E-2</v>
      </c>
      <c r="D100" s="149">
        <v>109.959</v>
      </c>
      <c r="E100" s="144">
        <v>109.4774</v>
      </c>
      <c r="F100" s="144">
        <f t="shared" si="6"/>
        <v>-0.43798142944188045</v>
      </c>
      <c r="G100" s="144">
        <f t="shared" si="4"/>
        <v>-6.4636616857147267E-5</v>
      </c>
      <c r="H100" s="144">
        <f t="shared" si="5"/>
        <v>-1.3052135457122375E-3</v>
      </c>
      <c r="I100" s="159"/>
    </row>
    <row r="101" spans="1:9" ht="15.75" customHeight="1">
      <c r="A101" s="142">
        <v>934</v>
      </c>
      <c r="B101" s="143" t="s">
        <v>216</v>
      </c>
      <c r="C101" s="280">
        <v>8.0524990000000005E-2</v>
      </c>
      <c r="D101" s="149">
        <v>141.8092</v>
      </c>
      <c r="E101" s="144">
        <v>146.5376</v>
      </c>
      <c r="F101" s="144">
        <f t="shared" si="6"/>
        <v>3.3343393799555976</v>
      </c>
      <c r="G101" s="144">
        <f t="shared" si="4"/>
        <v>2.912703008797291E-3</v>
      </c>
      <c r="H101" s="144">
        <f t="shared" si="5"/>
        <v>5.8816497622719212E-2</v>
      </c>
      <c r="I101" s="159"/>
    </row>
    <row r="102" spans="1:9" ht="15.75" customHeight="1">
      <c r="A102" s="142">
        <v>935</v>
      </c>
      <c r="B102" s="143" t="s">
        <v>217</v>
      </c>
      <c r="C102" s="280">
        <v>5.3133734000000002E-2</v>
      </c>
      <c r="D102" s="149">
        <v>135.9837</v>
      </c>
      <c r="E102" s="144">
        <v>141.7449</v>
      </c>
      <c r="F102" s="144">
        <f t="shared" si="6"/>
        <v>4.2366842496563972</v>
      </c>
      <c r="G102" s="144">
        <f t="shared" si="4"/>
        <v>2.3417180606233085E-3</v>
      </c>
      <c r="H102" s="144">
        <f t="shared" si="5"/>
        <v>4.7286542544755165E-2</v>
      </c>
      <c r="I102" s="159"/>
    </row>
    <row r="103" spans="1:9" ht="15.75" customHeight="1">
      <c r="A103" s="142">
        <v>94</v>
      </c>
      <c r="B103" s="143" t="s">
        <v>107</v>
      </c>
      <c r="C103" s="280">
        <v>1.63590277</v>
      </c>
      <c r="D103" s="149">
        <v>113.3477</v>
      </c>
      <c r="E103" s="144">
        <v>114.55800000000001</v>
      </c>
      <c r="F103" s="144">
        <f t="shared" si="6"/>
        <v>1.0677764083435237</v>
      </c>
      <c r="G103" s="144">
        <f t="shared" si="4"/>
        <v>1.5146135482405454E-2</v>
      </c>
      <c r="H103" s="144">
        <f t="shared" si="5"/>
        <v>0.30584739978763881</v>
      </c>
      <c r="I103" s="159"/>
    </row>
    <row r="104" spans="1:9" ht="15.75" customHeight="1">
      <c r="A104" s="142">
        <v>941</v>
      </c>
      <c r="B104" s="143" t="s">
        <v>218</v>
      </c>
      <c r="C104" s="280">
        <v>0.21271047800000001</v>
      </c>
      <c r="D104" s="149">
        <v>117.9841</v>
      </c>
      <c r="E104" s="144">
        <v>123.5839</v>
      </c>
      <c r="F104" s="144">
        <f t="shared" si="6"/>
        <v>4.7462327550915839</v>
      </c>
      <c r="G104" s="144">
        <f t="shared" si="4"/>
        <v>9.1119791213751349E-3</v>
      </c>
      <c r="H104" s="144">
        <f t="shared" si="5"/>
        <v>0.18399908837665022</v>
      </c>
      <c r="I104" s="159"/>
    </row>
    <row r="105" spans="1:9" ht="15.75" customHeight="1">
      <c r="A105" s="142">
        <v>942</v>
      </c>
      <c r="B105" s="143" t="s">
        <v>219</v>
      </c>
      <c r="C105" s="280">
        <v>0.631497635</v>
      </c>
      <c r="D105" s="149">
        <v>110.96810000000001</v>
      </c>
      <c r="E105" s="144">
        <v>112.2174</v>
      </c>
      <c r="F105" s="144">
        <f t="shared" si="6"/>
        <v>1.1258190416885583</v>
      </c>
      <c r="G105" s="144">
        <f t="shared" si="4"/>
        <v>6.0351738453014352E-3</v>
      </c>
      <c r="H105" s="144">
        <f t="shared" si="5"/>
        <v>0.12186885757070091</v>
      </c>
      <c r="I105" s="159"/>
    </row>
    <row r="106" spans="1:9" ht="15.75" customHeight="1">
      <c r="A106" s="142">
        <v>943</v>
      </c>
      <c r="B106" s="143" t="s">
        <v>108</v>
      </c>
      <c r="C106" s="280">
        <v>0.791694652</v>
      </c>
      <c r="D106" s="149">
        <v>114</v>
      </c>
      <c r="E106" s="144">
        <v>114</v>
      </c>
      <c r="F106" s="144">
        <f t="shared" si="6"/>
        <v>0</v>
      </c>
      <c r="G106" s="144">
        <f t="shared" si="4"/>
        <v>0</v>
      </c>
      <c r="H106" s="144">
        <f t="shared" si="5"/>
        <v>0</v>
      </c>
      <c r="I106" s="159"/>
    </row>
    <row r="107" spans="1:9" ht="15.75" customHeight="1">
      <c r="A107" s="142">
        <v>95</v>
      </c>
      <c r="B107" s="143" t="s">
        <v>109</v>
      </c>
      <c r="C107" s="280">
        <v>0.59547164399999997</v>
      </c>
      <c r="D107" s="149">
        <v>125.2972</v>
      </c>
      <c r="E107" s="144">
        <v>127.7568</v>
      </c>
      <c r="F107" s="144">
        <f t="shared" si="6"/>
        <v>1.9630127409072218</v>
      </c>
      <c r="G107" s="144">
        <f t="shared" si="4"/>
        <v>1.1204097669729631E-2</v>
      </c>
      <c r="H107" s="144">
        <f t="shared" si="5"/>
        <v>0.22624544348188599</v>
      </c>
      <c r="I107" s="159"/>
    </row>
    <row r="108" spans="1:9" ht="15.75" customHeight="1">
      <c r="A108" s="142">
        <v>951</v>
      </c>
      <c r="B108" s="143" t="s">
        <v>110</v>
      </c>
      <c r="C108" s="280">
        <v>0.37345707</v>
      </c>
      <c r="D108" s="149">
        <v>122.765</v>
      </c>
      <c r="E108" s="144">
        <v>125.3843</v>
      </c>
      <c r="F108" s="144">
        <f t="shared" si="6"/>
        <v>2.1335885635156648</v>
      </c>
      <c r="G108" s="144">
        <f t="shared" si="4"/>
        <v>7.4830258368981375E-3</v>
      </c>
      <c r="H108" s="144">
        <f t="shared" si="5"/>
        <v>0.15110547488616138</v>
      </c>
      <c r="I108" s="159"/>
    </row>
    <row r="109" spans="1:9" ht="15.75" customHeight="1">
      <c r="A109" s="142">
        <v>954</v>
      </c>
      <c r="B109" s="143" t="s">
        <v>111</v>
      </c>
      <c r="C109" s="280">
        <v>0.22201457399999999</v>
      </c>
      <c r="D109" s="149">
        <v>129.55670000000001</v>
      </c>
      <c r="E109" s="144">
        <v>131.74760000000001</v>
      </c>
      <c r="F109" s="144">
        <f t="shared" si="6"/>
        <v>1.6910742555190206</v>
      </c>
      <c r="G109" s="144">
        <f t="shared" si="4"/>
        <v>3.720963037412216E-3</v>
      </c>
      <c r="H109" s="144">
        <f t="shared" si="5"/>
        <v>7.5137771679149173E-2</v>
      </c>
      <c r="I109" s="159"/>
    </row>
    <row r="110" spans="1:9" ht="15.75" customHeight="1">
      <c r="A110" s="142">
        <v>96</v>
      </c>
      <c r="B110" s="143" t="s">
        <v>112</v>
      </c>
      <c r="C110" s="280">
        <v>0.24362898999999999</v>
      </c>
      <c r="D110" s="149">
        <v>150.22</v>
      </c>
      <c r="E110" s="144">
        <v>178.15129999999999</v>
      </c>
      <c r="F110" s="144">
        <f t="shared" si="6"/>
        <v>18.593596059113302</v>
      </c>
      <c r="G110" s="144">
        <f t="shared" si="4"/>
        <v>5.2056076317582335E-2</v>
      </c>
      <c r="H110" s="144">
        <f t="shared" si="5"/>
        <v>1.0511734563165873</v>
      </c>
      <c r="I110" s="159"/>
    </row>
    <row r="111" spans="1:9" ht="15.75" customHeight="1">
      <c r="A111" s="142">
        <v>961</v>
      </c>
      <c r="B111" s="143" t="s">
        <v>113</v>
      </c>
      <c r="C111" s="280">
        <v>0.24362898999999999</v>
      </c>
      <c r="D111" s="149">
        <v>150.22</v>
      </c>
      <c r="E111" s="144">
        <v>178.15129999999999</v>
      </c>
      <c r="F111" s="144">
        <f t="shared" si="6"/>
        <v>18.593596059113302</v>
      </c>
      <c r="G111" s="144">
        <f t="shared" si="4"/>
        <v>5.2056076317582335E-2</v>
      </c>
      <c r="H111" s="144">
        <f t="shared" si="5"/>
        <v>1.0511734563165873</v>
      </c>
      <c r="I111" s="159"/>
    </row>
    <row r="112" spans="1:9" ht="15.75" customHeight="1">
      <c r="A112" s="142">
        <v>10</v>
      </c>
      <c r="B112" s="143" t="s">
        <v>20</v>
      </c>
      <c r="C112" s="280">
        <v>3.06259931</v>
      </c>
      <c r="D112" s="149">
        <v>123.1768</v>
      </c>
      <c r="E112" s="144">
        <v>130.3631</v>
      </c>
      <c r="F112" s="144">
        <f t="shared" si="6"/>
        <v>5.8341343499749954</v>
      </c>
      <c r="G112" s="144">
        <f t="shared" si="4"/>
        <v>0.16836307141455156</v>
      </c>
      <c r="H112" s="144">
        <f t="shared" si="5"/>
        <v>3.3997720192202547</v>
      </c>
      <c r="I112" s="159"/>
    </row>
    <row r="113" spans="1:9" ht="15.75" customHeight="1">
      <c r="A113" s="142">
        <v>101</v>
      </c>
      <c r="B113" s="143" t="s">
        <v>114</v>
      </c>
      <c r="C113" s="280">
        <v>1.06848023</v>
      </c>
      <c r="D113" s="149">
        <v>124.5376</v>
      </c>
      <c r="E113" s="144">
        <v>133.202</v>
      </c>
      <c r="F113" s="144">
        <f t="shared" si="6"/>
        <v>6.9572562824399942</v>
      </c>
      <c r="G113" s="144">
        <f t="shared" si="4"/>
        <v>7.0820061694374326E-2</v>
      </c>
      <c r="H113" s="144">
        <f t="shared" si="5"/>
        <v>1.4300764539697994</v>
      </c>
      <c r="I113" s="159"/>
    </row>
    <row r="114" spans="1:9" ht="15.75" customHeight="1">
      <c r="A114" s="142">
        <v>1011</v>
      </c>
      <c r="B114" s="143" t="s">
        <v>220</v>
      </c>
      <c r="C114" s="280">
        <v>1.06848023</v>
      </c>
      <c r="D114" s="149">
        <v>124.5376</v>
      </c>
      <c r="E114" s="144">
        <v>133.202</v>
      </c>
      <c r="F114" s="144">
        <f t="shared" si="6"/>
        <v>6.9572562824399942</v>
      </c>
      <c r="G114" s="144">
        <f t="shared" si="4"/>
        <v>7.0820061694374326E-2</v>
      </c>
      <c r="H114" s="144">
        <f t="shared" si="5"/>
        <v>1.4300764539697994</v>
      </c>
      <c r="I114" s="159"/>
    </row>
    <row r="115" spans="1:9" ht="15.75" customHeight="1">
      <c r="A115" s="128">
        <v>102</v>
      </c>
      <c r="B115" s="143" t="s">
        <v>115</v>
      </c>
      <c r="C115" s="280">
        <v>0.42618938899999997</v>
      </c>
      <c r="D115" s="149">
        <v>123.6858</v>
      </c>
      <c r="E115" s="144">
        <v>132.30009999999999</v>
      </c>
      <c r="F115" s="144">
        <f t="shared" si="6"/>
        <v>6.9646636881517399</v>
      </c>
      <c r="G115" s="144">
        <f t="shared" si="4"/>
        <v>2.8084968510753306E-2</v>
      </c>
      <c r="H115" s="144">
        <f t="shared" si="5"/>
        <v>0.56712252456145507</v>
      </c>
      <c r="I115" s="159"/>
    </row>
    <row r="116" spans="1:9" ht="15.75" customHeight="1">
      <c r="A116" s="142">
        <v>1021</v>
      </c>
      <c r="B116" s="143" t="s">
        <v>116</v>
      </c>
      <c r="C116" s="280">
        <v>0.42618938899999997</v>
      </c>
      <c r="D116" s="149">
        <v>123.6858</v>
      </c>
      <c r="E116" s="144">
        <v>132.30009999999999</v>
      </c>
      <c r="F116" s="144">
        <f t="shared" si="6"/>
        <v>6.9646636881517399</v>
      </c>
      <c r="G116" s="144">
        <f t="shared" si="4"/>
        <v>2.8084968510753306E-2</v>
      </c>
      <c r="H116" s="144">
        <f t="shared" si="5"/>
        <v>0.56712252456145507</v>
      </c>
      <c r="I116" s="159"/>
    </row>
    <row r="117" spans="1:9" ht="15.75" customHeight="1">
      <c r="A117" s="142">
        <v>104</v>
      </c>
      <c r="B117" s="150" t="s">
        <v>117</v>
      </c>
      <c r="C117" s="284">
        <v>1.34465119</v>
      </c>
      <c r="D117" s="149">
        <v>121.7863</v>
      </c>
      <c r="E117" s="151">
        <v>127.82429999999999</v>
      </c>
      <c r="F117" s="151">
        <f t="shared" si="6"/>
        <v>4.9578647187737745</v>
      </c>
      <c r="G117" s="151">
        <f t="shared" si="4"/>
        <v>6.2108932583803761E-2</v>
      </c>
      <c r="H117" s="151">
        <f t="shared" si="5"/>
        <v>1.2541717691888283</v>
      </c>
      <c r="I117" s="159"/>
    </row>
    <row r="118" spans="1:9" ht="15.75" customHeight="1">
      <c r="A118" s="142">
        <v>1041</v>
      </c>
      <c r="B118" s="143" t="s">
        <v>221</v>
      </c>
      <c r="C118" s="280">
        <v>1.34465119</v>
      </c>
      <c r="D118" s="149">
        <v>121.7863</v>
      </c>
      <c r="E118" s="144">
        <v>127.82429999999999</v>
      </c>
      <c r="F118" s="144">
        <f t="shared" si="6"/>
        <v>4.9578647187737745</v>
      </c>
      <c r="G118" s="144">
        <f t="shared" si="4"/>
        <v>6.2108932583803761E-2</v>
      </c>
      <c r="H118" s="144">
        <f t="shared" si="5"/>
        <v>1.2541717691888283</v>
      </c>
      <c r="I118" s="159"/>
    </row>
    <row r="119" spans="1:9" ht="15.75" customHeight="1">
      <c r="A119" s="142">
        <v>105</v>
      </c>
      <c r="B119" s="143" t="s">
        <v>118</v>
      </c>
      <c r="C119" s="280">
        <v>0.22327849699999999</v>
      </c>
      <c r="D119" s="145">
        <v>124.0669</v>
      </c>
      <c r="E119" s="144">
        <v>128.3699</v>
      </c>
      <c r="F119" s="144">
        <f t="shared" si="6"/>
        <v>3.468290091877857</v>
      </c>
      <c r="G119" s="144">
        <f t="shared" si="4"/>
        <v>7.3496991523308956E-3</v>
      </c>
      <c r="H119" s="144">
        <f t="shared" si="5"/>
        <v>0.14841319606397821</v>
      </c>
      <c r="I119" s="159"/>
    </row>
    <row r="120" spans="1:9" ht="15.75" customHeight="1">
      <c r="A120" s="142">
        <v>1051</v>
      </c>
      <c r="B120" s="143" t="s">
        <v>119</v>
      </c>
      <c r="C120" s="280">
        <v>0.22327849699999999</v>
      </c>
      <c r="D120" s="145">
        <v>124.0669</v>
      </c>
      <c r="E120" s="144">
        <v>128.3699</v>
      </c>
      <c r="F120" s="144">
        <f t="shared" si="6"/>
        <v>3.468290091877857</v>
      </c>
      <c r="G120" s="144">
        <f t="shared" si="4"/>
        <v>7.3496991523308956E-3</v>
      </c>
      <c r="H120" s="144">
        <f t="shared" si="5"/>
        <v>0.14841319606397821</v>
      </c>
      <c r="I120" s="159"/>
    </row>
    <row r="121" spans="1:9" ht="15.75" customHeight="1">
      <c r="A121" s="146">
        <v>11</v>
      </c>
      <c r="B121" s="143" t="s">
        <v>120</v>
      </c>
      <c r="C121" s="280">
        <v>8.6166370699999995</v>
      </c>
      <c r="D121" s="145">
        <v>140.69470000000001</v>
      </c>
      <c r="E121" s="144">
        <v>149.8664</v>
      </c>
      <c r="F121" s="144">
        <f t="shared" si="6"/>
        <v>6.5188667376951503</v>
      </c>
      <c r="G121" s="144">
        <f t="shared" si="4"/>
        <v>0.60455937191076392</v>
      </c>
      <c r="H121" s="144">
        <f t="shared" si="5"/>
        <v>12.20792671047662</v>
      </c>
      <c r="I121" s="159"/>
    </row>
    <row r="122" spans="1:9" ht="15.75" customHeight="1">
      <c r="A122" s="64">
        <v>111</v>
      </c>
      <c r="B122" s="154" t="s">
        <v>121</v>
      </c>
      <c r="C122" s="280">
        <v>8.5719378099999997</v>
      </c>
      <c r="D122" s="145">
        <v>140.75919999999999</v>
      </c>
      <c r="E122" s="144">
        <v>149.9521</v>
      </c>
      <c r="F122" s="144">
        <f t="shared" si="6"/>
        <v>6.5309407839771794</v>
      </c>
      <c r="G122" s="144">
        <f t="shared" si="4"/>
        <v>0.60281335271453207</v>
      </c>
      <c r="H122" s="144">
        <f t="shared" si="5"/>
        <v>12.172669173544698</v>
      </c>
      <c r="I122" s="159"/>
    </row>
    <row r="123" spans="1:9" ht="15.75" customHeight="1">
      <c r="A123" s="64">
        <v>1111</v>
      </c>
      <c r="B123" s="131" t="s">
        <v>222</v>
      </c>
      <c r="C123" s="280">
        <v>8.5719378099999997</v>
      </c>
      <c r="D123" s="145">
        <v>140.75919999999999</v>
      </c>
      <c r="E123" s="144">
        <v>149.9521</v>
      </c>
      <c r="F123" s="144">
        <f t="shared" si="6"/>
        <v>6.5309407839771794</v>
      </c>
      <c r="G123" s="144">
        <f t="shared" si="4"/>
        <v>0.60281335271453207</v>
      </c>
      <c r="H123" s="144">
        <f t="shared" si="5"/>
        <v>12.172669173544698</v>
      </c>
      <c r="I123" s="159"/>
    </row>
    <row r="124" spans="1:9" ht="15.75" customHeight="1">
      <c r="A124" s="64">
        <v>112</v>
      </c>
      <c r="B124" s="154" t="s">
        <v>122</v>
      </c>
      <c r="C124" s="280">
        <v>4.4699265000000002E-2</v>
      </c>
      <c r="D124" s="145">
        <v>128.34020000000001</v>
      </c>
      <c r="E124" s="144">
        <v>133.43549999999999</v>
      </c>
      <c r="F124" s="144">
        <f t="shared" si="6"/>
        <v>3.9701512074938217</v>
      </c>
      <c r="G124" s="144">
        <f t="shared" si="4"/>
        <v>1.7422940664501699E-3</v>
      </c>
      <c r="H124" s="144">
        <f t="shared" si="5"/>
        <v>3.5182315020767706E-2</v>
      </c>
      <c r="I124" s="159"/>
    </row>
    <row r="125" spans="1:9" ht="15.75" customHeight="1">
      <c r="A125" s="64">
        <v>1121</v>
      </c>
      <c r="B125" s="154" t="s">
        <v>123</v>
      </c>
      <c r="C125" s="280">
        <v>4.4699265000000002E-2</v>
      </c>
      <c r="D125" s="145">
        <v>128.34020000000001</v>
      </c>
      <c r="E125" s="144">
        <v>133.43549999999999</v>
      </c>
      <c r="F125" s="144">
        <f t="shared" si="6"/>
        <v>3.9701512074938217</v>
      </c>
      <c r="G125" s="144">
        <f t="shared" si="4"/>
        <v>1.7422940664501699E-3</v>
      </c>
      <c r="H125" s="144">
        <f t="shared" si="5"/>
        <v>3.5182315020767706E-2</v>
      </c>
      <c r="I125" s="159"/>
    </row>
    <row r="126" spans="1:9" ht="15.75" customHeight="1">
      <c r="A126" s="262">
        <v>12</v>
      </c>
      <c r="B126" s="263" t="s">
        <v>124</v>
      </c>
      <c r="C126" s="280">
        <v>10.309428199999999</v>
      </c>
      <c r="D126" s="145">
        <v>137.93690000000001</v>
      </c>
      <c r="E126" s="144">
        <v>146.2414</v>
      </c>
      <c r="F126" s="144">
        <f t="shared" si="6"/>
        <v>6.0205064779620177</v>
      </c>
      <c r="G126" s="144">
        <f t="shared" si="4"/>
        <v>0.65493678559767976</v>
      </c>
      <c r="H126" s="144">
        <f t="shared" si="5"/>
        <v>13.225202767598118</v>
      </c>
    </row>
    <row r="127" spans="1:9" ht="15.75" customHeight="1">
      <c r="A127" s="267">
        <v>121</v>
      </c>
      <c r="B127" s="263" t="s">
        <v>125</v>
      </c>
      <c r="C127" s="280">
        <v>8.6317942700000003</v>
      </c>
      <c r="D127" s="145">
        <v>140.7176</v>
      </c>
      <c r="E127" s="144">
        <v>150.20939999999999</v>
      </c>
      <c r="F127" s="144">
        <f t="shared" si="6"/>
        <v>6.7452827507006763</v>
      </c>
      <c r="G127" s="144">
        <f t="shared" si="4"/>
        <v>0.62675957261964976</v>
      </c>
      <c r="H127" s="144">
        <f t="shared" si="5"/>
        <v>12.656217541458814</v>
      </c>
    </row>
    <row r="128" spans="1:9" ht="15.75" customHeight="1">
      <c r="A128" s="262">
        <v>1211</v>
      </c>
      <c r="B128" s="263" t="s">
        <v>223</v>
      </c>
      <c r="C128" s="280">
        <v>3.52017968</v>
      </c>
      <c r="D128" s="145">
        <v>155.02969999999999</v>
      </c>
      <c r="E128" s="144">
        <v>170.8682</v>
      </c>
      <c r="F128" s="144">
        <f t="shared" si="6"/>
        <v>10.216429497057678</v>
      </c>
      <c r="G128" s="144">
        <f t="shared" si="4"/>
        <v>0.42651096113645776</v>
      </c>
      <c r="H128" s="144">
        <f t="shared" si="5"/>
        <v>8.6125776833335923</v>
      </c>
    </row>
    <row r="129" spans="1:8" ht="15.75" customHeight="1">
      <c r="A129" s="262">
        <v>1213</v>
      </c>
      <c r="B129" s="263" t="s">
        <v>224</v>
      </c>
      <c r="C129" s="280">
        <v>5.1116145900000003</v>
      </c>
      <c r="D129" s="145">
        <v>130.8614</v>
      </c>
      <c r="E129" s="144">
        <v>135.98249999999999</v>
      </c>
      <c r="F129" s="144">
        <f t="shared" si="6"/>
        <v>3.9133770538905877</v>
      </c>
      <c r="G129" s="144">
        <f t="shared" si="4"/>
        <v>0.20025006867129419</v>
      </c>
      <c r="H129" s="144">
        <f t="shared" si="5"/>
        <v>4.0436692832675352</v>
      </c>
    </row>
    <row r="130" spans="1:8" ht="15.75" customHeight="1">
      <c r="A130" s="262">
        <v>123</v>
      </c>
      <c r="B130" s="263" t="s">
        <v>225</v>
      </c>
      <c r="C130" s="280">
        <v>0.165576482</v>
      </c>
      <c r="D130" s="145">
        <v>108.812</v>
      </c>
      <c r="E130" s="144">
        <v>110.5635</v>
      </c>
      <c r="F130" s="144">
        <f t="shared" si="6"/>
        <v>1.6096570231224572</v>
      </c>
      <c r="G130" s="144">
        <f t="shared" si="4"/>
        <v>2.2185034517755325E-3</v>
      </c>
      <c r="H130" s="144">
        <f t="shared" si="5"/>
        <v>4.479845785967361E-2</v>
      </c>
    </row>
    <row r="131" spans="1:8" ht="15.75" customHeight="1">
      <c r="A131" s="262">
        <v>1231</v>
      </c>
      <c r="B131" s="263" t="s">
        <v>226</v>
      </c>
      <c r="C131" s="280">
        <v>4.7365668999999999E-2</v>
      </c>
      <c r="D131" s="145">
        <v>126.8556</v>
      </c>
      <c r="E131" s="144">
        <v>133.3623</v>
      </c>
      <c r="F131" s="144">
        <f t="shared" si="6"/>
        <v>5.129217787783924</v>
      </c>
      <c r="G131" s="144">
        <f t="shared" si="4"/>
        <v>2.3576306855946239E-3</v>
      </c>
      <c r="H131" s="144">
        <f t="shared" si="5"/>
        <v>4.7607867741992854E-2</v>
      </c>
    </row>
    <row r="132" spans="1:8" ht="15.75" customHeight="1">
      <c r="A132" s="262">
        <v>1232</v>
      </c>
      <c r="B132" s="263" t="s">
        <v>126</v>
      </c>
      <c r="C132" s="280">
        <v>0.118210813</v>
      </c>
      <c r="D132" s="145">
        <v>101.5821</v>
      </c>
      <c r="E132" s="144">
        <v>101.4282</v>
      </c>
      <c r="F132" s="144">
        <f t="shared" si="6"/>
        <v>-0.15150306993062523</v>
      </c>
      <c r="G132" s="144">
        <f t="shared" si="4"/>
        <v>-1.3917048485105168E-4</v>
      </c>
      <c r="H132" s="144">
        <f t="shared" si="5"/>
        <v>-2.8102832546509833E-3</v>
      </c>
    </row>
    <row r="133" spans="1:8" ht="15.75" customHeight="1">
      <c r="A133" s="262">
        <v>124</v>
      </c>
      <c r="B133" s="263" t="s">
        <v>227</v>
      </c>
      <c r="C133" s="280">
        <v>0.16129607700000001</v>
      </c>
      <c r="D133" s="145">
        <v>112.4772</v>
      </c>
      <c r="E133" s="144">
        <v>114.8676</v>
      </c>
      <c r="F133" s="144">
        <f t="shared" si="6"/>
        <v>2.1252307134245862</v>
      </c>
      <c r="G133" s="144">
        <f t="shared" si="4"/>
        <v>2.9494816669022807E-3</v>
      </c>
      <c r="H133" s="144">
        <f t="shared" si="5"/>
        <v>5.9559172674197303E-2</v>
      </c>
    </row>
    <row r="134" spans="1:8" ht="15.75" customHeight="1">
      <c r="A134" s="262">
        <v>1241</v>
      </c>
      <c r="B134" s="263" t="s">
        <v>227</v>
      </c>
      <c r="C134" s="280">
        <v>0.16129607700000001</v>
      </c>
      <c r="D134" s="145">
        <v>112.4772</v>
      </c>
      <c r="E134" s="144">
        <v>114.8676</v>
      </c>
      <c r="F134" s="144">
        <f t="shared" si="6"/>
        <v>2.1252307134245862</v>
      </c>
      <c r="G134" s="144">
        <f t="shared" si="4"/>
        <v>2.9494816669022807E-3</v>
      </c>
      <c r="H134" s="144">
        <f t="shared" si="5"/>
        <v>5.9559172674197303E-2</v>
      </c>
    </row>
    <row r="135" spans="1:8" ht="15.75" customHeight="1">
      <c r="A135" s="262">
        <v>125</v>
      </c>
      <c r="B135" s="263" t="s">
        <v>127</v>
      </c>
      <c r="C135" s="280">
        <v>0.97482866300000004</v>
      </c>
      <c r="D135" s="145">
        <v>124.4803</v>
      </c>
      <c r="E135" s="144">
        <v>124.44670000000001</v>
      </c>
      <c r="F135" s="144">
        <f t="shared" si="6"/>
        <v>-2.6992222865784843E-2</v>
      </c>
      <c r="G135" s="144">
        <f t="shared" si="4"/>
        <v>-2.5056412139343745E-4</v>
      </c>
      <c r="H135" s="144">
        <f t="shared" si="5"/>
        <v>-5.0596658862110174E-3</v>
      </c>
    </row>
    <row r="136" spans="1:8" ht="15.75" customHeight="1">
      <c r="A136" s="262">
        <v>1253</v>
      </c>
      <c r="B136" s="263" t="s">
        <v>228</v>
      </c>
      <c r="C136" s="280">
        <v>0.35284890200000002</v>
      </c>
      <c r="D136" s="145">
        <v>163.2294</v>
      </c>
      <c r="E136" s="144">
        <v>163.2294</v>
      </c>
      <c r="F136" s="144">
        <f t="shared" si="6"/>
        <v>0</v>
      </c>
      <c r="G136" s="144">
        <f t="shared" si="4"/>
        <v>0</v>
      </c>
      <c r="H136" s="144">
        <f t="shared" si="5"/>
        <v>0</v>
      </c>
    </row>
    <row r="137" spans="1:8" ht="15.75" customHeight="1">
      <c r="A137" s="262">
        <v>1254</v>
      </c>
      <c r="B137" s="263" t="s">
        <v>128</v>
      </c>
      <c r="C137" s="280">
        <v>0.56943624000000004</v>
      </c>
      <c r="D137" s="145">
        <v>102.7285</v>
      </c>
      <c r="E137" s="144">
        <v>102.6709</v>
      </c>
      <c r="F137" s="144">
        <f t="shared" si="6"/>
        <v>-5.6070126595830772E-2</v>
      </c>
      <c r="G137" s="144">
        <f t="shared" ref="G137:G140" si="7">(E137-D137)/$D$7*C137</f>
        <v>-2.5091053857802351E-4</v>
      </c>
      <c r="H137" s="144">
        <f t="shared" ref="H137:H140" si="8">(G137/$G$7)*100</f>
        <v>-5.066661122406447E-3</v>
      </c>
    </row>
    <row r="138" spans="1:8" ht="15.75" customHeight="1">
      <c r="A138" s="262">
        <v>1255</v>
      </c>
      <c r="B138" s="263" t="s">
        <v>229</v>
      </c>
      <c r="C138" s="280">
        <v>5.2543522000000002E-2</v>
      </c>
      <c r="D138" s="145">
        <v>100</v>
      </c>
      <c r="E138" s="144">
        <v>100</v>
      </c>
      <c r="F138" s="144">
        <f t="shared" si="6"/>
        <v>0</v>
      </c>
      <c r="G138" s="144">
        <f t="shared" si="7"/>
        <v>0</v>
      </c>
      <c r="H138" s="144">
        <f t="shared" si="8"/>
        <v>0</v>
      </c>
    </row>
    <row r="139" spans="1:8" ht="15.75" customHeight="1">
      <c r="A139" s="262">
        <v>127</v>
      </c>
      <c r="B139" s="263" t="s">
        <v>230</v>
      </c>
      <c r="C139" s="280">
        <v>0.37593274199999999</v>
      </c>
      <c r="D139" s="145">
        <v>132.73519999999999</v>
      </c>
      <c r="E139" s="144">
        <v>140.82320000000001</v>
      </c>
      <c r="F139" s="144">
        <f t="shared" si="6"/>
        <v>6.0933346994618054</v>
      </c>
      <c r="G139" s="144">
        <f t="shared" si="7"/>
        <v>2.3259619783173514E-2</v>
      </c>
      <c r="H139" s="144">
        <f t="shared" si="8"/>
        <v>0.46968378428917501</v>
      </c>
    </row>
    <row r="140" spans="1:8" ht="15.75" customHeight="1">
      <c r="A140" s="264">
        <v>1271</v>
      </c>
      <c r="B140" s="265" t="s">
        <v>129</v>
      </c>
      <c r="C140" s="285">
        <v>0.37593274199999999</v>
      </c>
      <c r="D140" s="266">
        <v>132.73519999999999</v>
      </c>
      <c r="E140" s="155">
        <v>140.82320000000001</v>
      </c>
      <c r="F140" s="155">
        <f t="shared" si="6"/>
        <v>6.0933346994618054</v>
      </c>
      <c r="G140" s="155">
        <f t="shared" si="7"/>
        <v>2.3259619783173514E-2</v>
      </c>
      <c r="H140" s="155">
        <f t="shared" si="8"/>
        <v>0.46968378428917501</v>
      </c>
    </row>
    <row r="141" spans="1:8" ht="15.75" customHeight="1">
      <c r="A141" s="220" t="s">
        <v>308</v>
      </c>
      <c r="D141" s="156"/>
      <c r="E141" s="156"/>
      <c r="F141" s="156"/>
    </row>
    <row r="142" spans="1:8">
      <c r="D142" s="156"/>
      <c r="E142" s="156"/>
      <c r="F142" s="156"/>
    </row>
    <row r="143" spans="1:8">
      <c r="D143" s="156"/>
      <c r="E143" s="156"/>
      <c r="F143" s="156"/>
    </row>
    <row r="144" spans="1:8">
      <c r="D144" s="156"/>
      <c r="E144" s="156"/>
      <c r="F144" s="156"/>
    </row>
  </sheetData>
  <mergeCells count="11">
    <mergeCell ref="H5:H6"/>
    <mergeCell ref="A1:H1"/>
    <mergeCell ref="A2:H2"/>
    <mergeCell ref="A3:H3"/>
    <mergeCell ref="A4:G4"/>
    <mergeCell ref="A5:A6"/>
    <mergeCell ref="B5:B6"/>
    <mergeCell ref="C5:C6"/>
    <mergeCell ref="D5:D6"/>
    <mergeCell ref="E5:E6"/>
    <mergeCell ref="G5:G6"/>
  </mergeCells>
  <printOptions horizontalCentered="1"/>
  <pageMargins left="0.196850393700787" right="0.196850393700787" top="0.23622047244094499" bottom="0" header="0.31496062992126" footer="0.55118110236220497"/>
  <pageSetup scale="64" orientation="portrait" r:id="rId1"/>
  <rowBreaks count="2" manualBreakCount="2">
    <brk id="46" max="7" man="1"/>
    <brk id="86" max="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2E17-09CE-4FC1-AF8F-2D210416B281}">
  <dimension ref="A1:W121"/>
  <sheetViews>
    <sheetView showGridLines="0" view="pageBreakPreview" zoomScaleNormal="86" zoomScaleSheetLayoutView="100" workbookViewId="0">
      <pane ySplit="6" topLeftCell="A99" activePane="bottomLeft" state="frozen"/>
      <selection pane="bottomLeft" activeCell="A2" sqref="A2:G2"/>
    </sheetView>
  </sheetViews>
  <sheetFormatPr defaultRowHeight="14.25"/>
  <cols>
    <col min="1" max="1" width="13.85546875" style="161" customWidth="1"/>
    <col min="2" max="2" width="15" style="161" customWidth="1"/>
    <col min="3" max="3" width="15.5703125" style="161" customWidth="1"/>
    <col min="4" max="4" width="14.5703125" style="161" customWidth="1"/>
    <col min="5" max="5" width="15.5703125" style="161" customWidth="1"/>
    <col min="6" max="6" width="14.7109375" style="161" customWidth="1"/>
    <col min="7" max="7" width="14.42578125" style="161" customWidth="1"/>
    <col min="8" max="16384" width="9.140625" style="161"/>
  </cols>
  <sheetData>
    <row r="1" spans="1:7" ht="15">
      <c r="A1" s="322" t="s">
        <v>299</v>
      </c>
      <c r="B1" s="322"/>
      <c r="C1" s="322"/>
      <c r="D1" s="322"/>
      <c r="E1" s="322"/>
      <c r="F1" s="322"/>
      <c r="G1" s="322"/>
    </row>
    <row r="2" spans="1:7" ht="15">
      <c r="A2" s="365" t="s">
        <v>982</v>
      </c>
      <c r="B2" s="365"/>
      <c r="C2" s="365"/>
      <c r="D2" s="365"/>
      <c r="E2" s="365"/>
      <c r="F2" s="365"/>
      <c r="G2" s="365"/>
    </row>
    <row r="3" spans="1:7" ht="15">
      <c r="A3" s="322" t="s">
        <v>281</v>
      </c>
      <c r="B3" s="322"/>
      <c r="C3" s="322"/>
      <c r="D3" s="322"/>
      <c r="E3" s="322"/>
      <c r="F3" s="322"/>
      <c r="G3" s="322"/>
    </row>
    <row r="4" spans="1:7" ht="15" thickBot="1">
      <c r="A4" s="162"/>
      <c r="B4" s="162"/>
      <c r="C4" s="162"/>
      <c r="D4" s="162"/>
      <c r="E4" s="162"/>
      <c r="F4" s="162"/>
      <c r="G4" s="162"/>
    </row>
    <row r="5" spans="1:7" ht="18" customHeight="1" thickTop="1" thickBot="1">
      <c r="A5" s="366" t="s">
        <v>22</v>
      </c>
      <c r="B5" s="367" t="s">
        <v>135</v>
      </c>
      <c r="C5" s="367"/>
      <c r="D5" s="367"/>
      <c r="E5" s="367"/>
      <c r="F5" s="367"/>
      <c r="G5" s="367"/>
    </row>
    <row r="6" spans="1:7" ht="15.75" thickTop="1" thickBot="1">
      <c r="A6" s="366"/>
      <c r="B6" s="163" t="s">
        <v>41</v>
      </c>
      <c r="C6" s="163" t="s">
        <v>42</v>
      </c>
      <c r="D6" s="163" t="s">
        <v>43</v>
      </c>
      <c r="E6" s="163" t="s">
        <v>44</v>
      </c>
      <c r="F6" s="163" t="s">
        <v>45</v>
      </c>
      <c r="G6" s="163" t="s">
        <v>40</v>
      </c>
    </row>
    <row r="7" spans="1:7" ht="14.25" customHeight="1" thickTop="1">
      <c r="A7" s="275"/>
      <c r="B7" s="276"/>
      <c r="C7" s="276"/>
      <c r="D7" s="276"/>
      <c r="E7" s="276"/>
      <c r="F7" s="276"/>
      <c r="G7" s="276"/>
    </row>
    <row r="8" spans="1:7" ht="14.25" customHeight="1">
      <c r="A8" s="240">
        <v>2018</v>
      </c>
      <c r="B8" s="276"/>
      <c r="C8" s="276"/>
      <c r="D8" s="276"/>
      <c r="E8" s="276"/>
      <c r="F8" s="276"/>
      <c r="G8" s="276"/>
    </row>
    <row r="9" spans="1:7" ht="14.25" customHeight="1">
      <c r="A9" s="166" t="s">
        <v>50</v>
      </c>
      <c r="B9" s="167">
        <v>19402.456330175795</v>
      </c>
      <c r="C9" s="167">
        <v>25438.930492006511</v>
      </c>
      <c r="D9" s="167">
        <v>30444.985752604916</v>
      </c>
      <c r="E9" s="167">
        <v>35856.209237576062</v>
      </c>
      <c r="F9" s="167">
        <v>56195.93082212795</v>
      </c>
      <c r="G9" s="167">
        <v>33464.236743862748</v>
      </c>
    </row>
    <row r="10" spans="1:7" ht="14.25" customHeight="1">
      <c r="A10" s="166" t="s">
        <v>4</v>
      </c>
      <c r="B10" s="167">
        <v>19345.213286308877</v>
      </c>
      <c r="C10" s="167">
        <v>25384.444906924571</v>
      </c>
      <c r="D10" s="167">
        <v>30393.364196800885</v>
      </c>
      <c r="E10" s="167">
        <v>35820.01053290195</v>
      </c>
      <c r="F10" s="167">
        <v>56200.385866588244</v>
      </c>
      <c r="G10" s="167">
        <v>33427.780490309407</v>
      </c>
    </row>
    <row r="11" spans="1:7">
      <c r="A11" s="166" t="s">
        <v>5</v>
      </c>
      <c r="B11" s="167">
        <v>19439.150589064851</v>
      </c>
      <c r="C11" s="167">
        <v>25497.307904594305</v>
      </c>
      <c r="D11" s="167">
        <v>30515.378783246782</v>
      </c>
      <c r="E11" s="167">
        <v>35950.88277287758</v>
      </c>
      <c r="F11" s="167">
        <v>56378.587644999934</v>
      </c>
      <c r="G11" s="167">
        <v>33552.773359635175</v>
      </c>
    </row>
    <row r="12" spans="1:7" ht="14.25" customHeight="1">
      <c r="A12" s="166" t="s">
        <v>6</v>
      </c>
      <c r="B12" s="167">
        <v>19491.990321865091</v>
      </c>
      <c r="C12" s="167">
        <v>25571.252627205504</v>
      </c>
      <c r="D12" s="167">
        <v>30618.621894854845</v>
      </c>
      <c r="E12" s="167">
        <v>36087.32404434152</v>
      </c>
      <c r="F12" s="167">
        <v>56650.345357077764</v>
      </c>
      <c r="G12" s="167">
        <v>33685.578283293806</v>
      </c>
    </row>
    <row r="13" spans="1:7" ht="14.25" customHeight="1">
      <c r="A13" s="166" t="s">
        <v>7</v>
      </c>
      <c r="B13" s="167">
        <v>19515.474647554085</v>
      </c>
      <c r="C13" s="167">
        <v>25619.900471028664</v>
      </c>
      <c r="D13" s="167">
        <v>30693.707794206162</v>
      </c>
      <c r="E13" s="167">
        <v>36187.566611131362</v>
      </c>
      <c r="F13" s="167">
        <v>56837.457224410049</v>
      </c>
      <c r="G13" s="167">
        <v>33774.114899066211</v>
      </c>
    </row>
    <row r="14" spans="1:7" ht="14.25" customHeight="1">
      <c r="A14" s="166" t="s">
        <v>8</v>
      </c>
      <c r="B14" s="167">
        <v>19571.249921065442</v>
      </c>
      <c r="C14" s="167">
        <v>25691.89927988694</v>
      </c>
      <c r="D14" s="167">
        <v>30768.79369355748</v>
      </c>
      <c r="E14" s="167">
        <v>36257.179504735417</v>
      </c>
      <c r="F14" s="167">
        <v>56922.103069155601</v>
      </c>
      <c r="G14" s="167">
        <v>33844.423388061958</v>
      </c>
    </row>
    <row r="15" spans="1:7" ht="14.25" customHeight="1">
      <c r="A15" s="166" t="s">
        <v>9</v>
      </c>
      <c r="B15" s="167">
        <v>19531.620121465265</v>
      </c>
      <c r="C15" s="167">
        <v>25662.710573593042</v>
      </c>
      <c r="D15" s="167">
        <v>30747.675784364921</v>
      </c>
      <c r="E15" s="167">
        <v>36257.179504735417</v>
      </c>
      <c r="F15" s="167">
        <v>56975.563602679111</v>
      </c>
      <c r="G15" s="167">
        <v>33839.215351840045</v>
      </c>
    </row>
    <row r="16" spans="1:7" ht="14.25" customHeight="1">
      <c r="A16" s="166" t="s">
        <v>10</v>
      </c>
      <c r="B16" s="167">
        <v>19475.844847953904</v>
      </c>
      <c r="C16" s="167">
        <v>25614.062729769881</v>
      </c>
      <c r="D16" s="167">
        <v>30724.211440817635</v>
      </c>
      <c r="E16" s="167">
        <v>36271.102083456222</v>
      </c>
      <c r="F16" s="167">
        <v>57104.759892027592</v>
      </c>
      <c r="G16" s="167">
        <v>33849.631424283863</v>
      </c>
    </row>
    <row r="17" spans="1:7" ht="14.25" customHeight="1">
      <c r="A17" s="166" t="s">
        <v>11</v>
      </c>
      <c r="B17" s="167">
        <v>19425.94065586479</v>
      </c>
      <c r="C17" s="167">
        <v>25579.036282217206</v>
      </c>
      <c r="D17" s="167">
        <v>30719.518572108173</v>
      </c>
      <c r="E17" s="167">
        <v>36301.73175664201</v>
      </c>
      <c r="F17" s="167">
        <v>57265.141492598108</v>
      </c>
      <c r="G17" s="167">
        <v>33875.671605393392</v>
      </c>
    </row>
    <row r="18" spans="1:7" ht="14.25" customHeight="1">
      <c r="A18" s="166" t="s">
        <v>12</v>
      </c>
      <c r="B18" s="167">
        <v>19491.990321865087</v>
      </c>
      <c r="C18" s="167">
        <v>25656.872832334262</v>
      </c>
      <c r="D18" s="167">
        <v>30799.297340168949</v>
      </c>
      <c r="E18" s="167">
        <v>36379.698197478545</v>
      </c>
      <c r="F18" s="167">
        <v>57349.78733734366</v>
      </c>
      <c r="G18" s="167">
        <v>33951.188130611037</v>
      </c>
    </row>
    <row r="19" spans="1:7" ht="14.25" customHeight="1">
      <c r="A19" s="166" t="s">
        <v>13</v>
      </c>
      <c r="B19" s="167">
        <v>19459.699374042721</v>
      </c>
      <c r="C19" s="167">
        <v>25610.170902264032</v>
      </c>
      <c r="D19" s="167">
        <v>30717.172137753445</v>
      </c>
      <c r="E19" s="167">
        <v>36251.610473247085</v>
      </c>
      <c r="F19" s="167">
        <v>57055.754402964361</v>
      </c>
      <c r="G19" s="167">
        <v>33831.403297507175</v>
      </c>
    </row>
    <row r="20" spans="1:7" ht="14.25" customHeight="1">
      <c r="A20" s="166" t="s">
        <v>14</v>
      </c>
      <c r="B20" s="167">
        <v>19487.587010798401</v>
      </c>
      <c r="C20" s="167">
        <v>25627.684126040363</v>
      </c>
      <c r="D20" s="167">
        <v>30698.400662915617</v>
      </c>
      <c r="E20" s="167">
        <v>36179.213063898867</v>
      </c>
      <c r="F20" s="167">
        <v>56783.996690886532</v>
      </c>
      <c r="G20" s="167">
        <v>33758.490790400479</v>
      </c>
    </row>
    <row r="21" spans="1:7" ht="14.25" customHeight="1">
      <c r="A21" s="275"/>
      <c r="B21" s="167"/>
      <c r="C21" s="167"/>
      <c r="D21" s="167"/>
      <c r="E21" s="167"/>
      <c r="F21" s="167"/>
      <c r="G21" s="167"/>
    </row>
    <row r="22" spans="1:7" ht="14.25" customHeight="1">
      <c r="A22" s="240">
        <v>2019</v>
      </c>
      <c r="B22" s="167"/>
      <c r="C22" s="167"/>
      <c r="D22" s="167"/>
      <c r="E22" s="167"/>
      <c r="F22" s="167"/>
      <c r="G22" s="167"/>
    </row>
    <row r="23" spans="1:7" ht="14.25" customHeight="1">
      <c r="A23" s="166" t="s">
        <v>50</v>
      </c>
      <c r="B23" s="167">
        <v>19468.505996176089</v>
      </c>
      <c r="C23" s="167">
        <v>25586.819937228916</v>
      </c>
      <c r="D23" s="167">
        <v>30646.779107111586</v>
      </c>
      <c r="E23" s="167">
        <v>36117.9537175273</v>
      </c>
      <c r="F23" s="167">
        <v>56685.985712760099</v>
      </c>
      <c r="G23" s="167">
        <v>33701.202391959509</v>
      </c>
    </row>
    <row r="24" spans="1:7" ht="14.25" customHeight="1">
      <c r="A24" s="166" t="s">
        <v>4</v>
      </c>
      <c r="B24" s="167">
        <v>19541.894513954197</v>
      </c>
      <c r="C24" s="167">
        <v>25680.223797369381</v>
      </c>
      <c r="D24" s="167">
        <v>30761.754390493286</v>
      </c>
      <c r="E24" s="167">
        <v>36254.39498899124</v>
      </c>
      <c r="F24" s="167">
        <v>56895.372802393838</v>
      </c>
      <c r="G24" s="167">
        <v>33826.195261285277</v>
      </c>
    </row>
    <row r="25" spans="1:7" ht="14.25" customHeight="1">
      <c r="A25" s="166" t="s">
        <v>5</v>
      </c>
      <c r="B25" s="167">
        <v>19678.397157021478</v>
      </c>
      <c r="C25" s="167">
        <v>25847.572380121052</v>
      </c>
      <c r="D25" s="167">
        <v>30956.50844193577</v>
      </c>
      <c r="E25" s="167">
        <v>36485.509795756705</v>
      </c>
      <c r="F25" s="167">
        <v>57260.686448137814</v>
      </c>
      <c r="G25" s="167">
        <v>34047.53680071632</v>
      </c>
    </row>
    <row r="26" spans="1:7" ht="14.25" customHeight="1">
      <c r="A26" s="166" t="s">
        <v>6</v>
      </c>
      <c r="B26" s="167">
        <v>19795.81878546645</v>
      </c>
      <c r="C26" s="167">
        <v>25989.624084084677</v>
      </c>
      <c r="D26" s="167">
        <v>31118.41241241205</v>
      </c>
      <c r="E26" s="167">
        <v>36680.425897848058</v>
      </c>
      <c r="F26" s="167">
        <v>57550.264338056819</v>
      </c>
      <c r="G26" s="167">
        <v>34227.214050372102</v>
      </c>
    </row>
    <row r="27" spans="1:7" ht="14.25" customHeight="1">
      <c r="A27" s="166" t="s">
        <v>7</v>
      </c>
      <c r="B27" s="167">
        <v>19788.479933688639</v>
      </c>
      <c r="C27" s="167">
        <v>25979.89451532004</v>
      </c>
      <c r="D27" s="167">
        <v>31113.719543702591</v>
      </c>
      <c r="E27" s="167">
        <v>36672.07235061557</v>
      </c>
      <c r="F27" s="167">
        <v>57527.989115755357</v>
      </c>
      <c r="G27" s="167">
        <v>34216.79797792829</v>
      </c>
    </row>
    <row r="28" spans="1:7" ht="14.25" customHeight="1">
      <c r="A28" s="166" t="s">
        <v>8</v>
      </c>
      <c r="B28" s="167">
        <v>19810.496489022073</v>
      </c>
      <c r="C28" s="167">
        <v>25995.461825343453</v>
      </c>
      <c r="D28" s="167">
        <v>31099.640937574219</v>
      </c>
      <c r="E28" s="167">
        <v>36605.243972755685</v>
      </c>
      <c r="F28" s="167">
        <v>57291.871759359863</v>
      </c>
      <c r="G28" s="167">
        <v>34154.301543265407</v>
      </c>
    </row>
    <row r="29" spans="1:7" ht="14.25" customHeight="1">
      <c r="A29" s="166" t="s">
        <v>9</v>
      </c>
      <c r="B29" s="167">
        <v>19966.080146711662</v>
      </c>
      <c r="C29" s="167">
        <v>26162.810408095116</v>
      </c>
      <c r="D29" s="167">
        <v>31268.584211114685</v>
      </c>
      <c r="E29" s="167">
        <v>36763.961370172925</v>
      </c>
      <c r="F29" s="167">
        <v>57465.618493311275</v>
      </c>
      <c r="G29" s="167">
        <v>34313.146648033573</v>
      </c>
    </row>
    <row r="30" spans="1:7" ht="14.25" customHeight="1">
      <c r="A30" s="166" t="s">
        <v>10</v>
      </c>
      <c r="B30" s="167">
        <v>20045.339745912013</v>
      </c>
      <c r="C30" s="167">
        <v>26258.160181988511</v>
      </c>
      <c r="D30" s="167">
        <v>31381.213060141665</v>
      </c>
      <c r="E30" s="167">
        <v>36886.48006291606</v>
      </c>
      <c r="F30" s="167">
        <v>57643.820271722958</v>
      </c>
      <c r="G30" s="167">
        <v>34430.327463026479</v>
      </c>
    </row>
    <row r="31" spans="1:7" ht="14.25" customHeight="1">
      <c r="A31" s="166" t="s">
        <v>11</v>
      </c>
      <c r="B31" s="167">
        <v>20146.615900445799</v>
      </c>
      <c r="C31" s="167">
        <v>26371.023179658245</v>
      </c>
      <c r="D31" s="167">
        <v>31507.920515297013</v>
      </c>
      <c r="E31" s="167">
        <v>37017.352302891682</v>
      </c>
      <c r="F31" s="167">
        <v>57826.477094594957</v>
      </c>
      <c r="G31" s="167">
        <v>34560.528368574152</v>
      </c>
    </row>
    <row r="32" spans="1:7" ht="14.25" customHeight="1">
      <c r="A32" s="166" t="s">
        <v>12</v>
      </c>
      <c r="B32" s="167">
        <v>20316.877261691006</v>
      </c>
      <c r="C32" s="167">
        <v>26565.61455495088</v>
      </c>
      <c r="D32" s="167">
        <v>31728.485344641515</v>
      </c>
      <c r="E32" s="167">
        <v>37262.389688377945</v>
      </c>
      <c r="F32" s="167">
        <v>58169.515518037457</v>
      </c>
      <c r="G32" s="167">
        <v>34792.285980449014</v>
      </c>
    </row>
    <row r="33" spans="1:7" ht="14.25" customHeight="1">
      <c r="A33" s="166" t="s">
        <v>13</v>
      </c>
      <c r="B33" s="167">
        <v>20400.540171958051</v>
      </c>
      <c r="C33" s="167">
        <v>26674.585725114757</v>
      </c>
      <c r="D33" s="167">
        <v>31852.846365442136</v>
      </c>
      <c r="E33" s="167">
        <v>37404.399991330218</v>
      </c>
      <c r="F33" s="167">
        <v>58365.537474290315</v>
      </c>
      <c r="G33" s="167">
        <v>34922.486885996688</v>
      </c>
    </row>
    <row r="34" spans="1:7" ht="14.25" customHeight="1">
      <c r="A34" s="166" t="s">
        <v>14</v>
      </c>
      <c r="B34" s="167">
        <v>20418.153416224799</v>
      </c>
      <c r="C34" s="167">
        <v>26711.558086420358</v>
      </c>
      <c r="D34" s="167">
        <v>31906.814355600894</v>
      </c>
      <c r="E34" s="167">
        <v>37490.71997939924</v>
      </c>
      <c r="F34" s="167">
        <v>58521.464030400559</v>
      </c>
      <c r="G34" s="167">
        <v>34992.795374992427</v>
      </c>
    </row>
    <row r="35" spans="1:7" ht="14.25" customHeight="1">
      <c r="A35" s="275"/>
      <c r="B35" s="167"/>
      <c r="C35" s="167"/>
      <c r="D35" s="167"/>
      <c r="E35" s="167"/>
      <c r="F35" s="167"/>
      <c r="G35" s="167"/>
    </row>
    <row r="36" spans="1:7" ht="14.25" customHeight="1">
      <c r="A36" s="240">
        <v>2020</v>
      </c>
      <c r="B36" s="167"/>
      <c r="C36" s="167"/>
      <c r="D36" s="167"/>
      <c r="E36" s="167"/>
      <c r="F36" s="167"/>
      <c r="G36" s="167"/>
    </row>
    <row r="37" spans="1:7" ht="14.25" customHeight="1">
      <c r="A37" s="166" t="s">
        <v>50</v>
      </c>
      <c r="B37" s="167">
        <v>20487.138622936218</v>
      </c>
      <c r="C37" s="167">
        <v>26791.340550290341</v>
      </c>
      <c r="D37" s="167">
        <v>31998.325295435319</v>
      </c>
      <c r="E37" s="167">
        <v>37604.885124909895</v>
      </c>
      <c r="F37" s="167">
        <v>58735.306164494592</v>
      </c>
      <c r="G37" s="167">
        <v>35107.372171874376</v>
      </c>
    </row>
    <row r="38" spans="1:7" ht="14.25" customHeight="1">
      <c r="A38" s="166" t="s">
        <v>4</v>
      </c>
      <c r="B38" s="167">
        <v>20487.138622936218</v>
      </c>
      <c r="C38" s="167">
        <v>26785.502809031561</v>
      </c>
      <c r="D38" s="167">
        <v>31979.553820597484</v>
      </c>
      <c r="E38" s="167">
        <v>37560.332873003295</v>
      </c>
      <c r="F38" s="167">
        <v>58597.19978622553</v>
      </c>
      <c r="G38" s="167">
        <v>35063.103863988174</v>
      </c>
    </row>
    <row r="39" spans="1:7" ht="14.25" customHeight="1">
      <c r="A39" s="166" t="s">
        <v>5</v>
      </c>
      <c r="B39" s="167">
        <v>20416.685645869235</v>
      </c>
      <c r="C39" s="167">
        <v>26686.261207632313</v>
      </c>
      <c r="D39" s="167">
        <v>31841.114193668494</v>
      </c>
      <c r="E39" s="167">
        <v>37362.632255167788</v>
      </c>
      <c r="F39" s="167">
        <v>58214.065962640379</v>
      </c>
      <c r="G39" s="167">
        <v>34880.822596221427</v>
      </c>
    </row>
    <row r="40" spans="1:7" ht="14.25" customHeight="1">
      <c r="A40" s="166" t="s">
        <v>6</v>
      </c>
      <c r="B40" s="167">
        <v>20297.796247068702</v>
      </c>
      <c r="C40" s="167">
        <v>26534.479934904062</v>
      </c>
      <c r="D40" s="167">
        <v>31622.895798678732</v>
      </c>
      <c r="E40" s="167">
        <v>37047.981976077463</v>
      </c>
      <c r="F40" s="167">
        <v>57621.545049421504</v>
      </c>
      <c r="G40" s="167">
        <v>34594.380604016551</v>
      </c>
    </row>
    <row r="41" spans="1:7" ht="14.25" customHeight="1">
      <c r="A41" s="166" t="s">
        <v>7</v>
      </c>
      <c r="B41" s="167">
        <v>20165.696915068111</v>
      </c>
      <c r="C41" s="167">
        <v>26419.671023481405</v>
      </c>
      <c r="D41" s="167">
        <v>31531.384858844311</v>
      </c>
      <c r="E41" s="167">
        <v>36995.076176938383</v>
      </c>
      <c r="F41" s="167">
        <v>57773.016561071447</v>
      </c>
      <c r="G41" s="167">
        <v>34555.320332352247</v>
      </c>
    </row>
    <row r="42" spans="1:7" ht="14.25" customHeight="1">
      <c r="A42" s="166" t="s">
        <v>8</v>
      </c>
      <c r="B42" s="167">
        <v>20513.558489336338</v>
      </c>
      <c r="C42" s="167">
        <v>26847.772049125204</v>
      </c>
      <c r="D42" s="167">
        <v>32033.521810756258</v>
      </c>
      <c r="E42" s="167">
        <v>37579.824483212433</v>
      </c>
      <c r="F42" s="167">
        <v>58833.317142621025</v>
      </c>
      <c r="G42" s="167">
        <v>35143.828425427731</v>
      </c>
    </row>
    <row r="43" spans="1:7" ht="14.25" customHeight="1">
      <c r="A43" s="166" t="s">
        <v>9</v>
      </c>
      <c r="B43" s="167">
        <v>20977.373921693972</v>
      </c>
      <c r="C43" s="167">
        <v>27421.816606238484</v>
      </c>
      <c r="D43" s="167">
        <v>32674.098389597191</v>
      </c>
      <c r="E43" s="167">
        <v>38287.091482229618</v>
      </c>
      <c r="F43" s="167">
        <v>59791.151701583884</v>
      </c>
      <c r="G43" s="167">
        <v>35805.249025609904</v>
      </c>
    </row>
    <row r="44" spans="1:7" ht="14.25" customHeight="1">
      <c r="A44" s="166" t="s">
        <v>10</v>
      </c>
      <c r="B44" s="167">
        <v>21153.50636436143</v>
      </c>
      <c r="C44" s="167">
        <v>27663.109911601357</v>
      </c>
      <c r="D44" s="167">
        <v>32950.977643455182</v>
      </c>
      <c r="E44" s="167">
        <v>38601.741761319943</v>
      </c>
      <c r="F44" s="167">
        <v>60187.650658549894</v>
      </c>
      <c r="G44" s="167">
        <v>36083.878963481919</v>
      </c>
    </row>
    <row r="45" spans="1:7" ht="14.25" customHeight="1">
      <c r="A45" s="166" t="s">
        <v>11</v>
      </c>
      <c r="B45" s="167">
        <v>21309.090022051019</v>
      </c>
      <c r="C45" s="167">
        <v>27847.971718129364</v>
      </c>
      <c r="D45" s="167">
        <v>33159.810301026031</v>
      </c>
      <c r="E45" s="167">
        <v>38830.072052341238</v>
      </c>
      <c r="F45" s="167">
        <v>60508.41385969094</v>
      </c>
      <c r="G45" s="167">
        <v>36300.012466691056</v>
      </c>
    </row>
    <row r="46" spans="1:7" ht="14.25" customHeight="1">
      <c r="A46" s="166" t="s">
        <v>12</v>
      </c>
      <c r="B46" s="167">
        <v>21512.182162788413</v>
      </c>
      <c r="C46" s="167">
        <v>28062.097200087104</v>
      </c>
      <c r="D46" s="167">
        <v>33407.495245092738</v>
      </c>
      <c r="E46" s="167">
        <v>39076.813108728878</v>
      </c>
      <c r="F46" s="167">
        <v>60735.158673028709</v>
      </c>
      <c r="G46" s="167">
        <v>36540.606724531026</v>
      </c>
    </row>
    <row r="47" spans="1:7" ht="14.25" customHeight="1">
      <c r="A47" s="166" t="s">
        <v>13</v>
      </c>
      <c r="B47" s="167">
        <v>21697.628959227888</v>
      </c>
      <c r="C47" s="167">
        <v>28288.142041041534</v>
      </c>
      <c r="D47" s="167">
        <v>33650.008780768061</v>
      </c>
      <c r="E47" s="167">
        <v>39298.641063113675</v>
      </c>
      <c r="F47" s="167">
        <v>60950.800323571937</v>
      </c>
      <c r="G47" s="167">
        <v>36758.910632012296</v>
      </c>
    </row>
    <row r="48" spans="1:7" ht="14.25" customHeight="1">
      <c r="A48" s="166" t="s">
        <v>14</v>
      </c>
      <c r="B48" s="167">
        <v>21791.969174960679</v>
      </c>
      <c r="C48" s="167">
        <v>28421.597648370207</v>
      </c>
      <c r="D48" s="167">
        <v>33798.593906316681</v>
      </c>
      <c r="E48" s="167">
        <v>39492.258370725365</v>
      </c>
      <c r="F48" s="167">
        <v>61286.380990123354</v>
      </c>
      <c r="G48" s="167">
        <v>36936.171989626746</v>
      </c>
    </row>
    <row r="49" spans="1:23" ht="14.25" customHeight="1">
      <c r="A49" s="275"/>
      <c r="B49" s="167"/>
      <c r="C49" s="167"/>
      <c r="D49" s="167"/>
      <c r="E49" s="167"/>
      <c r="F49" s="167"/>
      <c r="G49" s="167"/>
    </row>
    <row r="50" spans="1:23" ht="14.25" customHeight="1">
      <c r="A50" s="240">
        <v>2021</v>
      </c>
      <c r="B50" s="167"/>
      <c r="C50" s="167"/>
      <c r="D50" s="167"/>
      <c r="E50" s="167"/>
      <c r="F50" s="167"/>
      <c r="G50" s="167"/>
    </row>
    <row r="51" spans="1:23" ht="14.25" customHeight="1">
      <c r="A51" s="166" t="s">
        <v>3</v>
      </c>
      <c r="B51" s="167">
        <v>22020.785575400296</v>
      </c>
      <c r="C51" s="167">
        <v>28717.90054899755</v>
      </c>
      <c r="D51" s="167">
        <v>34161.658430483316</v>
      </c>
      <c r="E51" s="167">
        <v>39889.325114850901</v>
      </c>
      <c r="F51" s="167">
        <v>61781.761974080218</v>
      </c>
      <c r="G51" s="167">
        <v>37293.525225536119</v>
      </c>
      <c r="P51" s="258"/>
      <c r="Q51" s="258"/>
      <c r="R51" s="258"/>
      <c r="S51" s="258"/>
      <c r="T51" s="258"/>
      <c r="U51" s="258"/>
      <c r="V51" s="258"/>
      <c r="W51" s="258"/>
    </row>
    <row r="52" spans="1:23" ht="14.25" customHeight="1">
      <c r="A52" s="166" t="s">
        <v>4</v>
      </c>
      <c r="B52" s="167">
        <v>22155.675532983147</v>
      </c>
      <c r="C52" s="167">
        <v>28912.308656382065</v>
      </c>
      <c r="D52" s="167">
        <v>34386.797196803724</v>
      </c>
      <c r="E52" s="167">
        <v>40192.230316798086</v>
      </c>
      <c r="F52" s="167">
        <v>62222.692479513746</v>
      </c>
      <c r="G52" s="167">
        <v>37548.272086778445</v>
      </c>
      <c r="P52" s="258"/>
      <c r="Q52" s="258"/>
      <c r="R52" s="258"/>
      <c r="S52" s="258"/>
      <c r="T52" s="258"/>
      <c r="U52" s="258"/>
    </row>
    <row r="53" spans="1:23" ht="14.25" customHeight="1">
      <c r="A53" s="166" t="s">
        <v>5</v>
      </c>
      <c r="B53" s="167">
        <v>22233.67172011311</v>
      </c>
      <c r="C53" s="167">
        <v>29042.727484348525</v>
      </c>
      <c r="D53" s="167">
        <v>34552.178901762192</v>
      </c>
      <c r="E53" s="167">
        <v>40399.46134135122</v>
      </c>
      <c r="F53" s="167">
        <v>62721.032728607752</v>
      </c>
      <c r="G53" s="167">
        <v>37774.713741216066</v>
      </c>
      <c r="P53" s="258"/>
      <c r="Q53" s="258"/>
      <c r="R53" s="258"/>
      <c r="S53" s="258"/>
      <c r="T53" s="258"/>
      <c r="U53" s="258"/>
    </row>
    <row r="54" spans="1:23" ht="14.25" customHeight="1">
      <c r="A54" s="166" t="s">
        <v>6</v>
      </c>
      <c r="B54" s="167">
        <v>22317.460727507369</v>
      </c>
      <c r="C54" s="167">
        <v>29147.116774924591</v>
      </c>
      <c r="D54" s="167">
        <v>34699.794993883326</v>
      </c>
      <c r="E54" s="167">
        <v>40558.288039001425</v>
      </c>
      <c r="F54" s="167">
        <v>62983.815472785594</v>
      </c>
      <c r="G54" s="167">
        <v>37931.100008812049</v>
      </c>
      <c r="P54" s="258"/>
      <c r="Q54" s="258"/>
      <c r="R54" s="258"/>
      <c r="S54" s="258"/>
      <c r="T54" s="258"/>
      <c r="U54" s="258"/>
    </row>
    <row r="55" spans="1:23" ht="14.25" customHeight="1">
      <c r="A55" s="166" t="s">
        <v>7</v>
      </c>
      <c r="B55" s="167">
        <v>22463.315666304774</v>
      </c>
      <c r="C55" s="167">
        <v>29345.863138540837</v>
      </c>
      <c r="D55" s="167">
        <v>34915.88944821382</v>
      </c>
      <c r="E55" s="167">
        <v>40804.091261555332</v>
      </c>
      <c r="F55" s="167">
        <v>63403.439269231727</v>
      </c>
      <c r="G55" s="167">
        <v>38177.001492927899</v>
      </c>
      <c r="P55" s="258"/>
      <c r="Q55" s="258"/>
      <c r="R55" s="258"/>
      <c r="S55" s="258"/>
      <c r="T55" s="258"/>
      <c r="U55" s="258"/>
    </row>
    <row r="56" spans="1:23" ht="14.25" customHeight="1">
      <c r="A56" s="166" t="s">
        <v>8</v>
      </c>
      <c r="B56" s="167">
        <v>22636.272728481556</v>
      </c>
      <c r="C56" s="167">
        <v>29556.539706794356</v>
      </c>
      <c r="D56" s="167">
        <v>35155.563715946599</v>
      </c>
      <c r="E56" s="167">
        <v>41038.171561187432</v>
      </c>
      <c r="F56" s="167">
        <v>63703.508754137503</v>
      </c>
      <c r="G56" s="167">
        <v>38419.011011108109</v>
      </c>
      <c r="P56" s="258"/>
      <c r="Q56" s="258"/>
      <c r="R56" s="258"/>
      <c r="S56" s="258"/>
      <c r="T56" s="258"/>
      <c r="U56" s="258"/>
    </row>
    <row r="57" spans="1:23" ht="14.25" customHeight="1">
      <c r="A57" s="166" t="s">
        <v>9</v>
      </c>
      <c r="B57" s="167">
        <v>22777.78305208074</v>
      </c>
      <c r="C57" s="167">
        <v>29741.186737657474</v>
      </c>
      <c r="D57" s="167">
        <v>35347.755345732316</v>
      </c>
      <c r="E57" s="167">
        <v>41244.646268132703</v>
      </c>
      <c r="F57" s="167">
        <v>63972.210028589616</v>
      </c>
      <c r="G57" s="167">
        <v>38625.285205697386</v>
      </c>
      <c r="P57" s="258"/>
      <c r="Q57" s="258"/>
      <c r="R57" s="258"/>
      <c r="S57" s="258"/>
      <c r="T57" s="258"/>
      <c r="U57" s="258"/>
    </row>
    <row r="58" spans="1:23" ht="14.25" customHeight="1">
      <c r="A58" s="166" t="s">
        <v>10</v>
      </c>
      <c r="B58" s="167">
        <v>22960.87754972004</v>
      </c>
      <c r="C58" s="167">
        <v>29981.959958518637</v>
      </c>
      <c r="D58" s="167">
        <v>35620.699761142285</v>
      </c>
      <c r="E58" s="167">
        <v>41548.307787687758</v>
      </c>
      <c r="F58" s="167">
        <v>64416.691652187714</v>
      </c>
      <c r="G58" s="167">
        <v>38933.458144783588</v>
      </c>
      <c r="P58" s="258"/>
      <c r="Q58" s="258"/>
      <c r="R58" s="258"/>
      <c r="S58" s="258"/>
      <c r="T58" s="258"/>
      <c r="U58" s="258"/>
    </row>
    <row r="59" spans="1:23" ht="14.25" customHeight="1">
      <c r="A59" s="166" t="s">
        <v>11</v>
      </c>
      <c r="B59" s="167">
        <v>23072.803112683727</v>
      </c>
      <c r="C59" s="167">
        <v>30153.592220686558</v>
      </c>
      <c r="D59" s="167">
        <v>35822.258714060416</v>
      </c>
      <c r="E59" s="167">
        <v>41747.597477358388</v>
      </c>
      <c r="F59" s="167">
        <v>64575.900116565732</v>
      </c>
      <c r="G59" s="167">
        <v>39108.95042697274</v>
      </c>
      <c r="P59" s="258"/>
      <c r="Q59" s="258"/>
      <c r="R59" s="258"/>
      <c r="S59" s="258"/>
      <c r="T59" s="258"/>
      <c r="U59" s="258"/>
    </row>
    <row r="60" spans="1:23" ht="14.25" customHeight="1">
      <c r="A60" s="166" t="s">
        <v>12</v>
      </c>
      <c r="B60" s="167">
        <v>23246.587720612555</v>
      </c>
      <c r="C60" s="167">
        <v>30360.201673722826</v>
      </c>
      <c r="D60" s="167">
        <v>36062.255992935694</v>
      </c>
      <c r="E60" s="167">
        <v>42019.493657383391</v>
      </c>
      <c r="F60" s="167">
        <v>64955.869760174217</v>
      </c>
      <c r="G60" s="167">
        <v>39359.805322279419</v>
      </c>
      <c r="P60" s="258"/>
      <c r="Q60" s="258"/>
      <c r="R60" s="258"/>
      <c r="S60" s="258"/>
      <c r="T60" s="258"/>
      <c r="U60" s="258"/>
    </row>
    <row r="61" spans="1:23" ht="14.25" customHeight="1">
      <c r="A61" s="166" t="s">
        <v>13</v>
      </c>
      <c r="B61" s="167">
        <v>23482.852032820556</v>
      </c>
      <c r="C61" s="167">
        <v>30673.369545451023</v>
      </c>
      <c r="D61" s="167">
        <v>36404.647803982516</v>
      </c>
      <c r="E61" s="167">
        <v>42412.400654665704</v>
      </c>
      <c r="F61" s="167">
        <v>65768.483966832253</v>
      </c>
      <c r="G61" s="167">
        <v>39785.091054520082</v>
      </c>
      <c r="P61" s="258"/>
      <c r="Q61" s="258"/>
      <c r="R61" s="258"/>
      <c r="S61" s="258"/>
      <c r="T61" s="258"/>
      <c r="U61" s="258"/>
    </row>
    <row r="62" spans="1:23" ht="14.25" customHeight="1">
      <c r="A62" s="166" t="s">
        <v>14</v>
      </c>
      <c r="B62" s="167">
        <v>23690.359130145094</v>
      </c>
      <c r="C62" s="167">
        <v>30913.058202254251</v>
      </c>
      <c r="D62" s="167">
        <v>36669.193929687564</v>
      </c>
      <c r="E62" s="167">
        <v>42717.196650632541</v>
      </c>
      <c r="F62" s="167">
        <v>66252.02789024057</v>
      </c>
      <c r="G62" s="167">
        <v>40074.157979013107</v>
      </c>
      <c r="P62" s="258"/>
      <c r="Q62" s="258"/>
      <c r="R62" s="258"/>
      <c r="S62" s="258"/>
      <c r="T62" s="258"/>
      <c r="U62" s="258"/>
    </row>
    <row r="63" spans="1:23" ht="14.25" customHeight="1">
      <c r="A63" s="165"/>
      <c r="B63" s="165"/>
      <c r="C63" s="165"/>
      <c r="D63" s="165"/>
      <c r="E63" s="165"/>
      <c r="F63" s="165"/>
      <c r="G63" s="165"/>
    </row>
    <row r="64" spans="1:23" ht="14.25" customHeight="1">
      <c r="A64" s="240">
        <v>2022</v>
      </c>
      <c r="B64" s="165"/>
      <c r="C64" s="165"/>
      <c r="D64" s="165"/>
      <c r="E64" s="165"/>
      <c r="F64" s="165"/>
      <c r="G64" s="165"/>
    </row>
    <row r="65" spans="1:7" ht="14.25" customHeight="1">
      <c r="A65" s="166" t="s">
        <v>3</v>
      </c>
      <c r="B65" s="167">
        <v>23969.448935021268</v>
      </c>
      <c r="C65" s="167">
        <v>31304.314686153637</v>
      </c>
      <c r="D65" s="167">
        <v>37116.887373188416</v>
      </c>
      <c r="E65" s="167">
        <v>43273.846410016151</v>
      </c>
      <c r="F65" s="167">
        <v>66959.884111043924</v>
      </c>
      <c r="G65" s="167">
        <v>40547.916377906819</v>
      </c>
    </row>
    <row r="66" spans="1:7" ht="14.25" customHeight="1">
      <c r="A66" s="166" t="s">
        <v>4</v>
      </c>
      <c r="B66" s="167">
        <v>24167.0254833213</v>
      </c>
      <c r="C66" s="167">
        <v>31586.843623245226</v>
      </c>
      <c r="D66" s="167">
        <v>37456.695095095267</v>
      </c>
      <c r="E66" s="167">
        <v>43667.887883710246</v>
      </c>
      <c r="F66" s="167">
        <v>67600.269086720553</v>
      </c>
      <c r="G66" s="167">
        <v>40921.545107728896</v>
      </c>
    </row>
    <row r="67" spans="1:7" ht="14.25" customHeight="1">
      <c r="A67" s="166" t="s">
        <v>5</v>
      </c>
      <c r="B67" s="167">
        <v>24367.084668877458</v>
      </c>
      <c r="C67" s="167">
        <v>31842.529599902966</v>
      </c>
      <c r="D67" s="167">
        <v>37737.714789067657</v>
      </c>
      <c r="E67" s="167">
        <v>43921.254282342728</v>
      </c>
      <c r="F67" s="167">
        <v>67980.238730329045</v>
      </c>
      <c r="G67" s="167">
        <v>41195.044168479333</v>
      </c>
    </row>
    <row r="68" spans="1:7" ht="14.25" customHeight="1">
      <c r="A68" s="166" t="s">
        <v>6</v>
      </c>
      <c r="B68" s="167">
        <v>24638.519675547243</v>
      </c>
      <c r="C68" s="167">
        <v>32184.438419166392</v>
      </c>
      <c r="D68" s="167">
        <v>38119.836970641612</v>
      </c>
      <c r="E68" s="167">
        <v>44348.951889586519</v>
      </c>
      <c r="F68" s="167">
        <v>68593.990319771416</v>
      </c>
      <c r="G68" s="167">
        <v>41588.840358149755</v>
      </c>
    </row>
    <row r="69" spans="1:7" ht="14.25" customHeight="1">
      <c r="A69" s="166" t="s">
        <v>7</v>
      </c>
      <c r="B69" s="167">
        <v>24809.407873343924</v>
      </c>
      <c r="C69" s="167">
        <v>32370.71229611641</v>
      </c>
      <c r="D69" s="167">
        <v>38339.484547539578</v>
      </c>
      <c r="E69" s="167">
        <v>44570.931107492892</v>
      </c>
      <c r="F69" s="167">
        <v>68837.83376707157</v>
      </c>
      <c r="G69" s="167">
        <v>41793.699292398793</v>
      </c>
    </row>
    <row r="70" spans="1:7" ht="14.25" customHeight="1">
      <c r="A70" s="166" t="s">
        <v>8</v>
      </c>
      <c r="B70" s="167">
        <v>24978.227206760497</v>
      </c>
      <c r="C70" s="167">
        <v>32594.403633065125</v>
      </c>
      <c r="D70" s="167">
        <v>38613.07498523454</v>
      </c>
      <c r="E70" s="167">
        <v>44846.230716753256</v>
      </c>
      <c r="F70" s="167">
        <v>69194.129289582954</v>
      </c>
      <c r="G70" s="167">
        <v>42060.475866533117</v>
      </c>
    </row>
    <row r="71" spans="1:7" ht="14.25" customHeight="1">
      <c r="A71" s="166" t="s">
        <v>9</v>
      </c>
      <c r="B71" s="167">
        <v>25078.360242757582</v>
      </c>
      <c r="C71" s="167">
        <v>32728.347294219868</v>
      </c>
      <c r="D71" s="167">
        <v>38766.182266778116</v>
      </c>
      <c r="E71" s="167">
        <v>45016.402178521341</v>
      </c>
      <c r="F71" s="167">
        <v>69577.650051356002</v>
      </c>
      <c r="G71" s="167">
        <v>42269.58058180286</v>
      </c>
    </row>
    <row r="72" spans="1:7" ht="14.25" customHeight="1">
      <c r="A72" s="166" t="s">
        <v>10</v>
      </c>
      <c r="B72" s="167">
        <v>25122.840826929842</v>
      </c>
      <c r="C72" s="167">
        <v>32806.164765376569</v>
      </c>
      <c r="D72" s="167">
        <v>38842.735907549904</v>
      </c>
      <c r="E72" s="167">
        <v>45102.244227013245</v>
      </c>
      <c r="F72" s="167">
        <v>69748.695576282567</v>
      </c>
      <c r="G72" s="167">
        <v>42358.034353067553</v>
      </c>
    </row>
    <row r="73" spans="1:7" ht="14.25" customHeight="1">
      <c r="A73" s="166" t="s">
        <v>11</v>
      </c>
      <c r="B73" s="167">
        <v>25215.732837596559</v>
      </c>
      <c r="C73" s="167">
        <v>32936.312452328551</v>
      </c>
      <c r="D73" s="167">
        <v>38990.998021956031</v>
      </c>
      <c r="E73" s="167">
        <v>45239.515872839504</v>
      </c>
      <c r="F73" s="167">
        <v>69852.269856082392</v>
      </c>
      <c r="G73" s="167">
        <v>42482.577263008243</v>
      </c>
    </row>
    <row r="74" spans="1:7" ht="14.25" customHeight="1">
      <c r="A74" s="166" t="s">
        <v>12</v>
      </c>
      <c r="B74" s="167">
        <v>25306.555983883172</v>
      </c>
      <c r="C74" s="167">
        <v>33053.716511599821</v>
      </c>
      <c r="D74" s="167">
        <v>39116.649356387366</v>
      </c>
      <c r="E74" s="167">
        <v>45383.594377136484</v>
      </c>
      <c r="F74" s="167">
        <v>70008.519055323268</v>
      </c>
      <c r="G74" s="167">
        <v>42601.105316502937</v>
      </c>
    </row>
    <row r="75" spans="1:7" ht="14.25" customHeight="1">
      <c r="A75" s="166" t="s">
        <v>13</v>
      </c>
      <c r="B75" s="167">
        <v>25457.996856506863</v>
      </c>
      <c r="C75" s="167">
        <v>33215.316556231861</v>
      </c>
      <c r="D75" s="167">
        <v>39304.318830178127</v>
      </c>
      <c r="E75" s="167">
        <v>45595.363307336767</v>
      </c>
      <c r="F75" s="167">
        <v>70296.159626653054</v>
      </c>
      <c r="G75" s="167">
        <v>42799.595579220906</v>
      </c>
    </row>
    <row r="76" spans="1:7" ht="14.25" customHeight="1">
      <c r="A76" s="166" t="s">
        <v>14</v>
      </c>
      <c r="B76" s="167">
        <v>25725.294134416439</v>
      </c>
      <c r="C76" s="167">
        <v>33561.563631727018</v>
      </c>
      <c r="D76" s="167">
        <v>39687.087034037082</v>
      </c>
      <c r="E76" s="167">
        <v>46015.875897305894</v>
      </c>
      <c r="F76" s="167">
        <v>70921.748276643993</v>
      </c>
      <c r="G76" s="167">
        <v>43210.728708059214</v>
      </c>
    </row>
    <row r="77" spans="1:7" ht="14.25" customHeight="1">
      <c r="A77" s="240"/>
      <c r="B77" s="167"/>
      <c r="C77" s="167"/>
      <c r="D77" s="167"/>
      <c r="E77" s="167"/>
      <c r="F77" s="167"/>
      <c r="G77" s="167"/>
    </row>
    <row r="78" spans="1:7" ht="14.25" customHeight="1">
      <c r="A78" s="240">
        <v>2023</v>
      </c>
      <c r="B78" s="167"/>
      <c r="C78" s="167"/>
      <c r="D78" s="167"/>
      <c r="E78" s="167"/>
      <c r="F78" s="167"/>
      <c r="G78" s="167"/>
    </row>
    <row r="79" spans="1:7" ht="14.25" customHeight="1">
      <c r="A79" s="165" t="s">
        <v>3</v>
      </c>
      <c r="B79" s="167">
        <v>25908.595518493748</v>
      </c>
      <c r="C79" s="167">
        <v>33787.966378820565</v>
      </c>
      <c r="D79" s="167">
        <v>39959.708438304551</v>
      </c>
      <c r="E79" s="167">
        <v>46341.848786292758</v>
      </c>
      <c r="F79" s="167">
        <v>71188.673992013821</v>
      </c>
      <c r="G79" s="167">
        <v>43484.935398979775</v>
      </c>
    </row>
    <row r="80" spans="1:7" ht="14.25" customHeight="1">
      <c r="A80" s="165" t="s">
        <v>4</v>
      </c>
      <c r="B80" s="167">
        <v>25928.042843666739</v>
      </c>
      <c r="C80" s="167">
        <v>33803.963698675077</v>
      </c>
      <c r="D80" s="167">
        <v>39986.195351989314</v>
      </c>
      <c r="E80" s="167">
        <v>46353.949868018492</v>
      </c>
      <c r="F80" s="167">
        <v>71299.942361170193</v>
      </c>
      <c r="G80" s="167">
        <v>43531.638990207532</v>
      </c>
    </row>
    <row r="81" spans="1:7" ht="14.25" customHeight="1">
      <c r="A81" s="165" t="s">
        <v>5</v>
      </c>
      <c r="B81" s="167">
        <v>25987.833024251777</v>
      </c>
      <c r="C81" s="167">
        <v>33889.6442592518</v>
      </c>
      <c r="D81" s="167">
        <v>40086.005795020887</v>
      </c>
      <c r="E81" s="167">
        <v>46462.103285942205</v>
      </c>
      <c r="F81" s="167">
        <v>71465.069355822488</v>
      </c>
      <c r="G81" s="167">
        <v>43625.223080205578</v>
      </c>
    </row>
    <row r="82" spans="1:7" ht="14.25" customHeight="1">
      <c r="A82" s="165" t="s">
        <v>6</v>
      </c>
      <c r="B82" s="167">
        <v>26071.82891808404</v>
      </c>
      <c r="C82" s="167">
        <v>33986.983883451299</v>
      </c>
      <c r="D82" s="167">
        <v>40190.661405189916</v>
      </c>
      <c r="E82" s="167">
        <v>46594.458867317386</v>
      </c>
      <c r="F82" s="167">
        <v>71584.031814335423</v>
      </c>
      <c r="G82" s="167">
        <v>43731.544513265748</v>
      </c>
    </row>
    <row r="83" spans="1:7" ht="14.25" customHeight="1">
      <c r="A83" s="165" t="s">
        <v>7</v>
      </c>
      <c r="B83" s="167">
        <v>25993.005185202037</v>
      </c>
      <c r="C83" s="167">
        <v>33897.236207657334</v>
      </c>
      <c r="D83" s="167">
        <v>40109.908619565664</v>
      </c>
      <c r="E83" s="167">
        <v>46501.053642746905</v>
      </c>
      <c r="F83" s="167">
        <v>71502.947949577851</v>
      </c>
      <c r="G83" s="167">
        <v>43645.213632511404</v>
      </c>
    </row>
    <row r="84" spans="1:7" ht="14.25" customHeight="1">
      <c r="A84" s="165" t="s">
        <v>8</v>
      </c>
      <c r="B84" s="167">
        <v>26068.725621513884</v>
      </c>
      <c r="C84" s="167">
        <v>33993.762408813389</v>
      </c>
      <c r="D84" s="167">
        <v>40223.608541724607</v>
      </c>
      <c r="E84" s="167">
        <v>46601.265725788115</v>
      </c>
      <c r="F84" s="167">
        <v>71592.909609746843</v>
      </c>
      <c r="G84" s="167">
        <v>43741.097520562333</v>
      </c>
    </row>
    <row r="85" spans="1:7" ht="14.25" customHeight="1">
      <c r="A85" s="165" t="s">
        <v>9</v>
      </c>
      <c r="B85" s="167">
        <v>26192.83679567639</v>
      </c>
      <c r="C85" s="167">
        <v>34153.925406068673</v>
      </c>
      <c r="D85" s="167">
        <v>40392.511068136286</v>
      </c>
      <c r="E85" s="167">
        <v>46802.786552401922</v>
      </c>
      <c r="F85" s="167">
        <v>71909.373423512356</v>
      </c>
      <c r="G85" s="167">
        <v>43939.729309314338</v>
      </c>
    </row>
    <row r="86" spans="1:7" ht="14.25" customHeight="1">
      <c r="A86" s="165" t="s">
        <v>10</v>
      </c>
      <c r="B86" s="167">
        <v>26335.940144848257</v>
      </c>
      <c r="C86" s="167">
        <v>34344.429082844632</v>
      </c>
      <c r="D86" s="167">
        <v>40617.036113285954</v>
      </c>
      <c r="E86" s="167">
        <v>47054.602499938293</v>
      </c>
      <c r="F86" s="167">
        <v>72158.247621545641</v>
      </c>
      <c r="G86" s="167">
        <v>44166.100200734945</v>
      </c>
    </row>
    <row r="87" spans="1:7" ht="14.25" customHeight="1">
      <c r="A87" s="165" t="s">
        <v>11</v>
      </c>
      <c r="B87" s="167">
        <v>26482.31229974069</v>
      </c>
      <c r="C87" s="167">
        <v>34547.866186011444</v>
      </c>
      <c r="D87" s="167">
        <v>40838.234143667905</v>
      </c>
      <c r="E87" s="167">
        <v>47298.174585549008</v>
      </c>
      <c r="F87" s="167">
        <v>72340.656724598812</v>
      </c>
      <c r="G87" s="167">
        <v>44356.169664428518</v>
      </c>
    </row>
    <row r="88" spans="1:7" ht="14.25" customHeight="1">
      <c r="A88" s="165" t="s">
        <v>12</v>
      </c>
      <c r="B88" s="167">
        <v>26542.785205571163</v>
      </c>
      <c r="C88" s="167">
        <v>34620.911575313243</v>
      </c>
      <c r="D88" s="167">
        <v>40921.08650171839</v>
      </c>
      <c r="E88" s="167">
        <v>47401.941361347148</v>
      </c>
      <c r="F88" s="167">
        <v>72555.321817646793</v>
      </c>
      <c r="G88" s="167">
        <v>44452.47813058152</v>
      </c>
    </row>
    <row r="89" spans="1:7" ht="14.25" customHeight="1">
      <c r="A89" s="165" t="s">
        <v>13</v>
      </c>
      <c r="B89" s="167">
        <v>26573.776793985136</v>
      </c>
      <c r="C89" s="167">
        <v>34653.909436775852</v>
      </c>
      <c r="D89" s="167">
        <v>40949.737590057877</v>
      </c>
      <c r="E89" s="167">
        <v>47434.273939083076</v>
      </c>
      <c r="F89" s="167">
        <v>72676.474132361211</v>
      </c>
      <c r="G89" s="167">
        <v>44513.26356219461</v>
      </c>
    </row>
    <row r="90" spans="1:7" ht="14.25" customHeight="1">
      <c r="A90" s="165" t="s">
        <v>14</v>
      </c>
      <c r="B90" s="167">
        <v>26798.703729390156</v>
      </c>
      <c r="C90" s="167">
        <v>34890.805341129904</v>
      </c>
      <c r="D90" s="167">
        <v>41187.60299539267</v>
      </c>
      <c r="E90" s="167">
        <v>47653.98420416587</v>
      </c>
      <c r="F90" s="167">
        <v>72991.872610677354</v>
      </c>
      <c r="G90" s="167">
        <v>44752.86713779642</v>
      </c>
    </row>
    <row r="91" spans="1:7" ht="14.25" customHeight="1">
      <c r="A91" s="240"/>
      <c r="B91" s="167"/>
      <c r="C91" s="167"/>
      <c r="D91" s="167"/>
      <c r="E91" s="167"/>
      <c r="F91" s="167"/>
      <c r="G91" s="167"/>
    </row>
    <row r="92" spans="1:7" ht="14.25" customHeight="1">
      <c r="A92" s="240">
        <v>2024</v>
      </c>
      <c r="B92" s="167"/>
      <c r="C92" s="167"/>
      <c r="D92" s="167"/>
      <c r="E92" s="167"/>
      <c r="F92" s="167"/>
      <c r="G92" s="167"/>
    </row>
    <row r="93" spans="1:7" ht="14.25" customHeight="1">
      <c r="A93" s="165" t="s">
        <v>3</v>
      </c>
      <c r="B93" s="167">
        <v>26861.638583832955</v>
      </c>
      <c r="C93" s="167">
        <v>34995.736913734938</v>
      </c>
      <c r="D93" s="167">
        <v>41360.76926888532</v>
      </c>
      <c r="E93" s="167">
        <v>47875.623079148703</v>
      </c>
      <c r="F93" s="167">
        <v>73192.037304553349</v>
      </c>
      <c r="G93" s="167">
        <v>44927.297974730405</v>
      </c>
    </row>
    <row r="94" spans="1:7" ht="14.25" customHeight="1">
      <c r="A94" s="165" t="s">
        <v>4</v>
      </c>
      <c r="B94" s="167">
        <v>26891.347476331262</v>
      </c>
      <c r="C94" s="167">
        <v>35007.640004270754</v>
      </c>
      <c r="D94" s="167">
        <v>41367.810911791748</v>
      </c>
      <c r="E94" s="167">
        <v>47894.304124062801</v>
      </c>
      <c r="F94" s="167">
        <v>73319.108149542051</v>
      </c>
      <c r="G94" s="167">
        <v>44967.986709512166</v>
      </c>
    </row>
    <row r="95" spans="1:7" ht="14.25" customHeight="1">
      <c r="A95" s="165" t="s">
        <v>5</v>
      </c>
      <c r="B95" s="167">
        <v>26971.309084622328</v>
      </c>
      <c r="C95" s="167">
        <v>35095.028753238708</v>
      </c>
      <c r="D95" s="167">
        <v>41459.836786289146</v>
      </c>
      <c r="E95" s="167">
        <v>48014.936782516168</v>
      </c>
      <c r="F95" s="167">
        <v>73603.493529220985</v>
      </c>
      <c r="G95" s="167">
        <v>45101.799574681398</v>
      </c>
    </row>
    <row r="96" spans="1:7" ht="14.25" customHeight="1">
      <c r="A96" s="165" t="s">
        <v>6</v>
      </c>
      <c r="B96" s="167">
        <v>26923.270053716289</v>
      </c>
      <c r="C96" s="167">
        <v>35048.31115644324</v>
      </c>
      <c r="D96" s="167">
        <v>41407.282873404882</v>
      </c>
      <c r="E96" s="167">
        <v>47992.85230836671</v>
      </c>
      <c r="F96" s="167">
        <v>73514.538019198633</v>
      </c>
      <c r="G96" s="167">
        <v>45057.572689049055</v>
      </c>
    </row>
    <row r="97" spans="1:7" ht="14.25" customHeight="1">
      <c r="A97" s="165" t="s">
        <v>7</v>
      </c>
      <c r="B97" s="167">
        <v>26893.023256479151</v>
      </c>
      <c r="C97" s="167">
        <v>35006.392755604124</v>
      </c>
      <c r="D97" s="167">
        <v>41363.288755796792</v>
      </c>
      <c r="E97" s="167">
        <v>47982.226045976298</v>
      </c>
      <c r="F97" s="167">
        <v>73575.498881023668</v>
      </c>
      <c r="G97" s="167">
        <v>45040.200368372665</v>
      </c>
    </row>
    <row r="98" spans="1:7" ht="14.25" customHeight="1">
      <c r="A98" s="165" t="s">
        <v>8</v>
      </c>
      <c r="B98" s="167">
        <v>27044.029667583025</v>
      </c>
      <c r="C98" s="167">
        <v>35189.602739090486</v>
      </c>
      <c r="D98" s="167">
        <v>41562.328221803451</v>
      </c>
      <c r="E98" s="167">
        <v>48183.671240829324</v>
      </c>
      <c r="F98" s="167">
        <v>73894.270921596151</v>
      </c>
      <c r="G98" s="167">
        <v>45255.744518190477</v>
      </c>
    </row>
    <row r="99" spans="1:7" ht="14.25" customHeight="1">
      <c r="A99" s="165" t="s">
        <v>9</v>
      </c>
      <c r="B99" s="167">
        <v>27244.316428220995</v>
      </c>
      <c r="C99" s="167">
        <v>35417.523875865132</v>
      </c>
      <c r="D99" s="167">
        <v>41815.213645264346</v>
      </c>
      <c r="E99" s="167">
        <v>48413.66742537899</v>
      </c>
      <c r="F99" s="167">
        <v>74124.679305173689</v>
      </c>
      <c r="G99" s="167">
        <v>45494.640463622171</v>
      </c>
    </row>
    <row r="100" spans="1:7" ht="14.25" customHeight="1">
      <c r="A100" s="165" t="s">
        <v>10</v>
      </c>
      <c r="B100" s="167">
        <v>27329.326065599511</v>
      </c>
      <c r="C100" s="167">
        <v>35547.31907949828</v>
      </c>
      <c r="D100" s="167">
        <v>41968.547034607676</v>
      </c>
      <c r="E100" s="167">
        <v>48601.725798572916</v>
      </c>
      <c r="F100" s="167">
        <v>74391.072352818839</v>
      </c>
      <c r="G100" s="167">
        <v>45678.270492767682</v>
      </c>
    </row>
    <row r="101" spans="1:7" ht="14.25" customHeight="1">
      <c r="A101" s="165" t="s">
        <v>11</v>
      </c>
      <c r="B101" s="167">
        <v>27418.494120382042</v>
      </c>
      <c r="C101" s="167">
        <v>35663.231863189889</v>
      </c>
      <c r="D101" s="167">
        <v>42104.082509999418</v>
      </c>
      <c r="E101" s="167">
        <v>48763.275239611416</v>
      </c>
      <c r="F101" s="167">
        <v>74569.0425581663</v>
      </c>
      <c r="G101" s="167">
        <v>45813.887814870715</v>
      </c>
    </row>
    <row r="102" spans="1:7" ht="14.25" customHeight="1">
      <c r="A102" s="165" t="s">
        <v>12</v>
      </c>
      <c r="B102" s="167">
        <v>27414.480523484639</v>
      </c>
      <c r="C102" s="167">
        <v>35660.574681247948</v>
      </c>
      <c r="D102" s="167">
        <v>42107.054212510389</v>
      </c>
      <c r="E102" s="167">
        <v>48810.809801265314</v>
      </c>
      <c r="F102" s="167">
        <v>74729.375543296424</v>
      </c>
      <c r="G102" s="167">
        <v>45856.416388094782</v>
      </c>
    </row>
    <row r="103" spans="1:7" ht="14.25" customHeight="1">
      <c r="A103" s="165" t="s">
        <v>13</v>
      </c>
      <c r="B103" s="167">
        <v>27442.058485671438</v>
      </c>
      <c r="C103" s="167">
        <v>35686.034822507921</v>
      </c>
      <c r="D103" s="167">
        <v>42138.257088875594</v>
      </c>
      <c r="E103" s="167">
        <v>48854.449327238726</v>
      </c>
      <c r="F103" s="167">
        <v>74936.050620474125</v>
      </c>
      <c r="G103" s="167">
        <v>45928.665428463784</v>
      </c>
    </row>
    <row r="104" spans="1:7" ht="14.25" customHeight="1">
      <c r="A104" s="165" t="s">
        <v>14</v>
      </c>
      <c r="B104" s="167">
        <v>27724.417096268178</v>
      </c>
      <c r="C104" s="167">
        <v>36010.997328366153</v>
      </c>
      <c r="D104" s="167">
        <v>42464.885956168568</v>
      </c>
      <c r="E104" s="167">
        <v>49235.822481001203</v>
      </c>
      <c r="F104" s="167">
        <v>75342.890391527821</v>
      </c>
      <c r="G104" s="167">
        <v>46251.415549054407</v>
      </c>
    </row>
    <row r="105" spans="1:7" ht="14.25" customHeight="1">
      <c r="A105" s="165"/>
      <c r="B105" s="167"/>
      <c r="C105" s="167"/>
      <c r="D105" s="167"/>
      <c r="E105" s="167"/>
      <c r="F105" s="167"/>
      <c r="G105" s="167"/>
    </row>
    <row r="106" spans="1:7" ht="14.25" customHeight="1">
      <c r="A106" s="240">
        <v>2025</v>
      </c>
      <c r="B106" s="167"/>
      <c r="C106" s="167"/>
      <c r="D106" s="167"/>
      <c r="E106" s="167"/>
      <c r="F106" s="167"/>
      <c r="G106" s="167"/>
    </row>
    <row r="107" spans="1:7" ht="14.25" customHeight="1">
      <c r="A107" s="165" t="s">
        <v>3</v>
      </c>
      <c r="B107" s="167">
        <v>27828.584417806469</v>
      </c>
      <c r="C107" s="167">
        <v>36163.080323389833</v>
      </c>
      <c r="D107" s="167">
        <v>42660.79221409301</v>
      </c>
      <c r="E107" s="167">
        <v>49466.045560833227</v>
      </c>
      <c r="F107" s="167">
        <v>75490.794463081969</v>
      </c>
      <c r="G107" s="167">
        <v>46420.680685746527</v>
      </c>
    </row>
    <row r="108" spans="1:7" ht="14.25" customHeight="1">
      <c r="A108" s="165" t="s">
        <v>4</v>
      </c>
      <c r="B108" s="167">
        <v>27903.497997010076</v>
      </c>
      <c r="C108" s="167">
        <v>36260.935115516848</v>
      </c>
      <c r="D108" s="167">
        <v>42781.501478044142</v>
      </c>
      <c r="E108" s="167">
        <v>49629.145452967838</v>
      </c>
      <c r="F108" s="167">
        <v>75790.627206776771</v>
      </c>
      <c r="G108" s="167">
        <v>46570.698281811456</v>
      </c>
    </row>
    <row r="109" spans="1:7" ht="14.25" customHeight="1">
      <c r="A109" s="165" t="s">
        <v>5</v>
      </c>
      <c r="B109" s="167">
        <v>27943.509834121305</v>
      </c>
      <c r="C109" s="167">
        <v>36316.681708094613</v>
      </c>
      <c r="D109" s="167">
        <v>42876.176043910011</v>
      </c>
      <c r="E109" s="167">
        <v>49766.265835272512</v>
      </c>
      <c r="F109" s="167">
        <v>76109.754359165701</v>
      </c>
      <c r="G109" s="167">
        <v>46716.788530432219</v>
      </c>
    </row>
    <row r="110" spans="1:7" ht="14.25" customHeight="1">
      <c r="A110" s="165" t="s">
        <v>6</v>
      </c>
      <c r="B110" s="167">
        <v>27968.336206682568</v>
      </c>
      <c r="C110" s="167">
        <v>36363.751788208909</v>
      </c>
      <c r="D110" s="167">
        <v>42926.275072111297</v>
      </c>
      <c r="E110" s="167">
        <v>49770.917188560845</v>
      </c>
      <c r="F110" s="167">
        <v>76125.85276151172</v>
      </c>
      <c r="G110" s="167">
        <v>46728.499809747671</v>
      </c>
    </row>
    <row r="111" spans="1:7" ht="14.25" customHeight="1">
      <c r="A111" s="165" t="s">
        <v>7</v>
      </c>
      <c r="B111" s="167">
        <v>28009.341098696248</v>
      </c>
      <c r="C111" s="167">
        <v>36413.018110540521</v>
      </c>
      <c r="D111" s="167">
        <v>42975.792680256091</v>
      </c>
      <c r="E111" s="167">
        <v>49786.724226565078</v>
      </c>
      <c r="F111" s="167">
        <v>76190.068814987622</v>
      </c>
      <c r="G111" s="167">
        <v>46768.091717765747</v>
      </c>
    </row>
    <row r="112" spans="1:7" ht="14.25" customHeight="1">
      <c r="A112" s="165" t="s">
        <v>8</v>
      </c>
      <c r="B112" s="167">
        <v>28048.215060398426</v>
      </c>
      <c r="C112" s="167">
        <v>36465.592353248823</v>
      </c>
      <c r="D112" s="167">
        <v>43039.71658535624</v>
      </c>
      <c r="E112" s="167">
        <v>49862.053460307761</v>
      </c>
      <c r="F112" s="167">
        <v>76363.659307932117</v>
      </c>
      <c r="G112" s="167">
        <v>46864.647854478288</v>
      </c>
    </row>
    <row r="113" spans="1:7" ht="14.25" customHeight="1">
      <c r="A113" s="165" t="s">
        <v>9</v>
      </c>
      <c r="B113" s="167">
        <v>28158.899304734048</v>
      </c>
      <c r="C113" s="167">
        <v>36626.053605620036</v>
      </c>
      <c r="D113" s="167">
        <v>43223.057709837551</v>
      </c>
      <c r="E113" s="167">
        <v>50042.359578021147</v>
      </c>
      <c r="F113" s="167">
        <v>76568.677196633042</v>
      </c>
      <c r="G113" s="167">
        <v>47041.413870973658</v>
      </c>
    </row>
    <row r="114" spans="1:7" ht="14.25" customHeight="1">
      <c r="A114" s="165" t="s">
        <v>10</v>
      </c>
      <c r="B114" s="167">
        <v>28346.483238078174</v>
      </c>
      <c r="C114" s="167">
        <v>36897.818244436632</v>
      </c>
      <c r="D114" s="167">
        <v>43519.517336421297</v>
      </c>
      <c r="E114" s="167">
        <v>50431.182460221025</v>
      </c>
      <c r="F114" s="167">
        <v>77021.799874431556</v>
      </c>
      <c r="G114" s="167">
        <v>47374.601536573515</v>
      </c>
    </row>
    <row r="115" spans="1:7" ht="14.25" customHeight="1">
      <c r="A115" s="165" t="s">
        <v>11</v>
      </c>
      <c r="B115" s="167">
        <v>28445.168069009185</v>
      </c>
      <c r="C115" s="167">
        <v>37036.127275924569</v>
      </c>
      <c r="D115" s="167">
        <v>43693.620342227179</v>
      </c>
      <c r="E115" s="167">
        <v>50633.79994736622</v>
      </c>
      <c r="F115" s="167">
        <v>77191.36576678956</v>
      </c>
      <c r="G115" s="167">
        <v>47534.455192003072</v>
      </c>
    </row>
    <row r="116" spans="1:7" ht="14.25" customHeight="1">
      <c r="A116" s="165" t="s">
        <v>12</v>
      </c>
      <c r="B116" s="167">
        <v>28618.931988294211</v>
      </c>
      <c r="C116" s="167">
        <v>37262.096197394938</v>
      </c>
      <c r="D116" s="167">
        <v>43958.650984645981</v>
      </c>
      <c r="E116" s="167">
        <v>50925.398201075928</v>
      </c>
      <c r="F116" s="167">
        <v>77617.322390629168</v>
      </c>
      <c r="G116" s="167">
        <v>47796.809077574158</v>
      </c>
    </row>
    <row r="117" spans="1:7" ht="14.25" customHeight="1">
      <c r="A117" s="165" t="s">
        <v>13</v>
      </c>
      <c r="B117" s="167">
        <v>28849.258659731302</v>
      </c>
      <c r="C117" s="167">
        <v>37564.282858036568</v>
      </c>
      <c r="D117" s="167">
        <v>44270.64744718383</v>
      </c>
      <c r="E117" s="167">
        <v>51212.382917377705</v>
      </c>
      <c r="F117" s="167">
        <v>78130.57733601435</v>
      </c>
      <c r="G117" s="167">
        <v>48138.346779181411</v>
      </c>
    </row>
    <row r="118" spans="1:7" ht="14.25" customHeight="1">
      <c r="A118" s="165" t="s">
        <v>14</v>
      </c>
      <c r="B118" s="167">
        <v>29137.885929399763</v>
      </c>
      <c r="C118" s="167">
        <v>37924.412353473264</v>
      </c>
      <c r="D118" s="167">
        <v>44629.383622041008</v>
      </c>
      <c r="E118" s="167">
        <v>51606.991629277698</v>
      </c>
      <c r="F118" s="167">
        <v>78680.704725008269</v>
      </c>
      <c r="G118" s="167">
        <v>48541.837502182447</v>
      </c>
    </row>
    <row r="119" spans="1:7" ht="3.75" customHeight="1">
      <c r="A119" s="305"/>
      <c r="B119" s="306"/>
      <c r="C119" s="306"/>
      <c r="D119" s="306"/>
      <c r="E119" s="306"/>
      <c r="F119" s="306"/>
      <c r="G119" s="306"/>
    </row>
    <row r="120" spans="1:7" ht="42" customHeight="1">
      <c r="A120" s="364" t="s">
        <v>349</v>
      </c>
      <c r="B120" s="364"/>
      <c r="C120" s="364"/>
      <c r="D120" s="364"/>
      <c r="E120" s="364"/>
      <c r="F120" s="364"/>
      <c r="G120" s="364"/>
    </row>
    <row r="121" spans="1:7" ht="22.5" customHeight="1">
      <c r="A121" s="364" t="s">
        <v>308</v>
      </c>
      <c r="B121" s="364"/>
      <c r="C121" s="364"/>
      <c r="D121" s="364"/>
      <c r="E121" s="364"/>
      <c r="F121" s="364"/>
      <c r="G121" s="364"/>
    </row>
  </sheetData>
  <mergeCells count="7">
    <mergeCell ref="A121:G121"/>
    <mergeCell ref="A1:G1"/>
    <mergeCell ref="A2:G2"/>
    <mergeCell ref="A3:G3"/>
    <mergeCell ref="A5:A6"/>
    <mergeCell ref="B5:G5"/>
    <mergeCell ref="A120:G120"/>
  </mergeCells>
  <printOptions horizontalCentered="1"/>
  <pageMargins left="0.19685039370078741" right="0.15748031496062992" top="0.74803149606299213" bottom="0.74803149606299213" header="0.31496062992125984" footer="0.31496062992125984"/>
  <pageSetup scale="69" fitToWidth="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E414-50CB-40F2-A260-F8D905623E24}">
  <dimension ref="A1:G85"/>
  <sheetViews>
    <sheetView showGridLines="0" view="pageBreakPreview" zoomScaleNormal="86" zoomScaleSheetLayoutView="100" workbookViewId="0">
      <pane ySplit="6" topLeftCell="A57" activePane="bottomLeft" state="frozen"/>
      <selection pane="bottomLeft" activeCell="C75" sqref="C75"/>
    </sheetView>
  </sheetViews>
  <sheetFormatPr defaultRowHeight="14.25"/>
  <cols>
    <col min="1" max="1" width="13.85546875" style="161" customWidth="1"/>
    <col min="2" max="2" width="15" style="161" customWidth="1"/>
    <col min="3" max="3" width="15.5703125" style="161" customWidth="1"/>
    <col min="4" max="4" width="14.5703125" style="161" customWidth="1"/>
    <col min="5" max="5" width="15.5703125" style="161" customWidth="1"/>
    <col min="6" max="6" width="14.7109375" style="161" customWidth="1"/>
    <col min="7" max="16384" width="9.140625" style="161"/>
  </cols>
  <sheetData>
    <row r="1" spans="1:6" ht="15">
      <c r="A1" s="322" t="s">
        <v>232</v>
      </c>
      <c r="B1" s="322"/>
      <c r="C1" s="322"/>
      <c r="D1" s="322"/>
      <c r="E1" s="322"/>
      <c r="F1" s="322"/>
    </row>
    <row r="2" spans="1:6" ht="15">
      <c r="A2" s="365" t="s">
        <v>983</v>
      </c>
      <c r="B2" s="365"/>
      <c r="C2" s="365"/>
      <c r="D2" s="365"/>
      <c r="E2" s="365"/>
      <c r="F2" s="365"/>
    </row>
    <row r="3" spans="1:6" ht="15">
      <c r="A3" s="322" t="s">
        <v>281</v>
      </c>
      <c r="B3" s="322"/>
      <c r="C3" s="322"/>
      <c r="D3" s="322"/>
      <c r="E3" s="322"/>
      <c r="F3" s="322"/>
    </row>
    <row r="4" spans="1:6" ht="15" thickBot="1">
      <c r="A4" s="162"/>
      <c r="B4" s="162"/>
      <c r="C4" s="162"/>
      <c r="D4" s="162"/>
      <c r="E4" s="162"/>
      <c r="F4" s="162"/>
    </row>
    <row r="5" spans="1:6" ht="18" customHeight="1" thickTop="1" thickBot="1">
      <c r="A5" s="366" t="s">
        <v>22</v>
      </c>
      <c r="B5" s="367" t="s">
        <v>135</v>
      </c>
      <c r="C5" s="367"/>
      <c r="D5" s="367"/>
      <c r="E5" s="367"/>
      <c r="F5" s="367"/>
    </row>
    <row r="6" spans="1:6" ht="18" thickTop="1" thickBot="1">
      <c r="A6" s="366"/>
      <c r="B6" s="163" t="s">
        <v>301</v>
      </c>
      <c r="C6" s="163" t="s">
        <v>136</v>
      </c>
      <c r="D6" s="163" t="s">
        <v>137</v>
      </c>
      <c r="E6" s="163" t="s">
        <v>138</v>
      </c>
      <c r="F6" s="163" t="s">
        <v>40</v>
      </c>
    </row>
    <row r="7" spans="1:6" ht="14.25" customHeight="1" thickTop="1">
      <c r="A7" s="275"/>
      <c r="B7" s="276"/>
      <c r="C7" s="276"/>
      <c r="D7" s="276"/>
      <c r="E7" s="276"/>
      <c r="F7" s="276"/>
    </row>
    <row r="8" spans="1:6" ht="14.25" customHeight="1">
      <c r="A8" s="240">
        <v>2020</v>
      </c>
      <c r="B8" s="276"/>
      <c r="C8" s="276"/>
      <c r="D8" s="276"/>
      <c r="E8" s="276"/>
      <c r="F8" s="276"/>
    </row>
    <row r="9" spans="1:6" ht="14.25" customHeight="1">
      <c r="A9" s="166" t="s">
        <v>12</v>
      </c>
      <c r="B9" s="167">
        <v>42975.917353800811</v>
      </c>
      <c r="C9" s="167">
        <v>34391.918891866211</v>
      </c>
      <c r="D9" s="167">
        <v>33583.327320171702</v>
      </c>
      <c r="E9" s="167">
        <v>28750.304767131773</v>
      </c>
      <c r="F9" s="167">
        <v>36540.606724531295</v>
      </c>
    </row>
    <row r="10" spans="1:6" ht="14.25" customHeight="1">
      <c r="A10" s="166" t="s">
        <v>13</v>
      </c>
      <c r="B10" s="167">
        <v>43229.384458456108</v>
      </c>
      <c r="C10" s="167">
        <v>34598.201741109362</v>
      </c>
      <c r="D10" s="167">
        <v>33718.650173747097</v>
      </c>
      <c r="E10" s="167">
        <v>28978.978900754435</v>
      </c>
      <c r="F10" s="167">
        <v>36758.910632012565</v>
      </c>
    </row>
    <row r="11" spans="1:6" ht="14.25" customHeight="1">
      <c r="A11" s="166" t="s">
        <v>14</v>
      </c>
      <c r="B11" s="167">
        <v>43423.53089004269</v>
      </c>
      <c r="C11" s="167">
        <v>34774.186494239599</v>
      </c>
      <c r="D11" s="167">
        <v>33902.707497459414</v>
      </c>
      <c r="E11" s="167">
        <v>29117.450115601456</v>
      </c>
      <c r="F11" s="167">
        <v>36936.171989627015</v>
      </c>
    </row>
    <row r="12" spans="1:6" ht="14.25" customHeight="1">
      <c r="A12" s="275"/>
      <c r="B12" s="276"/>
      <c r="C12" s="276"/>
      <c r="D12" s="276"/>
      <c r="E12" s="276"/>
      <c r="F12" s="276"/>
    </row>
    <row r="13" spans="1:6" ht="18.75" customHeight="1">
      <c r="A13" s="240">
        <v>2021</v>
      </c>
      <c r="B13" s="165"/>
      <c r="C13" s="165"/>
      <c r="D13" s="165"/>
      <c r="E13" s="165"/>
      <c r="F13" s="165"/>
    </row>
    <row r="14" spans="1:6">
      <c r="A14" s="166" t="s">
        <v>3</v>
      </c>
      <c r="B14" s="167">
        <v>43800.599013059888</v>
      </c>
      <c r="C14" s="167">
        <v>35121.146946805668</v>
      </c>
      <c r="D14" s="167">
        <v>34240.525983635831</v>
      </c>
      <c r="E14" s="167">
        <v>29471.936425609827</v>
      </c>
      <c r="F14" s="167">
        <v>37293.525225536388</v>
      </c>
    </row>
    <row r="15" spans="1:6">
      <c r="A15" s="166" t="s">
        <v>4</v>
      </c>
      <c r="B15" s="167">
        <v>44080.801785842232</v>
      </c>
      <c r="C15" s="167">
        <v>35349.225858357757</v>
      </c>
      <c r="D15" s="167">
        <v>34532.411580177839</v>
      </c>
      <c r="E15" s="167">
        <v>29695.705908802611</v>
      </c>
      <c r="F15" s="167">
        <v>37548.272086778714</v>
      </c>
    </row>
    <row r="16" spans="1:6">
      <c r="A16" s="166" t="s">
        <v>5</v>
      </c>
      <c r="B16" s="167">
        <v>44293.656117688763</v>
      </c>
      <c r="C16" s="167">
        <v>35610.69846120591</v>
      </c>
      <c r="D16" s="167">
        <v>34736.01481437288</v>
      </c>
      <c r="E16" s="167">
        <v>29903.412731073138</v>
      </c>
      <c r="F16" s="167">
        <v>37774.713741216336</v>
      </c>
    </row>
    <row r="17" spans="1:6">
      <c r="A17" s="166" t="s">
        <v>6</v>
      </c>
      <c r="B17" s="167">
        <v>44447.060899820339</v>
      </c>
      <c r="C17" s="167">
        <v>35785.34746668431</v>
      </c>
      <c r="D17" s="167">
        <v>34880.980317119749</v>
      </c>
      <c r="E17" s="167">
        <v>30043.268658068628</v>
      </c>
      <c r="F17" s="167">
        <v>37931.100008812326</v>
      </c>
    </row>
    <row r="18" spans="1:6">
      <c r="A18" s="166" t="s">
        <v>7</v>
      </c>
      <c r="B18" s="167">
        <v>44683.196174212579</v>
      </c>
      <c r="C18" s="167">
        <v>36026.783854754831</v>
      </c>
      <c r="D18" s="167">
        <v>35143.872813112386</v>
      </c>
      <c r="E18" s="167">
        <v>30314.118354309394</v>
      </c>
      <c r="F18" s="167">
        <v>38177.001492928182</v>
      </c>
    </row>
    <row r="19" spans="1:6">
      <c r="A19" s="166" t="s">
        <v>8</v>
      </c>
      <c r="B19" s="167">
        <v>44912.264019617731</v>
      </c>
      <c r="C19" s="167">
        <v>36294.601258949231</v>
      </c>
      <c r="D19" s="167">
        <v>35363.112775693604</v>
      </c>
      <c r="E19" s="167">
        <v>30557.550750010454</v>
      </c>
      <c r="F19" s="167">
        <v>38419.011011108392</v>
      </c>
    </row>
    <row r="20" spans="1:6">
      <c r="A20" s="166" t="s">
        <v>9</v>
      </c>
      <c r="B20" s="167">
        <v>45117.219460243396</v>
      </c>
      <c r="C20" s="167">
        <v>36512.996000025465</v>
      </c>
      <c r="D20" s="167">
        <v>35565.412949189791</v>
      </c>
      <c r="E20" s="167">
        <v>30748.087141639953</v>
      </c>
      <c r="F20" s="167">
        <v>38625.28520569767</v>
      </c>
    </row>
    <row r="21" spans="1:6">
      <c r="A21" s="166" t="s">
        <v>10</v>
      </c>
      <c r="B21" s="167">
        <v>45432.343646844303</v>
      </c>
      <c r="C21" s="167">
        <v>36831.237878076921</v>
      </c>
      <c r="D21" s="167">
        <v>35836.77533972494</v>
      </c>
      <c r="E21" s="167">
        <v>31055.216296170638</v>
      </c>
      <c r="F21" s="167">
        <v>38933.458144783872</v>
      </c>
    </row>
    <row r="22" spans="1:6">
      <c r="A22" s="166" t="s">
        <v>11</v>
      </c>
      <c r="B22" s="167">
        <v>45620.669842794458</v>
      </c>
      <c r="C22" s="167">
        <v>36999.208145296107</v>
      </c>
      <c r="D22" s="167">
        <v>36027.67373210621</v>
      </c>
      <c r="E22" s="167">
        <v>31208.365459791443</v>
      </c>
      <c r="F22" s="167">
        <v>39108.950426973031</v>
      </c>
    </row>
    <row r="23" spans="1:6">
      <c r="A23" s="166" t="s">
        <v>60</v>
      </c>
      <c r="B23" s="167">
        <v>45902.535540044359</v>
      </c>
      <c r="C23" s="167">
        <v>37248.325082364725</v>
      </c>
      <c r="D23" s="167">
        <v>36250.497111609264</v>
      </c>
      <c r="E23" s="167">
        <v>31414.133685054116</v>
      </c>
      <c r="F23" s="167">
        <v>39359.805322279717</v>
      </c>
    </row>
    <row r="24" spans="1:6" ht="15" customHeight="1">
      <c r="A24" s="166" t="s">
        <v>13</v>
      </c>
      <c r="B24" s="167">
        <v>46368.570122075529</v>
      </c>
      <c r="C24" s="167">
        <v>37691.125428950487</v>
      </c>
      <c r="D24" s="167">
        <v>36603.300795822433</v>
      </c>
      <c r="E24" s="167">
        <v>31772.220246648503</v>
      </c>
      <c r="F24" s="167">
        <v>39785.091054520381</v>
      </c>
    </row>
    <row r="25" spans="1:6">
      <c r="A25" s="166" t="s">
        <v>14</v>
      </c>
      <c r="B25" s="167">
        <v>46735.244967170533</v>
      </c>
      <c r="C25" s="167">
        <v>37933.229690846922</v>
      </c>
      <c r="D25" s="167">
        <v>36838.177486789828</v>
      </c>
      <c r="E25" s="167">
        <v>32023.683972810693</v>
      </c>
      <c r="F25" s="167">
        <v>40074.157979013406</v>
      </c>
    </row>
    <row r="26" spans="1:6" ht="6" customHeight="1">
      <c r="A26" s="165"/>
      <c r="B26" s="165"/>
      <c r="C26" s="165"/>
      <c r="D26" s="165"/>
      <c r="E26" s="165"/>
      <c r="F26" s="165"/>
    </row>
    <row r="27" spans="1:6" ht="18" customHeight="1">
      <c r="A27" s="240">
        <v>2022</v>
      </c>
      <c r="B27" s="165"/>
      <c r="C27" s="165"/>
      <c r="D27" s="165"/>
      <c r="E27" s="165"/>
      <c r="F27" s="165"/>
    </row>
    <row r="28" spans="1:6" ht="16.5" customHeight="1">
      <c r="A28" s="165" t="s">
        <v>3</v>
      </c>
      <c r="B28" s="167">
        <v>47178.830068889758</v>
      </c>
      <c r="C28" s="167">
        <v>38503.260001270675</v>
      </c>
      <c r="D28" s="167">
        <v>37279.589298524683</v>
      </c>
      <c r="E28" s="167">
        <v>32403.925928780609</v>
      </c>
      <c r="F28" s="167">
        <v>40547.916377907117</v>
      </c>
    </row>
    <row r="29" spans="1:6">
      <c r="A29" s="165" t="s">
        <v>4</v>
      </c>
      <c r="B29" s="167">
        <v>47561.302696426486</v>
      </c>
      <c r="C29" s="167">
        <v>38900.310990780832</v>
      </c>
      <c r="D29" s="167">
        <v>37643.143233503353</v>
      </c>
      <c r="E29" s="167">
        <v>32724.625262366306</v>
      </c>
      <c r="F29" s="167">
        <v>40921.545107729195</v>
      </c>
    </row>
    <row r="30" spans="1:6">
      <c r="A30" s="165" t="s">
        <v>5</v>
      </c>
      <c r="B30" s="167">
        <v>47846.909973728369</v>
      </c>
      <c r="C30" s="167">
        <v>39180.484060754774</v>
      </c>
      <c r="D30" s="167">
        <v>37904.732668797144</v>
      </c>
      <c r="E30" s="167">
        <v>32970.827082364303</v>
      </c>
      <c r="F30" s="167">
        <v>41195.044168479631</v>
      </c>
    </row>
    <row r="31" spans="1:6">
      <c r="A31" s="165" t="s">
        <v>6</v>
      </c>
      <c r="B31" s="167">
        <v>48243.933190356183</v>
      </c>
      <c r="C31" s="167">
        <v>39595.901580477766</v>
      </c>
      <c r="D31" s="167">
        <v>38305.749598867704</v>
      </c>
      <c r="E31" s="167">
        <v>33313.958752755221</v>
      </c>
      <c r="F31" s="167">
        <v>41588.840358150061</v>
      </c>
    </row>
    <row r="32" spans="1:6">
      <c r="A32" s="165" t="s">
        <v>7</v>
      </c>
      <c r="B32" s="167">
        <v>48417.293066098369</v>
      </c>
      <c r="C32" s="167">
        <v>39829.657419550189</v>
      </c>
      <c r="D32" s="167">
        <v>38522.057674876516</v>
      </c>
      <c r="E32" s="167">
        <v>33528.866078197789</v>
      </c>
      <c r="F32" s="167">
        <v>41793.699292399106</v>
      </c>
    </row>
    <row r="33" spans="1:6">
      <c r="A33" s="165" t="s">
        <v>8</v>
      </c>
      <c r="B33" s="167">
        <v>48669.641854049238</v>
      </c>
      <c r="C33" s="167">
        <v>40134.541821083229</v>
      </c>
      <c r="D33" s="167">
        <v>38763.123904163447</v>
      </c>
      <c r="E33" s="167">
        <v>33779.498977070893</v>
      </c>
      <c r="F33" s="167">
        <v>42060.47586653343</v>
      </c>
    </row>
    <row r="34" spans="1:6">
      <c r="A34" s="165" t="s">
        <v>9</v>
      </c>
      <c r="B34" s="167">
        <v>48926.147953168984</v>
      </c>
      <c r="C34" s="167">
        <v>40353.938372898345</v>
      </c>
      <c r="D34" s="167">
        <v>38910.695528308017</v>
      </c>
      <c r="E34" s="167">
        <v>33907.169437159842</v>
      </c>
      <c r="F34" s="167">
        <v>42269.580581803173</v>
      </c>
    </row>
    <row r="35" spans="1:6">
      <c r="A35" s="165" t="s">
        <v>10</v>
      </c>
      <c r="B35" s="167">
        <v>49003.889672026991</v>
      </c>
      <c r="C35" s="167">
        <v>40476.159283041925</v>
      </c>
      <c r="D35" s="167">
        <v>38984.318457792942</v>
      </c>
      <c r="E35" s="167">
        <v>33965.050404965892</v>
      </c>
      <c r="F35" s="167">
        <v>42358.034353067873</v>
      </c>
    </row>
    <row r="36" spans="1:6">
      <c r="A36" s="165" t="s">
        <v>11</v>
      </c>
      <c r="B36" s="167">
        <v>49156.878723041686</v>
      </c>
      <c r="C36" s="167">
        <v>40578.677915320834</v>
      </c>
      <c r="D36" s="167">
        <v>39134.170438160494</v>
      </c>
      <c r="E36" s="167">
        <v>34053.118097608596</v>
      </c>
      <c r="F36" s="167">
        <v>42482.577263008563</v>
      </c>
    </row>
    <row r="37" spans="1:6">
      <c r="A37" s="165" t="s">
        <v>60</v>
      </c>
      <c r="B37" s="167">
        <v>49250.418224341433</v>
      </c>
      <c r="C37" s="167">
        <v>40724.942283197575</v>
      </c>
      <c r="D37" s="167">
        <v>39300.310677263653</v>
      </c>
      <c r="E37" s="167">
        <v>34138.139423524663</v>
      </c>
      <c r="F37" s="167">
        <v>42601.105316503264</v>
      </c>
    </row>
    <row r="38" spans="1:6">
      <c r="A38" s="165" t="s">
        <v>13</v>
      </c>
      <c r="B38" s="167">
        <v>49437.081495824037</v>
      </c>
      <c r="C38" s="167">
        <v>40957.362374618155</v>
      </c>
      <c r="D38" s="167">
        <v>39496.095547265599</v>
      </c>
      <c r="E38" s="167">
        <v>34302.089341903535</v>
      </c>
      <c r="F38" s="167">
        <v>42799.595579221241</v>
      </c>
    </row>
    <row r="39" spans="1:6">
      <c r="A39" s="165" t="s">
        <v>14</v>
      </c>
      <c r="B39" s="167">
        <v>49939.700416141328</v>
      </c>
      <c r="C39" s="167">
        <v>41331.037780221071</v>
      </c>
      <c r="D39" s="167">
        <v>39833.914033442015</v>
      </c>
      <c r="E39" s="167">
        <v>34640.512990989642</v>
      </c>
      <c r="F39" s="167">
        <v>43210.728708059556</v>
      </c>
    </row>
    <row r="40" spans="1:6">
      <c r="A40" s="165"/>
      <c r="B40" s="167"/>
      <c r="C40" s="167"/>
      <c r="D40" s="167"/>
      <c r="E40" s="167"/>
      <c r="F40" s="167"/>
    </row>
    <row r="41" spans="1:6">
      <c r="A41" s="240">
        <v>2023</v>
      </c>
      <c r="B41" s="167"/>
      <c r="C41" s="167"/>
      <c r="D41" s="167"/>
      <c r="E41" s="167"/>
      <c r="F41" s="167"/>
    </row>
    <row r="42" spans="1:6">
      <c r="A42" s="165" t="s">
        <v>3</v>
      </c>
      <c r="B42" s="167">
        <v>50247.757173755148</v>
      </c>
      <c r="C42" s="167">
        <v>41530.732054171516</v>
      </c>
      <c r="D42" s="167">
        <v>40144.042479767901</v>
      </c>
      <c r="E42" s="167">
        <v>34963.150921583197</v>
      </c>
      <c r="F42" s="167">
        <v>43484.935398980117</v>
      </c>
    </row>
    <row r="43" spans="1:6">
      <c r="A43" s="165" t="s">
        <v>4</v>
      </c>
      <c r="B43" s="167">
        <v>50334.2292460678</v>
      </c>
      <c r="C43" s="167">
        <v>41519.044262217889</v>
      </c>
      <c r="D43" s="167">
        <v>40265.552889935498</v>
      </c>
      <c r="E43" s="167">
        <v>34977.828870356978</v>
      </c>
      <c r="F43" s="167">
        <v>43531.638990207874</v>
      </c>
    </row>
    <row r="44" spans="1:6">
      <c r="A44" s="165" t="s">
        <v>5</v>
      </c>
      <c r="B44" s="167">
        <v>50433.588983003974</v>
      </c>
      <c r="C44" s="167">
        <v>41611.878724020942</v>
      </c>
      <c r="D44" s="167">
        <v>40394.555899121478</v>
      </c>
      <c r="E44" s="167">
        <v>35034.602068444248</v>
      </c>
      <c r="F44" s="167">
        <v>43625.22308020592</v>
      </c>
    </row>
    <row r="45" spans="1:6">
      <c r="A45" s="165" t="s">
        <v>6</v>
      </c>
      <c r="B45" s="167">
        <v>50553.319544667647</v>
      </c>
      <c r="C45" s="167">
        <v>41724.081526775706</v>
      </c>
      <c r="D45" s="167">
        <v>40505.967588872998</v>
      </c>
      <c r="E45" s="167">
        <v>35095.252460547243</v>
      </c>
      <c r="F45" s="167">
        <v>43731.544513266083</v>
      </c>
    </row>
    <row r="46" spans="1:6">
      <c r="A46" s="165" t="s">
        <v>7</v>
      </c>
      <c r="B46" s="167">
        <v>50423.611436198669</v>
      </c>
      <c r="C46" s="167">
        <v>41664.640756268716</v>
      </c>
      <c r="D46" s="167">
        <v>40477.626018673051</v>
      </c>
      <c r="E46" s="167">
        <v>35010.508077060869</v>
      </c>
      <c r="F46" s="167">
        <v>43645.213632511739</v>
      </c>
    </row>
    <row r="47" spans="1:6">
      <c r="A47" s="165" t="s">
        <v>8</v>
      </c>
      <c r="B47" s="167">
        <v>50537.521762225915</v>
      </c>
      <c r="C47" s="167">
        <v>41742.448056988542</v>
      </c>
      <c r="D47" s="167">
        <v>40560.044607875199</v>
      </c>
      <c r="E47" s="167">
        <v>35116.577027633684</v>
      </c>
      <c r="F47" s="167">
        <v>43741.097520562675</v>
      </c>
    </row>
    <row r="48" spans="1:6">
      <c r="A48" s="165" t="s">
        <v>9</v>
      </c>
      <c r="B48" s="167">
        <v>50768.41882454537</v>
      </c>
      <c r="C48" s="167">
        <v>41934.061057645333</v>
      </c>
      <c r="D48" s="167">
        <v>40697.582664638627</v>
      </c>
      <c r="E48" s="167">
        <v>35304.454771938115</v>
      </c>
      <c r="F48" s="167">
        <v>43939.72930931468</v>
      </c>
    </row>
    <row r="49" spans="1:6">
      <c r="A49" s="165" t="s">
        <v>10</v>
      </c>
      <c r="B49" s="167">
        <v>51001.145103779134</v>
      </c>
      <c r="C49" s="167">
        <v>42199.540903449015</v>
      </c>
      <c r="D49" s="167">
        <v>40847.695257145948</v>
      </c>
      <c r="E49" s="167">
        <v>35499.616102143504</v>
      </c>
      <c r="F49" s="167">
        <v>44166.100200735294</v>
      </c>
    </row>
    <row r="50" spans="1:6">
      <c r="A50" s="165" t="s">
        <v>11</v>
      </c>
      <c r="B50" s="167">
        <v>51217.82416190103</v>
      </c>
      <c r="C50" s="167">
        <v>42384.875890142153</v>
      </c>
      <c r="D50" s="167">
        <v>41043.219515008132</v>
      </c>
      <c r="E50" s="167">
        <v>35635.954860281876</v>
      </c>
      <c r="F50" s="167">
        <v>44356.169664428875</v>
      </c>
    </row>
    <row r="51" spans="1:6">
      <c r="A51" s="165" t="s">
        <v>60</v>
      </c>
      <c r="B51" s="167">
        <v>51339.550232925765</v>
      </c>
      <c r="C51" s="167">
        <v>42477.109265501866</v>
      </c>
      <c r="D51" s="167">
        <v>41139.874042345204</v>
      </c>
      <c r="E51" s="167">
        <v>35682.453494227506</v>
      </c>
      <c r="F51" s="167">
        <v>44452.478130581876</v>
      </c>
    </row>
    <row r="52" spans="1:6">
      <c r="A52" s="165" t="s">
        <v>13</v>
      </c>
      <c r="B52" s="167">
        <v>51398.459332188759</v>
      </c>
      <c r="C52" s="167">
        <v>42544.764884067685</v>
      </c>
      <c r="D52" s="167">
        <v>41213.953043074725</v>
      </c>
      <c r="E52" s="167">
        <v>35724.825685970696</v>
      </c>
      <c r="F52" s="167">
        <v>44513.263562194967</v>
      </c>
    </row>
    <row r="53" spans="1:6">
      <c r="A53" s="165" t="s">
        <v>14</v>
      </c>
      <c r="B53" s="167">
        <v>51703.439679537616</v>
      </c>
      <c r="C53" s="167">
        <v>42735.543042442085</v>
      </c>
      <c r="D53" s="167">
        <v>41399.736922213015</v>
      </c>
      <c r="E53" s="167">
        <v>35958.094294501985</v>
      </c>
      <c r="F53" s="167">
        <v>44752.867137796777</v>
      </c>
    </row>
    <row r="54" spans="1:6">
      <c r="A54" s="165"/>
      <c r="B54" s="167"/>
      <c r="C54" s="167"/>
      <c r="D54" s="167"/>
      <c r="E54" s="167"/>
      <c r="F54" s="167"/>
    </row>
    <row r="55" spans="1:6">
      <c r="A55" s="240">
        <v>2024</v>
      </c>
      <c r="B55" s="167"/>
      <c r="C55" s="167"/>
      <c r="D55" s="167"/>
      <c r="E55" s="167"/>
      <c r="F55" s="167"/>
    </row>
    <row r="56" spans="1:6">
      <c r="A56" s="165" t="s">
        <v>3</v>
      </c>
      <c r="B56" s="167">
        <v>51928.558079332332</v>
      </c>
      <c r="C56" s="167">
        <v>42858.264857955102</v>
      </c>
      <c r="D56" s="167">
        <v>41561.739943597328</v>
      </c>
      <c r="E56" s="167">
        <v>36131.349478518583</v>
      </c>
      <c r="F56" s="167">
        <v>44927.297974730762</v>
      </c>
    </row>
    <row r="57" spans="1:6">
      <c r="A57" s="165" t="s">
        <v>4</v>
      </c>
      <c r="B57" s="167">
        <v>51980.607615166671</v>
      </c>
      <c r="C57" s="167">
        <v>42870.854279573716</v>
      </c>
      <c r="D57" s="167">
        <v>41637.024275473283</v>
      </c>
      <c r="E57" s="167">
        <v>36176.047986671198</v>
      </c>
      <c r="F57" s="167">
        <v>44967.986709512523</v>
      </c>
    </row>
    <row r="58" spans="1:6">
      <c r="A58" s="165" t="s">
        <v>5</v>
      </c>
      <c r="B58" s="167">
        <v>52149.352875511409</v>
      </c>
      <c r="C58" s="167">
        <v>42976.946036821297</v>
      </c>
      <c r="D58" s="167">
        <v>41734.94928699173</v>
      </c>
      <c r="E58" s="167">
        <v>36315.156169106507</v>
      </c>
      <c r="F58" s="167">
        <v>45101.799574681761</v>
      </c>
    </row>
    <row r="59" spans="1:6">
      <c r="A59" s="165" t="s">
        <v>6</v>
      </c>
      <c r="B59" s="167">
        <v>52076.932514949563</v>
      </c>
      <c r="C59" s="167">
        <v>42929.76075101996</v>
      </c>
      <c r="D59" s="167">
        <v>41742.409309492643</v>
      </c>
      <c r="E59" s="167">
        <v>36303.053784928874</v>
      </c>
      <c r="F59" s="167">
        <v>45057.572689049412</v>
      </c>
    </row>
    <row r="60" spans="1:6">
      <c r="A60" s="165" t="s">
        <v>7</v>
      </c>
      <c r="B60" s="167">
        <v>52068.57631950012</v>
      </c>
      <c r="C60" s="167">
        <v>42899.97357838387</v>
      </c>
      <c r="D60" s="167">
        <v>41732.180283006674</v>
      </c>
      <c r="E60" s="167">
        <v>36284.91405578392</v>
      </c>
      <c r="F60" s="167">
        <v>45040.200368373022</v>
      </c>
    </row>
    <row r="61" spans="1:6">
      <c r="A61" s="165" t="s">
        <v>8</v>
      </c>
      <c r="B61" s="167">
        <v>52326.204892635462</v>
      </c>
      <c r="C61" s="167">
        <v>43084.841053398864</v>
      </c>
      <c r="D61" s="167">
        <v>41921.87334424151</v>
      </c>
      <c r="E61" s="167">
        <v>36489.68528829969</v>
      </c>
      <c r="F61" s="167">
        <v>45255.744518190833</v>
      </c>
    </row>
    <row r="62" spans="1:6">
      <c r="A62" s="165" t="s">
        <v>9</v>
      </c>
      <c r="B62" s="167">
        <v>52535.774948658582</v>
      </c>
      <c r="C62" s="167">
        <v>43343.141255573886</v>
      </c>
      <c r="D62" s="167">
        <v>42169.422300505212</v>
      </c>
      <c r="E62" s="167">
        <v>36756.79626173959</v>
      </c>
      <c r="F62" s="167">
        <v>45494.640463622527</v>
      </c>
    </row>
    <row r="63" spans="1:6">
      <c r="A63" s="165" t="s">
        <v>10</v>
      </c>
      <c r="B63" s="167">
        <v>52718.073043413853</v>
      </c>
      <c r="C63" s="167">
        <v>43569.851025782838</v>
      </c>
      <c r="D63" s="167">
        <v>42309.436172596455</v>
      </c>
      <c r="E63" s="167">
        <v>36893.799681709228</v>
      </c>
      <c r="F63" s="167">
        <v>45678.270492768039</v>
      </c>
    </row>
    <row r="64" spans="1:6">
      <c r="A64" s="165" t="s">
        <v>11</v>
      </c>
      <c r="B64" s="167">
        <v>52884.157624610511</v>
      </c>
      <c r="C64" s="167">
        <v>43681.35256102038</v>
      </c>
      <c r="D64" s="167">
        <v>42422.509264739005</v>
      </c>
      <c r="E64" s="167">
        <v>37027.784429195199</v>
      </c>
      <c r="F64" s="167">
        <v>45813.887814871072</v>
      </c>
    </row>
    <row r="65" spans="1:6">
      <c r="A65" s="165" t="s">
        <v>60</v>
      </c>
      <c r="B65" s="167">
        <v>52977.489260351809</v>
      </c>
      <c r="C65" s="167">
        <v>43695.745241968987</v>
      </c>
      <c r="D65" s="167">
        <v>42433.129209434621</v>
      </c>
      <c r="E65" s="167">
        <v>37033.212500817201</v>
      </c>
      <c r="F65" s="167">
        <v>45856.416388095146</v>
      </c>
    </row>
    <row r="66" spans="1:6">
      <c r="A66" s="165" t="s">
        <v>13</v>
      </c>
      <c r="B66" s="167">
        <v>53063.504028435877</v>
      </c>
      <c r="C66" s="167">
        <v>43796.594189683085</v>
      </c>
      <c r="D66" s="167">
        <v>42459.190423411594</v>
      </c>
      <c r="E66" s="167">
        <v>37051.850726335608</v>
      </c>
      <c r="F66" s="167">
        <v>45928.665428464148</v>
      </c>
    </row>
    <row r="67" spans="1:6">
      <c r="A67" s="165" t="s">
        <v>14</v>
      </c>
      <c r="B67" s="167">
        <v>53457.450834798714</v>
      </c>
      <c r="C67" s="167">
        <v>44096.33596275653</v>
      </c>
      <c r="D67" s="167">
        <v>42735.699903707195</v>
      </c>
      <c r="E67" s="167">
        <v>37295.86470113902</v>
      </c>
      <c r="F67" s="167">
        <v>46251.415549054778</v>
      </c>
    </row>
    <row r="68" spans="1:6">
      <c r="A68" s="165"/>
      <c r="B68" s="167"/>
      <c r="C68" s="167"/>
      <c r="D68" s="167"/>
      <c r="E68" s="167"/>
      <c r="F68" s="167"/>
    </row>
    <row r="69" spans="1:6">
      <c r="A69" s="240">
        <v>2025</v>
      </c>
      <c r="B69" s="167"/>
      <c r="C69" s="167"/>
      <c r="D69" s="167"/>
      <c r="E69" s="167"/>
      <c r="F69" s="167"/>
    </row>
    <row r="70" spans="1:6">
      <c r="A70" s="165" t="s">
        <v>3</v>
      </c>
      <c r="B70" s="167">
        <v>53595.473565605447</v>
      </c>
      <c r="C70" s="167">
        <v>44310.122374433908</v>
      </c>
      <c r="D70" s="167">
        <v>42897.800654643921</v>
      </c>
      <c r="E70" s="167">
        <v>37455.189680942</v>
      </c>
      <c r="F70" s="167">
        <v>46420.680685746898</v>
      </c>
    </row>
    <row r="71" spans="1:6">
      <c r="A71" s="165" t="s">
        <v>4</v>
      </c>
      <c r="B71" s="167">
        <v>53805.750364527274</v>
      </c>
      <c r="C71" s="167">
        <v>44425.497577861788</v>
      </c>
      <c r="D71" s="167">
        <v>43055.699034826859</v>
      </c>
      <c r="E71" s="167">
        <v>37530.019525445336</v>
      </c>
      <c r="F71" s="167">
        <v>46570.698281811827</v>
      </c>
    </row>
    <row r="72" spans="1:6">
      <c r="A72" s="165" t="s">
        <v>5</v>
      </c>
      <c r="B72" s="167">
        <v>53996.654093402132</v>
      </c>
      <c r="C72" s="167">
        <v>44535.863727595264</v>
      </c>
      <c r="D72" s="167">
        <v>43202.586552104527</v>
      </c>
      <c r="E72" s="167">
        <v>37645.809155300405</v>
      </c>
      <c r="F72" s="167">
        <v>46716.78853043259</v>
      </c>
    </row>
    <row r="73" spans="1:6">
      <c r="A73" s="165" t="s">
        <v>6</v>
      </c>
      <c r="B73" s="167">
        <v>53950.341646980836</v>
      </c>
      <c r="C73" s="167">
        <v>44591.631192059685</v>
      </c>
      <c r="D73" s="167">
        <v>43323.803773614891</v>
      </c>
      <c r="E73" s="167">
        <v>37619.222682049789</v>
      </c>
      <c r="F73" s="167">
        <v>46728.499809748042</v>
      </c>
    </row>
    <row r="74" spans="1:6">
      <c r="A74" s="165" t="s">
        <v>7</v>
      </c>
      <c r="B74" s="167">
        <v>53990.418126648816</v>
      </c>
      <c r="C74" s="167">
        <v>44611.73419421992</v>
      </c>
      <c r="D74" s="167">
        <v>43440.232247056978</v>
      </c>
      <c r="E74" s="167">
        <v>37639.522562146361</v>
      </c>
      <c r="F74" s="167">
        <v>46768.091717766118</v>
      </c>
    </row>
    <row r="75" spans="1:6">
      <c r="A75" s="165" t="s">
        <v>8</v>
      </c>
      <c r="B75" s="167">
        <v>54106.407108260515</v>
      </c>
      <c r="C75" s="167">
        <v>44675.582931977988</v>
      </c>
      <c r="D75" s="167">
        <v>43531.902567220954</v>
      </c>
      <c r="E75" s="167">
        <v>37763.64815913522</v>
      </c>
      <c r="F75" s="167">
        <v>46864.647854478659</v>
      </c>
    </row>
    <row r="76" spans="1:6">
      <c r="A76" s="165" t="s">
        <v>9</v>
      </c>
      <c r="B76" s="167">
        <v>54275.900684615641</v>
      </c>
      <c r="C76" s="167">
        <v>44861.018099745008</v>
      </c>
      <c r="D76" s="167">
        <v>43711.724943662011</v>
      </c>
      <c r="E76" s="167">
        <v>37941.085173840191</v>
      </c>
      <c r="F76" s="167">
        <v>47041.413870974029</v>
      </c>
    </row>
    <row r="77" spans="1:6">
      <c r="A77" s="165" t="s">
        <v>10</v>
      </c>
      <c r="B77" s="167">
        <v>54638.293499206695</v>
      </c>
      <c r="C77" s="167">
        <v>45238.867716759931</v>
      </c>
      <c r="D77" s="167">
        <v>43974.552286619699</v>
      </c>
      <c r="E77" s="167">
        <v>38175.516940576192</v>
      </c>
      <c r="F77" s="167">
        <v>47374.601536573886</v>
      </c>
    </row>
    <row r="78" spans="1:6">
      <c r="A78" s="165" t="s">
        <v>11</v>
      </c>
      <c r="B78" s="167">
        <v>54797.310651416272</v>
      </c>
      <c r="C78" s="167">
        <v>45437.860723193153</v>
      </c>
      <c r="D78" s="167">
        <v>44115.641183787506</v>
      </c>
      <c r="E78" s="167">
        <v>38274.63463616369</v>
      </c>
      <c r="F78" s="167">
        <v>47534.455192003443</v>
      </c>
    </row>
    <row r="79" spans="1:6">
      <c r="A79" s="165" t="s">
        <v>60</v>
      </c>
      <c r="B79" s="167">
        <v>55126.735988438122</v>
      </c>
      <c r="C79" s="167">
        <v>45671.34941273521</v>
      </c>
      <c r="D79" s="167">
        <v>44325.694568441832</v>
      </c>
      <c r="E79" s="167">
        <v>38483.643087853787</v>
      </c>
      <c r="F79" s="167">
        <v>47796.809077574537</v>
      </c>
    </row>
    <row r="80" spans="1:6">
      <c r="A80" s="165" t="s">
        <v>13</v>
      </c>
      <c r="B80" s="167">
        <v>55522.886169720463</v>
      </c>
      <c r="C80" s="167">
        <v>45993.131022064037</v>
      </c>
      <c r="D80" s="167">
        <v>44621.587076632808</v>
      </c>
      <c r="E80" s="167">
        <v>38779.168354580303</v>
      </c>
      <c r="F80" s="167">
        <v>48138.346779181789</v>
      </c>
    </row>
    <row r="81" spans="1:7">
      <c r="A81" s="165" t="s">
        <v>14</v>
      </c>
      <c r="B81" s="167">
        <v>55965.930820987742</v>
      </c>
      <c r="C81" s="167">
        <v>46392.085451978077</v>
      </c>
      <c r="D81" s="167">
        <v>44921.812261647443</v>
      </c>
      <c r="E81" s="167">
        <v>39187.796909593846</v>
      </c>
      <c r="F81" s="167">
        <v>48541.837502182832</v>
      </c>
    </row>
    <row r="82" spans="1:7" ht="3.75" customHeight="1">
      <c r="A82" s="165"/>
      <c r="B82" s="167"/>
      <c r="C82" s="167"/>
      <c r="D82" s="167"/>
      <c r="E82" s="167"/>
      <c r="F82" s="167"/>
    </row>
    <row r="83" spans="1:7" ht="48.75" customHeight="1">
      <c r="A83" s="368" t="s">
        <v>349</v>
      </c>
      <c r="B83" s="368"/>
      <c r="C83" s="368"/>
      <c r="D83" s="368"/>
      <c r="E83" s="368"/>
      <c r="F83" s="368"/>
      <c r="G83" s="279"/>
    </row>
    <row r="84" spans="1:7">
      <c r="A84" s="364" t="s">
        <v>309</v>
      </c>
      <c r="B84" s="364"/>
      <c r="C84" s="364"/>
      <c r="D84" s="364"/>
      <c r="E84" s="364"/>
      <c r="F84" s="364"/>
    </row>
    <row r="85" spans="1:7" ht="18" customHeight="1">
      <c r="A85" s="364" t="s">
        <v>308</v>
      </c>
      <c r="B85" s="364"/>
      <c r="C85" s="364"/>
      <c r="D85" s="364"/>
      <c r="E85" s="364"/>
      <c r="F85" s="364"/>
    </row>
  </sheetData>
  <mergeCells count="8">
    <mergeCell ref="A85:F85"/>
    <mergeCell ref="A2:F2"/>
    <mergeCell ref="A3:F3"/>
    <mergeCell ref="A1:F1"/>
    <mergeCell ref="A5:A6"/>
    <mergeCell ref="B5:F5"/>
    <mergeCell ref="A84:F84"/>
    <mergeCell ref="A83:F83"/>
  </mergeCells>
  <printOptions horizontalCentered="1"/>
  <pageMargins left="0.19685039370078741" right="0.15748031496062992" top="0.74803149606299213" bottom="0.74803149606299213" header="0.31496062992125984" footer="0.31496062992125984"/>
  <pageSetup scale="56" fitToWidth="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Q1017"/>
  <sheetViews>
    <sheetView showGridLines="0" view="pageBreakPreview" zoomScaleNormal="100" zoomScaleSheetLayoutView="100" workbookViewId="0">
      <pane ySplit="6" topLeftCell="A216" activePane="bottomLeft" state="frozen"/>
      <selection activeCell="B31" sqref="B31"/>
      <selection pane="bottomLeft" activeCell="L234" sqref="L234"/>
    </sheetView>
  </sheetViews>
  <sheetFormatPr defaultColWidth="7.85546875" defaultRowHeight="14.25"/>
  <cols>
    <col min="1" max="1" width="8.42578125" style="168" customWidth="1"/>
    <col min="2" max="2" width="14.140625" style="168" customWidth="1"/>
    <col min="3" max="3" width="13.7109375" style="177" customWidth="1"/>
    <col min="4" max="4" width="8.85546875" style="168" customWidth="1"/>
    <col min="5" max="5" width="13.7109375" style="177" customWidth="1"/>
    <col min="6" max="6" width="8.5703125" style="168" customWidth="1"/>
    <col min="7" max="7" width="13.7109375" style="168" customWidth="1"/>
    <col min="8" max="8" width="7.7109375" style="168" customWidth="1"/>
    <col min="9" max="9" width="12.5703125" style="168" customWidth="1"/>
    <col min="10" max="10" width="8.140625" style="168" customWidth="1"/>
    <col min="11" max="11" width="9.42578125" style="168" customWidth="1"/>
    <col min="12" max="13" width="7.85546875" style="168"/>
    <col min="14" max="14" width="9.140625" style="168" customWidth="1"/>
    <col min="15" max="15" width="1.5703125" style="168" customWidth="1"/>
    <col min="16" max="16" width="32.7109375" style="168" customWidth="1"/>
    <col min="17" max="17" width="12" style="168" customWidth="1"/>
    <col min="18" max="256" width="7.85546875" style="168"/>
    <col min="257" max="257" width="8.42578125" style="168" customWidth="1"/>
    <col min="258" max="258" width="15.5703125" style="168" customWidth="1"/>
    <col min="259" max="259" width="17.140625" style="168" customWidth="1"/>
    <col min="260" max="260" width="14.140625" style="168" customWidth="1"/>
    <col min="261" max="261" width="17.42578125" style="168" customWidth="1"/>
    <col min="262" max="262" width="13.5703125" style="168" customWidth="1"/>
    <col min="263" max="263" width="15.5703125" style="168" customWidth="1"/>
    <col min="264" max="264" width="16.5703125" style="168" customWidth="1"/>
    <col min="265" max="512" width="7.85546875" style="168"/>
    <col min="513" max="513" width="8.42578125" style="168" customWidth="1"/>
    <col min="514" max="514" width="15.5703125" style="168" customWidth="1"/>
    <col min="515" max="515" width="17.140625" style="168" customWidth="1"/>
    <col min="516" max="516" width="14.140625" style="168" customWidth="1"/>
    <col min="517" max="517" width="17.42578125" style="168" customWidth="1"/>
    <col min="518" max="518" width="13.5703125" style="168" customWidth="1"/>
    <col min="519" max="519" width="15.5703125" style="168" customWidth="1"/>
    <col min="520" max="520" width="16.5703125" style="168" customWidth="1"/>
    <col min="521" max="768" width="7.85546875" style="168"/>
    <col min="769" max="769" width="8.42578125" style="168" customWidth="1"/>
    <col min="770" max="770" width="15.5703125" style="168" customWidth="1"/>
    <col min="771" max="771" width="17.140625" style="168" customWidth="1"/>
    <col min="772" max="772" width="14.140625" style="168" customWidth="1"/>
    <col min="773" max="773" width="17.42578125" style="168" customWidth="1"/>
    <col min="774" max="774" width="13.5703125" style="168" customWidth="1"/>
    <col min="775" max="775" width="15.5703125" style="168" customWidth="1"/>
    <col min="776" max="776" width="16.5703125" style="168" customWidth="1"/>
    <col min="777" max="1024" width="7.85546875" style="168"/>
    <col min="1025" max="1025" width="8.42578125" style="168" customWidth="1"/>
    <col min="1026" max="1026" width="15.5703125" style="168" customWidth="1"/>
    <col min="1027" max="1027" width="17.140625" style="168" customWidth="1"/>
    <col min="1028" max="1028" width="14.140625" style="168" customWidth="1"/>
    <col min="1029" max="1029" width="17.42578125" style="168" customWidth="1"/>
    <col min="1030" max="1030" width="13.5703125" style="168" customWidth="1"/>
    <col min="1031" max="1031" width="15.5703125" style="168" customWidth="1"/>
    <col min="1032" max="1032" width="16.5703125" style="168" customWidth="1"/>
    <col min="1033" max="1280" width="7.85546875" style="168"/>
    <col min="1281" max="1281" width="8.42578125" style="168" customWidth="1"/>
    <col min="1282" max="1282" width="15.5703125" style="168" customWidth="1"/>
    <col min="1283" max="1283" width="17.140625" style="168" customWidth="1"/>
    <col min="1284" max="1284" width="14.140625" style="168" customWidth="1"/>
    <col min="1285" max="1285" width="17.42578125" style="168" customWidth="1"/>
    <col min="1286" max="1286" width="13.5703125" style="168" customWidth="1"/>
    <col min="1287" max="1287" width="15.5703125" style="168" customWidth="1"/>
    <col min="1288" max="1288" width="16.5703125" style="168" customWidth="1"/>
    <col min="1289" max="1536" width="7.85546875" style="168"/>
    <col min="1537" max="1537" width="8.42578125" style="168" customWidth="1"/>
    <col min="1538" max="1538" width="15.5703125" style="168" customWidth="1"/>
    <col min="1539" max="1539" width="17.140625" style="168" customWidth="1"/>
    <col min="1540" max="1540" width="14.140625" style="168" customWidth="1"/>
    <col min="1541" max="1541" width="17.42578125" style="168" customWidth="1"/>
    <col min="1542" max="1542" width="13.5703125" style="168" customWidth="1"/>
    <col min="1543" max="1543" width="15.5703125" style="168" customWidth="1"/>
    <col min="1544" max="1544" width="16.5703125" style="168" customWidth="1"/>
    <col min="1545" max="1792" width="7.85546875" style="168"/>
    <col min="1793" max="1793" width="8.42578125" style="168" customWidth="1"/>
    <col min="1794" max="1794" width="15.5703125" style="168" customWidth="1"/>
    <col min="1795" max="1795" width="17.140625" style="168" customWidth="1"/>
    <col min="1796" max="1796" width="14.140625" style="168" customWidth="1"/>
    <col min="1797" max="1797" width="17.42578125" style="168" customWidth="1"/>
    <col min="1798" max="1798" width="13.5703125" style="168" customWidth="1"/>
    <col min="1799" max="1799" width="15.5703125" style="168" customWidth="1"/>
    <col min="1800" max="1800" width="16.5703125" style="168" customWidth="1"/>
    <col min="1801" max="2048" width="7.85546875" style="168"/>
    <col min="2049" max="2049" width="8.42578125" style="168" customWidth="1"/>
    <col min="2050" max="2050" width="15.5703125" style="168" customWidth="1"/>
    <col min="2051" max="2051" width="17.140625" style="168" customWidth="1"/>
    <col min="2052" max="2052" width="14.140625" style="168" customWidth="1"/>
    <col min="2053" max="2053" width="17.42578125" style="168" customWidth="1"/>
    <col min="2054" max="2054" width="13.5703125" style="168" customWidth="1"/>
    <col min="2055" max="2055" width="15.5703125" style="168" customWidth="1"/>
    <col min="2056" max="2056" width="16.5703125" style="168" customWidth="1"/>
    <col min="2057" max="2304" width="7.85546875" style="168"/>
    <col min="2305" max="2305" width="8.42578125" style="168" customWidth="1"/>
    <col min="2306" max="2306" width="15.5703125" style="168" customWidth="1"/>
    <col min="2307" max="2307" width="17.140625" style="168" customWidth="1"/>
    <col min="2308" max="2308" width="14.140625" style="168" customWidth="1"/>
    <col min="2309" max="2309" width="17.42578125" style="168" customWidth="1"/>
    <col min="2310" max="2310" width="13.5703125" style="168" customWidth="1"/>
    <col min="2311" max="2311" width="15.5703125" style="168" customWidth="1"/>
    <col min="2312" max="2312" width="16.5703125" style="168" customWidth="1"/>
    <col min="2313" max="2560" width="7.85546875" style="168"/>
    <col min="2561" max="2561" width="8.42578125" style="168" customWidth="1"/>
    <col min="2562" max="2562" width="15.5703125" style="168" customWidth="1"/>
    <col min="2563" max="2563" width="17.140625" style="168" customWidth="1"/>
    <col min="2564" max="2564" width="14.140625" style="168" customWidth="1"/>
    <col min="2565" max="2565" width="17.42578125" style="168" customWidth="1"/>
    <col min="2566" max="2566" width="13.5703125" style="168" customWidth="1"/>
    <col min="2567" max="2567" width="15.5703125" style="168" customWidth="1"/>
    <col min="2568" max="2568" width="16.5703125" style="168" customWidth="1"/>
    <col min="2569" max="2816" width="7.85546875" style="168"/>
    <col min="2817" max="2817" width="8.42578125" style="168" customWidth="1"/>
    <col min="2818" max="2818" width="15.5703125" style="168" customWidth="1"/>
    <col min="2819" max="2819" width="17.140625" style="168" customWidth="1"/>
    <col min="2820" max="2820" width="14.140625" style="168" customWidth="1"/>
    <col min="2821" max="2821" width="17.42578125" style="168" customWidth="1"/>
    <col min="2822" max="2822" width="13.5703125" style="168" customWidth="1"/>
    <col min="2823" max="2823" width="15.5703125" style="168" customWidth="1"/>
    <col min="2824" max="2824" width="16.5703125" style="168" customWidth="1"/>
    <col min="2825" max="3072" width="7.85546875" style="168"/>
    <col min="3073" max="3073" width="8.42578125" style="168" customWidth="1"/>
    <col min="3074" max="3074" width="15.5703125" style="168" customWidth="1"/>
    <col min="3075" max="3075" width="17.140625" style="168" customWidth="1"/>
    <col min="3076" max="3076" width="14.140625" style="168" customWidth="1"/>
    <col min="3077" max="3077" width="17.42578125" style="168" customWidth="1"/>
    <col min="3078" max="3078" width="13.5703125" style="168" customWidth="1"/>
    <col min="3079" max="3079" width="15.5703125" style="168" customWidth="1"/>
    <col min="3080" max="3080" width="16.5703125" style="168" customWidth="1"/>
    <col min="3081" max="3328" width="7.85546875" style="168"/>
    <col min="3329" max="3329" width="8.42578125" style="168" customWidth="1"/>
    <col min="3330" max="3330" width="15.5703125" style="168" customWidth="1"/>
    <col min="3331" max="3331" width="17.140625" style="168" customWidth="1"/>
    <col min="3332" max="3332" width="14.140625" style="168" customWidth="1"/>
    <col min="3333" max="3333" width="17.42578125" style="168" customWidth="1"/>
    <col min="3334" max="3334" width="13.5703125" style="168" customWidth="1"/>
    <col min="3335" max="3335" width="15.5703125" style="168" customWidth="1"/>
    <col min="3336" max="3336" width="16.5703125" style="168" customWidth="1"/>
    <col min="3337" max="3584" width="7.85546875" style="168"/>
    <col min="3585" max="3585" width="8.42578125" style="168" customWidth="1"/>
    <col min="3586" max="3586" width="15.5703125" style="168" customWidth="1"/>
    <col min="3587" max="3587" width="17.140625" style="168" customWidth="1"/>
    <col min="3588" max="3588" width="14.140625" style="168" customWidth="1"/>
    <col min="3589" max="3589" width="17.42578125" style="168" customWidth="1"/>
    <col min="3590" max="3590" width="13.5703125" style="168" customWidth="1"/>
    <col min="3591" max="3591" width="15.5703125" style="168" customWidth="1"/>
    <col min="3592" max="3592" width="16.5703125" style="168" customWidth="1"/>
    <col min="3593" max="3840" width="7.85546875" style="168"/>
    <col min="3841" max="3841" width="8.42578125" style="168" customWidth="1"/>
    <col min="3842" max="3842" width="15.5703125" style="168" customWidth="1"/>
    <col min="3843" max="3843" width="17.140625" style="168" customWidth="1"/>
    <col min="3844" max="3844" width="14.140625" style="168" customWidth="1"/>
    <col min="3845" max="3845" width="17.42578125" style="168" customWidth="1"/>
    <col min="3846" max="3846" width="13.5703125" style="168" customWidth="1"/>
    <col min="3847" max="3847" width="15.5703125" style="168" customWidth="1"/>
    <col min="3848" max="3848" width="16.5703125" style="168" customWidth="1"/>
    <col min="3849" max="4096" width="7.85546875" style="168"/>
    <col min="4097" max="4097" width="8.42578125" style="168" customWidth="1"/>
    <col min="4098" max="4098" width="15.5703125" style="168" customWidth="1"/>
    <col min="4099" max="4099" width="17.140625" style="168" customWidth="1"/>
    <col min="4100" max="4100" width="14.140625" style="168" customWidth="1"/>
    <col min="4101" max="4101" width="17.42578125" style="168" customWidth="1"/>
    <col min="4102" max="4102" width="13.5703125" style="168" customWidth="1"/>
    <col min="4103" max="4103" width="15.5703125" style="168" customWidth="1"/>
    <col min="4104" max="4104" width="16.5703125" style="168" customWidth="1"/>
    <col min="4105" max="4352" width="7.85546875" style="168"/>
    <col min="4353" max="4353" width="8.42578125" style="168" customWidth="1"/>
    <col min="4354" max="4354" width="15.5703125" style="168" customWidth="1"/>
    <col min="4355" max="4355" width="17.140625" style="168" customWidth="1"/>
    <col min="4356" max="4356" width="14.140625" style="168" customWidth="1"/>
    <col min="4357" max="4357" width="17.42578125" style="168" customWidth="1"/>
    <col min="4358" max="4358" width="13.5703125" style="168" customWidth="1"/>
    <col min="4359" max="4359" width="15.5703125" style="168" customWidth="1"/>
    <col min="4360" max="4360" width="16.5703125" style="168" customWidth="1"/>
    <col min="4361" max="4608" width="7.85546875" style="168"/>
    <col min="4609" max="4609" width="8.42578125" style="168" customWidth="1"/>
    <col min="4610" max="4610" width="15.5703125" style="168" customWidth="1"/>
    <col min="4611" max="4611" width="17.140625" style="168" customWidth="1"/>
    <col min="4612" max="4612" width="14.140625" style="168" customWidth="1"/>
    <col min="4613" max="4613" width="17.42578125" style="168" customWidth="1"/>
    <col min="4614" max="4614" width="13.5703125" style="168" customWidth="1"/>
    <col min="4615" max="4615" width="15.5703125" style="168" customWidth="1"/>
    <col min="4616" max="4616" width="16.5703125" style="168" customWidth="1"/>
    <col min="4617" max="4864" width="7.85546875" style="168"/>
    <col min="4865" max="4865" width="8.42578125" style="168" customWidth="1"/>
    <col min="4866" max="4866" width="15.5703125" style="168" customWidth="1"/>
    <col min="4867" max="4867" width="17.140625" style="168" customWidth="1"/>
    <col min="4868" max="4868" width="14.140625" style="168" customWidth="1"/>
    <col min="4869" max="4869" width="17.42578125" style="168" customWidth="1"/>
    <col min="4870" max="4870" width="13.5703125" style="168" customWidth="1"/>
    <col min="4871" max="4871" width="15.5703125" style="168" customWidth="1"/>
    <col min="4872" max="4872" width="16.5703125" style="168" customWidth="1"/>
    <col min="4873" max="5120" width="7.85546875" style="168"/>
    <col min="5121" max="5121" width="8.42578125" style="168" customWidth="1"/>
    <col min="5122" max="5122" width="15.5703125" style="168" customWidth="1"/>
    <col min="5123" max="5123" width="17.140625" style="168" customWidth="1"/>
    <col min="5124" max="5124" width="14.140625" style="168" customWidth="1"/>
    <col min="5125" max="5125" width="17.42578125" style="168" customWidth="1"/>
    <col min="5126" max="5126" width="13.5703125" style="168" customWidth="1"/>
    <col min="5127" max="5127" width="15.5703125" style="168" customWidth="1"/>
    <col min="5128" max="5128" width="16.5703125" style="168" customWidth="1"/>
    <col min="5129" max="5376" width="7.85546875" style="168"/>
    <col min="5377" max="5377" width="8.42578125" style="168" customWidth="1"/>
    <col min="5378" max="5378" width="15.5703125" style="168" customWidth="1"/>
    <col min="5379" max="5379" width="17.140625" style="168" customWidth="1"/>
    <col min="5380" max="5380" width="14.140625" style="168" customWidth="1"/>
    <col min="5381" max="5381" width="17.42578125" style="168" customWidth="1"/>
    <col min="5382" max="5382" width="13.5703125" style="168" customWidth="1"/>
    <col min="5383" max="5383" width="15.5703125" style="168" customWidth="1"/>
    <col min="5384" max="5384" width="16.5703125" style="168" customWidth="1"/>
    <col min="5385" max="5632" width="7.85546875" style="168"/>
    <col min="5633" max="5633" width="8.42578125" style="168" customWidth="1"/>
    <col min="5634" max="5634" width="15.5703125" style="168" customWidth="1"/>
    <col min="5635" max="5635" width="17.140625" style="168" customWidth="1"/>
    <col min="5636" max="5636" width="14.140625" style="168" customWidth="1"/>
    <col min="5637" max="5637" width="17.42578125" style="168" customWidth="1"/>
    <col min="5638" max="5638" width="13.5703125" style="168" customWidth="1"/>
    <col min="5639" max="5639" width="15.5703125" style="168" customWidth="1"/>
    <col min="5640" max="5640" width="16.5703125" style="168" customWidth="1"/>
    <col min="5641" max="5888" width="7.85546875" style="168"/>
    <col min="5889" max="5889" width="8.42578125" style="168" customWidth="1"/>
    <col min="5890" max="5890" width="15.5703125" style="168" customWidth="1"/>
    <col min="5891" max="5891" width="17.140625" style="168" customWidth="1"/>
    <col min="5892" max="5892" width="14.140625" style="168" customWidth="1"/>
    <col min="5893" max="5893" width="17.42578125" style="168" customWidth="1"/>
    <col min="5894" max="5894" width="13.5703125" style="168" customWidth="1"/>
    <col min="5895" max="5895" width="15.5703125" style="168" customWidth="1"/>
    <col min="5896" max="5896" width="16.5703125" style="168" customWidth="1"/>
    <col min="5897" max="6144" width="7.85546875" style="168"/>
    <col min="6145" max="6145" width="8.42578125" style="168" customWidth="1"/>
    <col min="6146" max="6146" width="15.5703125" style="168" customWidth="1"/>
    <col min="6147" max="6147" width="17.140625" style="168" customWidth="1"/>
    <col min="6148" max="6148" width="14.140625" style="168" customWidth="1"/>
    <col min="6149" max="6149" width="17.42578125" style="168" customWidth="1"/>
    <col min="6150" max="6150" width="13.5703125" style="168" customWidth="1"/>
    <col min="6151" max="6151" width="15.5703125" style="168" customWidth="1"/>
    <col min="6152" max="6152" width="16.5703125" style="168" customWidth="1"/>
    <col min="6153" max="6400" width="7.85546875" style="168"/>
    <col min="6401" max="6401" width="8.42578125" style="168" customWidth="1"/>
    <col min="6402" max="6402" width="15.5703125" style="168" customWidth="1"/>
    <col min="6403" max="6403" width="17.140625" style="168" customWidth="1"/>
    <col min="6404" max="6404" width="14.140625" style="168" customWidth="1"/>
    <col min="6405" max="6405" width="17.42578125" style="168" customWidth="1"/>
    <col min="6406" max="6406" width="13.5703125" style="168" customWidth="1"/>
    <col min="6407" max="6407" width="15.5703125" style="168" customWidth="1"/>
    <col min="6408" max="6408" width="16.5703125" style="168" customWidth="1"/>
    <col min="6409" max="6656" width="7.85546875" style="168"/>
    <col min="6657" max="6657" width="8.42578125" style="168" customWidth="1"/>
    <col min="6658" max="6658" width="15.5703125" style="168" customWidth="1"/>
    <col min="6659" max="6659" width="17.140625" style="168" customWidth="1"/>
    <col min="6660" max="6660" width="14.140625" style="168" customWidth="1"/>
    <col min="6661" max="6661" width="17.42578125" style="168" customWidth="1"/>
    <col min="6662" max="6662" width="13.5703125" style="168" customWidth="1"/>
    <col min="6663" max="6663" width="15.5703125" style="168" customWidth="1"/>
    <col min="6664" max="6664" width="16.5703125" style="168" customWidth="1"/>
    <col min="6665" max="6912" width="7.85546875" style="168"/>
    <col min="6913" max="6913" width="8.42578125" style="168" customWidth="1"/>
    <col min="6914" max="6914" width="15.5703125" style="168" customWidth="1"/>
    <col min="6915" max="6915" width="17.140625" style="168" customWidth="1"/>
    <col min="6916" max="6916" width="14.140625" style="168" customWidth="1"/>
    <col min="6917" max="6917" width="17.42578125" style="168" customWidth="1"/>
    <col min="6918" max="6918" width="13.5703125" style="168" customWidth="1"/>
    <col min="6919" max="6919" width="15.5703125" style="168" customWidth="1"/>
    <col min="6920" max="6920" width="16.5703125" style="168" customWidth="1"/>
    <col min="6921" max="7168" width="7.85546875" style="168"/>
    <col min="7169" max="7169" width="8.42578125" style="168" customWidth="1"/>
    <col min="7170" max="7170" width="15.5703125" style="168" customWidth="1"/>
    <col min="7171" max="7171" width="17.140625" style="168" customWidth="1"/>
    <col min="7172" max="7172" width="14.140625" style="168" customWidth="1"/>
    <col min="7173" max="7173" width="17.42578125" style="168" customWidth="1"/>
    <col min="7174" max="7174" width="13.5703125" style="168" customWidth="1"/>
    <col min="7175" max="7175" width="15.5703125" style="168" customWidth="1"/>
    <col min="7176" max="7176" width="16.5703125" style="168" customWidth="1"/>
    <col min="7177" max="7424" width="7.85546875" style="168"/>
    <col min="7425" max="7425" width="8.42578125" style="168" customWidth="1"/>
    <col min="7426" max="7426" width="15.5703125" style="168" customWidth="1"/>
    <col min="7427" max="7427" width="17.140625" style="168" customWidth="1"/>
    <col min="7428" max="7428" width="14.140625" style="168" customWidth="1"/>
    <col min="7429" max="7429" width="17.42578125" style="168" customWidth="1"/>
    <col min="7430" max="7430" width="13.5703125" style="168" customWidth="1"/>
    <col min="7431" max="7431" width="15.5703125" style="168" customWidth="1"/>
    <col min="7432" max="7432" width="16.5703125" style="168" customWidth="1"/>
    <col min="7433" max="7680" width="7.85546875" style="168"/>
    <col min="7681" max="7681" width="8.42578125" style="168" customWidth="1"/>
    <col min="7682" max="7682" width="15.5703125" style="168" customWidth="1"/>
    <col min="7683" max="7683" width="17.140625" style="168" customWidth="1"/>
    <col min="7684" max="7684" width="14.140625" style="168" customWidth="1"/>
    <col min="7685" max="7685" width="17.42578125" style="168" customWidth="1"/>
    <col min="7686" max="7686" width="13.5703125" style="168" customWidth="1"/>
    <col min="7687" max="7687" width="15.5703125" style="168" customWidth="1"/>
    <col min="7688" max="7688" width="16.5703125" style="168" customWidth="1"/>
    <col min="7689" max="7936" width="7.85546875" style="168"/>
    <col min="7937" max="7937" width="8.42578125" style="168" customWidth="1"/>
    <col min="7938" max="7938" width="15.5703125" style="168" customWidth="1"/>
    <col min="7939" max="7939" width="17.140625" style="168" customWidth="1"/>
    <col min="7940" max="7940" width="14.140625" style="168" customWidth="1"/>
    <col min="7941" max="7941" width="17.42578125" style="168" customWidth="1"/>
    <col min="7942" max="7942" width="13.5703125" style="168" customWidth="1"/>
    <col min="7943" max="7943" width="15.5703125" style="168" customWidth="1"/>
    <col min="7944" max="7944" width="16.5703125" style="168" customWidth="1"/>
    <col min="7945" max="8192" width="7.85546875" style="168"/>
    <col min="8193" max="8193" width="8.42578125" style="168" customWidth="1"/>
    <col min="8194" max="8194" width="15.5703125" style="168" customWidth="1"/>
    <col min="8195" max="8195" width="17.140625" style="168" customWidth="1"/>
    <col min="8196" max="8196" width="14.140625" style="168" customWidth="1"/>
    <col min="8197" max="8197" width="17.42578125" style="168" customWidth="1"/>
    <col min="8198" max="8198" width="13.5703125" style="168" customWidth="1"/>
    <col min="8199" max="8199" width="15.5703125" style="168" customWidth="1"/>
    <col min="8200" max="8200" width="16.5703125" style="168" customWidth="1"/>
    <col min="8201" max="8448" width="7.85546875" style="168"/>
    <col min="8449" max="8449" width="8.42578125" style="168" customWidth="1"/>
    <col min="8450" max="8450" width="15.5703125" style="168" customWidth="1"/>
    <col min="8451" max="8451" width="17.140625" style="168" customWidth="1"/>
    <col min="8452" max="8452" width="14.140625" style="168" customWidth="1"/>
    <col min="8453" max="8453" width="17.42578125" style="168" customWidth="1"/>
    <col min="8454" max="8454" width="13.5703125" style="168" customWidth="1"/>
    <col min="8455" max="8455" width="15.5703125" style="168" customWidth="1"/>
    <col min="8456" max="8456" width="16.5703125" style="168" customWidth="1"/>
    <col min="8457" max="8704" width="7.85546875" style="168"/>
    <col min="8705" max="8705" width="8.42578125" style="168" customWidth="1"/>
    <col min="8706" max="8706" width="15.5703125" style="168" customWidth="1"/>
    <col min="8707" max="8707" width="17.140625" style="168" customWidth="1"/>
    <col min="8708" max="8708" width="14.140625" style="168" customWidth="1"/>
    <col min="8709" max="8709" width="17.42578125" style="168" customWidth="1"/>
    <col min="8710" max="8710" width="13.5703125" style="168" customWidth="1"/>
    <col min="8711" max="8711" width="15.5703125" style="168" customWidth="1"/>
    <col min="8712" max="8712" width="16.5703125" style="168" customWidth="1"/>
    <col min="8713" max="8960" width="7.85546875" style="168"/>
    <col min="8961" max="8961" width="8.42578125" style="168" customWidth="1"/>
    <col min="8962" max="8962" width="15.5703125" style="168" customWidth="1"/>
    <col min="8963" max="8963" width="17.140625" style="168" customWidth="1"/>
    <col min="8964" max="8964" width="14.140625" style="168" customWidth="1"/>
    <col min="8965" max="8965" width="17.42578125" style="168" customWidth="1"/>
    <col min="8966" max="8966" width="13.5703125" style="168" customWidth="1"/>
    <col min="8967" max="8967" width="15.5703125" style="168" customWidth="1"/>
    <col min="8968" max="8968" width="16.5703125" style="168" customWidth="1"/>
    <col min="8969" max="9216" width="7.85546875" style="168"/>
    <col min="9217" max="9217" width="8.42578125" style="168" customWidth="1"/>
    <col min="9218" max="9218" width="15.5703125" style="168" customWidth="1"/>
    <col min="9219" max="9219" width="17.140625" style="168" customWidth="1"/>
    <col min="9220" max="9220" width="14.140625" style="168" customWidth="1"/>
    <col min="9221" max="9221" width="17.42578125" style="168" customWidth="1"/>
    <col min="9222" max="9222" width="13.5703125" style="168" customWidth="1"/>
    <col min="9223" max="9223" width="15.5703125" style="168" customWidth="1"/>
    <col min="9224" max="9224" width="16.5703125" style="168" customWidth="1"/>
    <col min="9225" max="9472" width="7.85546875" style="168"/>
    <col min="9473" max="9473" width="8.42578125" style="168" customWidth="1"/>
    <col min="9474" max="9474" width="15.5703125" style="168" customWidth="1"/>
    <col min="9475" max="9475" width="17.140625" style="168" customWidth="1"/>
    <col min="9476" max="9476" width="14.140625" style="168" customWidth="1"/>
    <col min="9477" max="9477" width="17.42578125" style="168" customWidth="1"/>
    <col min="9478" max="9478" width="13.5703125" style="168" customWidth="1"/>
    <col min="9479" max="9479" width="15.5703125" style="168" customWidth="1"/>
    <col min="9480" max="9480" width="16.5703125" style="168" customWidth="1"/>
    <col min="9481" max="9728" width="7.85546875" style="168"/>
    <col min="9729" max="9729" width="8.42578125" style="168" customWidth="1"/>
    <col min="9730" max="9730" width="15.5703125" style="168" customWidth="1"/>
    <col min="9731" max="9731" width="17.140625" style="168" customWidth="1"/>
    <col min="9732" max="9732" width="14.140625" style="168" customWidth="1"/>
    <col min="9733" max="9733" width="17.42578125" style="168" customWidth="1"/>
    <col min="9734" max="9734" width="13.5703125" style="168" customWidth="1"/>
    <col min="9735" max="9735" width="15.5703125" style="168" customWidth="1"/>
    <col min="9736" max="9736" width="16.5703125" style="168" customWidth="1"/>
    <col min="9737" max="9984" width="7.85546875" style="168"/>
    <col min="9985" max="9985" width="8.42578125" style="168" customWidth="1"/>
    <col min="9986" max="9986" width="15.5703125" style="168" customWidth="1"/>
    <col min="9987" max="9987" width="17.140625" style="168" customWidth="1"/>
    <col min="9988" max="9988" width="14.140625" style="168" customWidth="1"/>
    <col min="9989" max="9989" width="17.42578125" style="168" customWidth="1"/>
    <col min="9990" max="9990" width="13.5703125" style="168" customWidth="1"/>
    <col min="9991" max="9991" width="15.5703125" style="168" customWidth="1"/>
    <col min="9992" max="9992" width="16.5703125" style="168" customWidth="1"/>
    <col min="9993" max="10240" width="7.85546875" style="168"/>
    <col min="10241" max="10241" width="8.42578125" style="168" customWidth="1"/>
    <col min="10242" max="10242" width="15.5703125" style="168" customWidth="1"/>
    <col min="10243" max="10243" width="17.140625" style="168" customWidth="1"/>
    <col min="10244" max="10244" width="14.140625" style="168" customWidth="1"/>
    <col min="10245" max="10245" width="17.42578125" style="168" customWidth="1"/>
    <col min="10246" max="10246" width="13.5703125" style="168" customWidth="1"/>
    <col min="10247" max="10247" width="15.5703125" style="168" customWidth="1"/>
    <col min="10248" max="10248" width="16.5703125" style="168" customWidth="1"/>
    <col min="10249" max="10496" width="7.85546875" style="168"/>
    <col min="10497" max="10497" width="8.42578125" style="168" customWidth="1"/>
    <col min="10498" max="10498" width="15.5703125" style="168" customWidth="1"/>
    <col min="10499" max="10499" width="17.140625" style="168" customWidth="1"/>
    <col min="10500" max="10500" width="14.140625" style="168" customWidth="1"/>
    <col min="10501" max="10501" width="17.42578125" style="168" customWidth="1"/>
    <col min="10502" max="10502" width="13.5703125" style="168" customWidth="1"/>
    <col min="10503" max="10503" width="15.5703125" style="168" customWidth="1"/>
    <col min="10504" max="10504" width="16.5703125" style="168" customWidth="1"/>
    <col min="10505" max="10752" width="7.85546875" style="168"/>
    <col min="10753" max="10753" width="8.42578125" style="168" customWidth="1"/>
    <col min="10754" max="10754" width="15.5703125" style="168" customWidth="1"/>
    <col min="10755" max="10755" width="17.140625" style="168" customWidth="1"/>
    <col min="10756" max="10756" width="14.140625" style="168" customWidth="1"/>
    <col min="10757" max="10757" width="17.42578125" style="168" customWidth="1"/>
    <col min="10758" max="10758" width="13.5703125" style="168" customWidth="1"/>
    <col min="10759" max="10759" width="15.5703125" style="168" customWidth="1"/>
    <col min="10760" max="10760" width="16.5703125" style="168" customWidth="1"/>
    <col min="10761" max="11008" width="7.85546875" style="168"/>
    <col min="11009" max="11009" width="8.42578125" style="168" customWidth="1"/>
    <col min="11010" max="11010" width="15.5703125" style="168" customWidth="1"/>
    <col min="11011" max="11011" width="17.140625" style="168" customWidth="1"/>
    <col min="11012" max="11012" width="14.140625" style="168" customWidth="1"/>
    <col min="11013" max="11013" width="17.42578125" style="168" customWidth="1"/>
    <col min="11014" max="11014" width="13.5703125" style="168" customWidth="1"/>
    <col min="11015" max="11015" width="15.5703125" style="168" customWidth="1"/>
    <col min="11016" max="11016" width="16.5703125" style="168" customWidth="1"/>
    <col min="11017" max="11264" width="7.85546875" style="168"/>
    <col min="11265" max="11265" width="8.42578125" style="168" customWidth="1"/>
    <col min="11266" max="11266" width="15.5703125" style="168" customWidth="1"/>
    <col min="11267" max="11267" width="17.140625" style="168" customWidth="1"/>
    <col min="11268" max="11268" width="14.140625" style="168" customWidth="1"/>
    <col min="11269" max="11269" width="17.42578125" style="168" customWidth="1"/>
    <col min="11270" max="11270" width="13.5703125" style="168" customWidth="1"/>
    <col min="11271" max="11271" width="15.5703125" style="168" customWidth="1"/>
    <col min="11272" max="11272" width="16.5703125" style="168" customWidth="1"/>
    <col min="11273" max="11520" width="7.85546875" style="168"/>
    <col min="11521" max="11521" width="8.42578125" style="168" customWidth="1"/>
    <col min="11522" max="11522" width="15.5703125" style="168" customWidth="1"/>
    <col min="11523" max="11523" width="17.140625" style="168" customWidth="1"/>
    <col min="11524" max="11524" width="14.140625" style="168" customWidth="1"/>
    <col min="11525" max="11525" width="17.42578125" style="168" customWidth="1"/>
    <col min="11526" max="11526" width="13.5703125" style="168" customWidth="1"/>
    <col min="11527" max="11527" width="15.5703125" style="168" customWidth="1"/>
    <col min="11528" max="11528" width="16.5703125" style="168" customWidth="1"/>
    <col min="11529" max="11776" width="7.85546875" style="168"/>
    <col min="11777" max="11777" width="8.42578125" style="168" customWidth="1"/>
    <col min="11778" max="11778" width="15.5703125" style="168" customWidth="1"/>
    <col min="11779" max="11779" width="17.140625" style="168" customWidth="1"/>
    <col min="11780" max="11780" width="14.140625" style="168" customWidth="1"/>
    <col min="11781" max="11781" width="17.42578125" style="168" customWidth="1"/>
    <col min="11782" max="11782" width="13.5703125" style="168" customWidth="1"/>
    <col min="11783" max="11783" width="15.5703125" style="168" customWidth="1"/>
    <col min="11784" max="11784" width="16.5703125" style="168" customWidth="1"/>
    <col min="11785" max="12032" width="7.85546875" style="168"/>
    <col min="12033" max="12033" width="8.42578125" style="168" customWidth="1"/>
    <col min="12034" max="12034" width="15.5703125" style="168" customWidth="1"/>
    <col min="12035" max="12035" width="17.140625" style="168" customWidth="1"/>
    <col min="12036" max="12036" width="14.140625" style="168" customWidth="1"/>
    <col min="12037" max="12037" width="17.42578125" style="168" customWidth="1"/>
    <col min="12038" max="12038" width="13.5703125" style="168" customWidth="1"/>
    <col min="12039" max="12039" width="15.5703125" style="168" customWidth="1"/>
    <col min="12040" max="12040" width="16.5703125" style="168" customWidth="1"/>
    <col min="12041" max="12288" width="7.85546875" style="168"/>
    <col min="12289" max="12289" width="8.42578125" style="168" customWidth="1"/>
    <col min="12290" max="12290" width="15.5703125" style="168" customWidth="1"/>
    <col min="12291" max="12291" width="17.140625" style="168" customWidth="1"/>
    <col min="12292" max="12292" width="14.140625" style="168" customWidth="1"/>
    <col min="12293" max="12293" width="17.42578125" style="168" customWidth="1"/>
    <col min="12294" max="12294" width="13.5703125" style="168" customWidth="1"/>
    <col min="12295" max="12295" width="15.5703125" style="168" customWidth="1"/>
    <col min="12296" max="12296" width="16.5703125" style="168" customWidth="1"/>
    <col min="12297" max="12544" width="7.85546875" style="168"/>
    <col min="12545" max="12545" width="8.42578125" style="168" customWidth="1"/>
    <col min="12546" max="12546" width="15.5703125" style="168" customWidth="1"/>
    <col min="12547" max="12547" width="17.140625" style="168" customWidth="1"/>
    <col min="12548" max="12548" width="14.140625" style="168" customWidth="1"/>
    <col min="12549" max="12549" width="17.42578125" style="168" customWidth="1"/>
    <col min="12550" max="12550" width="13.5703125" style="168" customWidth="1"/>
    <col min="12551" max="12551" width="15.5703125" style="168" customWidth="1"/>
    <col min="12552" max="12552" width="16.5703125" style="168" customWidth="1"/>
    <col min="12553" max="12800" width="7.85546875" style="168"/>
    <col min="12801" max="12801" width="8.42578125" style="168" customWidth="1"/>
    <col min="12802" max="12802" width="15.5703125" style="168" customWidth="1"/>
    <col min="12803" max="12803" width="17.140625" style="168" customWidth="1"/>
    <col min="12804" max="12804" width="14.140625" style="168" customWidth="1"/>
    <col min="12805" max="12805" width="17.42578125" style="168" customWidth="1"/>
    <col min="12806" max="12806" width="13.5703125" style="168" customWidth="1"/>
    <col min="12807" max="12807" width="15.5703125" style="168" customWidth="1"/>
    <col min="12808" max="12808" width="16.5703125" style="168" customWidth="1"/>
    <col min="12809" max="13056" width="7.85546875" style="168"/>
    <col min="13057" max="13057" width="8.42578125" style="168" customWidth="1"/>
    <col min="13058" max="13058" width="15.5703125" style="168" customWidth="1"/>
    <col min="13059" max="13059" width="17.140625" style="168" customWidth="1"/>
    <col min="13060" max="13060" width="14.140625" style="168" customWidth="1"/>
    <col min="13061" max="13061" width="17.42578125" style="168" customWidth="1"/>
    <col min="13062" max="13062" width="13.5703125" style="168" customWidth="1"/>
    <col min="13063" max="13063" width="15.5703125" style="168" customWidth="1"/>
    <col min="13064" max="13064" width="16.5703125" style="168" customWidth="1"/>
    <col min="13065" max="13312" width="7.85546875" style="168"/>
    <col min="13313" max="13313" width="8.42578125" style="168" customWidth="1"/>
    <col min="13314" max="13314" width="15.5703125" style="168" customWidth="1"/>
    <col min="13315" max="13315" width="17.140625" style="168" customWidth="1"/>
    <col min="13316" max="13316" width="14.140625" style="168" customWidth="1"/>
    <col min="13317" max="13317" width="17.42578125" style="168" customWidth="1"/>
    <col min="13318" max="13318" width="13.5703125" style="168" customWidth="1"/>
    <col min="13319" max="13319" width="15.5703125" style="168" customWidth="1"/>
    <col min="13320" max="13320" width="16.5703125" style="168" customWidth="1"/>
    <col min="13321" max="13568" width="7.85546875" style="168"/>
    <col min="13569" max="13569" width="8.42578125" style="168" customWidth="1"/>
    <col min="13570" max="13570" width="15.5703125" style="168" customWidth="1"/>
    <col min="13571" max="13571" width="17.140625" style="168" customWidth="1"/>
    <col min="13572" max="13572" width="14.140625" style="168" customWidth="1"/>
    <col min="13573" max="13573" width="17.42578125" style="168" customWidth="1"/>
    <col min="13574" max="13574" width="13.5703125" style="168" customWidth="1"/>
    <col min="13575" max="13575" width="15.5703125" style="168" customWidth="1"/>
    <col min="13576" max="13576" width="16.5703125" style="168" customWidth="1"/>
    <col min="13577" max="13824" width="7.85546875" style="168"/>
    <col min="13825" max="13825" width="8.42578125" style="168" customWidth="1"/>
    <col min="13826" max="13826" width="15.5703125" style="168" customWidth="1"/>
    <col min="13827" max="13827" width="17.140625" style="168" customWidth="1"/>
    <col min="13828" max="13828" width="14.140625" style="168" customWidth="1"/>
    <col min="13829" max="13829" width="17.42578125" style="168" customWidth="1"/>
    <col min="13830" max="13830" width="13.5703125" style="168" customWidth="1"/>
    <col min="13831" max="13831" width="15.5703125" style="168" customWidth="1"/>
    <col min="13832" max="13832" width="16.5703125" style="168" customWidth="1"/>
    <col min="13833" max="14080" width="7.85546875" style="168"/>
    <col min="14081" max="14081" width="8.42578125" style="168" customWidth="1"/>
    <col min="14082" max="14082" width="15.5703125" style="168" customWidth="1"/>
    <col min="14083" max="14083" width="17.140625" style="168" customWidth="1"/>
    <col min="14084" max="14084" width="14.140625" style="168" customWidth="1"/>
    <col min="14085" max="14085" width="17.42578125" style="168" customWidth="1"/>
    <col min="14086" max="14086" width="13.5703125" style="168" customWidth="1"/>
    <col min="14087" max="14087" width="15.5703125" style="168" customWidth="1"/>
    <col min="14088" max="14088" width="16.5703125" style="168" customWidth="1"/>
    <col min="14089" max="14336" width="7.85546875" style="168"/>
    <col min="14337" max="14337" width="8.42578125" style="168" customWidth="1"/>
    <col min="14338" max="14338" width="15.5703125" style="168" customWidth="1"/>
    <col min="14339" max="14339" width="17.140625" style="168" customWidth="1"/>
    <col min="14340" max="14340" width="14.140625" style="168" customWidth="1"/>
    <col min="14341" max="14341" width="17.42578125" style="168" customWidth="1"/>
    <col min="14342" max="14342" width="13.5703125" style="168" customWidth="1"/>
    <col min="14343" max="14343" width="15.5703125" style="168" customWidth="1"/>
    <col min="14344" max="14344" width="16.5703125" style="168" customWidth="1"/>
    <col min="14345" max="14592" width="7.85546875" style="168"/>
    <col min="14593" max="14593" width="8.42578125" style="168" customWidth="1"/>
    <col min="14594" max="14594" width="15.5703125" style="168" customWidth="1"/>
    <col min="14595" max="14595" width="17.140625" style="168" customWidth="1"/>
    <col min="14596" max="14596" width="14.140625" style="168" customWidth="1"/>
    <col min="14597" max="14597" width="17.42578125" style="168" customWidth="1"/>
    <col min="14598" max="14598" width="13.5703125" style="168" customWidth="1"/>
    <col min="14599" max="14599" width="15.5703125" style="168" customWidth="1"/>
    <col min="14600" max="14600" width="16.5703125" style="168" customWidth="1"/>
    <col min="14601" max="14848" width="7.85546875" style="168"/>
    <col min="14849" max="14849" width="8.42578125" style="168" customWidth="1"/>
    <col min="14850" max="14850" width="15.5703125" style="168" customWidth="1"/>
    <col min="14851" max="14851" width="17.140625" style="168" customWidth="1"/>
    <col min="14852" max="14852" width="14.140625" style="168" customWidth="1"/>
    <col min="14853" max="14853" width="17.42578125" style="168" customWidth="1"/>
    <col min="14854" max="14854" width="13.5703125" style="168" customWidth="1"/>
    <col min="14855" max="14855" width="15.5703125" style="168" customWidth="1"/>
    <col min="14856" max="14856" width="16.5703125" style="168" customWidth="1"/>
    <col min="14857" max="15104" width="7.85546875" style="168"/>
    <col min="15105" max="15105" width="8.42578125" style="168" customWidth="1"/>
    <col min="15106" max="15106" width="15.5703125" style="168" customWidth="1"/>
    <col min="15107" max="15107" width="17.140625" style="168" customWidth="1"/>
    <col min="15108" max="15108" width="14.140625" style="168" customWidth="1"/>
    <col min="15109" max="15109" width="17.42578125" style="168" customWidth="1"/>
    <col min="15110" max="15110" width="13.5703125" style="168" customWidth="1"/>
    <col min="15111" max="15111" width="15.5703125" style="168" customWidth="1"/>
    <col min="15112" max="15112" width="16.5703125" style="168" customWidth="1"/>
    <col min="15113" max="15360" width="7.85546875" style="168"/>
    <col min="15361" max="15361" width="8.42578125" style="168" customWidth="1"/>
    <col min="15362" max="15362" width="15.5703125" style="168" customWidth="1"/>
    <col min="15363" max="15363" width="17.140625" style="168" customWidth="1"/>
    <col min="15364" max="15364" width="14.140625" style="168" customWidth="1"/>
    <col min="15365" max="15365" width="17.42578125" style="168" customWidth="1"/>
    <col min="15366" max="15366" width="13.5703125" style="168" customWidth="1"/>
    <col min="15367" max="15367" width="15.5703125" style="168" customWidth="1"/>
    <col min="15368" max="15368" width="16.5703125" style="168" customWidth="1"/>
    <col min="15369" max="15616" width="7.85546875" style="168"/>
    <col min="15617" max="15617" width="8.42578125" style="168" customWidth="1"/>
    <col min="15618" max="15618" width="15.5703125" style="168" customWidth="1"/>
    <col min="15619" max="15619" width="17.140625" style="168" customWidth="1"/>
    <col min="15620" max="15620" width="14.140625" style="168" customWidth="1"/>
    <col min="15621" max="15621" width="17.42578125" style="168" customWidth="1"/>
    <col min="15622" max="15622" width="13.5703125" style="168" customWidth="1"/>
    <col min="15623" max="15623" width="15.5703125" style="168" customWidth="1"/>
    <col min="15624" max="15624" width="16.5703125" style="168" customWidth="1"/>
    <col min="15625" max="15872" width="7.85546875" style="168"/>
    <col min="15873" max="15873" width="8.42578125" style="168" customWidth="1"/>
    <col min="15874" max="15874" width="15.5703125" style="168" customWidth="1"/>
    <col min="15875" max="15875" width="17.140625" style="168" customWidth="1"/>
    <col min="15876" max="15876" width="14.140625" style="168" customWidth="1"/>
    <col min="15877" max="15877" width="17.42578125" style="168" customWidth="1"/>
    <col min="15878" max="15878" width="13.5703125" style="168" customWidth="1"/>
    <col min="15879" max="15879" width="15.5703125" style="168" customWidth="1"/>
    <col min="15880" max="15880" width="16.5703125" style="168" customWidth="1"/>
    <col min="15881" max="16128" width="7.85546875" style="168"/>
    <col min="16129" max="16129" width="8.42578125" style="168" customWidth="1"/>
    <col min="16130" max="16130" width="15.5703125" style="168" customWidth="1"/>
    <col min="16131" max="16131" width="17.140625" style="168" customWidth="1"/>
    <col min="16132" max="16132" width="14.140625" style="168" customWidth="1"/>
    <col min="16133" max="16133" width="17.42578125" style="168" customWidth="1"/>
    <col min="16134" max="16134" width="13.5703125" style="168" customWidth="1"/>
    <col min="16135" max="16135" width="15.5703125" style="168" customWidth="1"/>
    <col min="16136" max="16136" width="16.5703125" style="168" customWidth="1"/>
    <col min="16137" max="16384" width="7.85546875" style="168"/>
  </cols>
  <sheetData>
    <row r="1" spans="1:12" ht="16.5" customHeight="1">
      <c r="A1" s="371" t="s">
        <v>169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</row>
    <row r="2" spans="1:12" s="169" customFormat="1" ht="16.5" customHeight="1">
      <c r="A2" s="372" t="s">
        <v>171</v>
      </c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</row>
    <row r="3" spans="1:12" s="169" customFormat="1" ht="12" customHeight="1">
      <c r="A3" s="373" t="s">
        <v>984</v>
      </c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3"/>
    </row>
    <row r="4" spans="1:12" s="169" customFormat="1" ht="15" thickBot="1">
      <c r="A4" s="369" t="s">
        <v>131</v>
      </c>
      <c r="B4" s="369"/>
      <c r="C4" s="369"/>
      <c r="D4" s="369"/>
      <c r="E4" s="369"/>
      <c r="G4" s="170"/>
      <c r="H4" s="171"/>
      <c r="L4" s="171" t="s">
        <v>139</v>
      </c>
    </row>
    <row r="5" spans="1:12" s="173" customFormat="1" ht="53.25" customHeight="1" thickTop="1" thickBot="1">
      <c r="A5" s="370" t="s">
        <v>22</v>
      </c>
      <c r="B5" s="370"/>
      <c r="C5" s="172" t="s">
        <v>100</v>
      </c>
      <c r="D5" s="136" t="s">
        <v>172</v>
      </c>
      <c r="E5" s="172" t="s">
        <v>302</v>
      </c>
      <c r="F5" s="136" t="s">
        <v>172</v>
      </c>
      <c r="G5" s="172" t="s">
        <v>296</v>
      </c>
      <c r="H5" s="136" t="s">
        <v>172</v>
      </c>
      <c r="I5" s="172" t="s">
        <v>303</v>
      </c>
      <c r="J5" s="136" t="s">
        <v>172</v>
      </c>
      <c r="K5" s="235" t="s">
        <v>297</v>
      </c>
      <c r="L5" s="136" t="s">
        <v>172</v>
      </c>
    </row>
    <row r="6" spans="1:12" ht="8.25" customHeight="1" thickTop="1">
      <c r="C6" s="174"/>
      <c r="D6" s="174"/>
      <c r="E6" s="174"/>
      <c r="F6" s="174"/>
      <c r="G6" s="174"/>
      <c r="H6" s="174"/>
    </row>
    <row r="7" spans="1:12" ht="13.5" customHeight="1">
      <c r="A7" s="175">
        <v>2008</v>
      </c>
      <c r="B7" s="168" t="s">
        <v>3</v>
      </c>
      <c r="C7" s="176">
        <v>156.1</v>
      </c>
      <c r="D7" s="176">
        <v>1.7468387433190014</v>
      </c>
      <c r="E7" s="176">
        <v>166.75</v>
      </c>
      <c r="F7" s="176">
        <v>2.457757296466978</v>
      </c>
      <c r="G7" s="176">
        <v>136.22</v>
      </c>
      <c r="H7" s="176">
        <v>0.45722713864306819</v>
      </c>
      <c r="I7" s="177" t="s">
        <v>2</v>
      </c>
      <c r="J7" s="177" t="s">
        <v>2</v>
      </c>
      <c r="K7" s="177" t="s">
        <v>2</v>
      </c>
      <c r="L7" s="177" t="s">
        <v>2</v>
      </c>
    </row>
    <row r="8" spans="1:12" ht="13.5" customHeight="1">
      <c r="A8" s="175"/>
      <c r="B8" s="168" t="s">
        <v>4</v>
      </c>
      <c r="C8" s="176">
        <v>156.38</v>
      </c>
      <c r="D8" s="176">
        <v>0.17937219730941312</v>
      </c>
      <c r="E8" s="176">
        <v>166.96</v>
      </c>
      <c r="F8" s="176">
        <v>0.12593703148426894</v>
      </c>
      <c r="G8" s="176">
        <v>136.77000000000001</v>
      </c>
      <c r="H8" s="176">
        <v>0.40375862575245947</v>
      </c>
      <c r="I8" s="177" t="s">
        <v>2</v>
      </c>
      <c r="J8" s="177" t="s">
        <v>2</v>
      </c>
      <c r="K8" s="177" t="s">
        <v>2</v>
      </c>
      <c r="L8" s="177" t="s">
        <v>2</v>
      </c>
    </row>
    <row r="9" spans="1:12" ht="13.5" customHeight="1">
      <c r="A9" s="175"/>
      <c r="B9" s="168" t="s">
        <v>5</v>
      </c>
      <c r="C9" s="176">
        <v>167.31</v>
      </c>
      <c r="D9" s="176">
        <v>6.9893848318199225</v>
      </c>
      <c r="E9" s="176">
        <v>177.66</v>
      </c>
      <c r="F9" s="176">
        <v>6.408720651653077</v>
      </c>
      <c r="G9" s="176">
        <v>148.51</v>
      </c>
      <c r="H9" s="176">
        <v>8.5837537471667567</v>
      </c>
      <c r="I9" s="177" t="s">
        <v>2</v>
      </c>
      <c r="J9" s="177" t="s">
        <v>2</v>
      </c>
      <c r="K9" s="177" t="s">
        <v>2</v>
      </c>
      <c r="L9" s="177" t="s">
        <v>2</v>
      </c>
    </row>
    <row r="10" spans="1:12" ht="13.5" customHeight="1">
      <c r="A10" s="175"/>
      <c r="B10" s="168" t="s">
        <v>6</v>
      </c>
      <c r="C10" s="176">
        <v>172.66</v>
      </c>
      <c r="D10" s="176">
        <v>3.1976570438108975</v>
      </c>
      <c r="E10" s="176">
        <v>183.95</v>
      </c>
      <c r="F10" s="176">
        <v>3.5404705617471555</v>
      </c>
      <c r="G10" s="176">
        <v>153.94999999999999</v>
      </c>
      <c r="H10" s="176">
        <v>3.6630529930644418</v>
      </c>
      <c r="I10" s="177" t="s">
        <v>2</v>
      </c>
      <c r="J10" s="177" t="s">
        <v>2</v>
      </c>
      <c r="K10" s="177" t="s">
        <v>2</v>
      </c>
      <c r="L10" s="177" t="s">
        <v>2</v>
      </c>
    </row>
    <row r="11" spans="1:12" ht="13.5" customHeight="1">
      <c r="A11" s="175"/>
      <c r="B11" s="168" t="s">
        <v>7</v>
      </c>
      <c r="C11" s="176">
        <v>178.24</v>
      </c>
      <c r="D11" s="176">
        <v>3.2317850110042956</v>
      </c>
      <c r="E11" s="176">
        <v>190.18</v>
      </c>
      <c r="F11" s="176">
        <v>3.3867898885566738</v>
      </c>
      <c r="G11" s="176">
        <v>158.55000000000001</v>
      </c>
      <c r="H11" s="176">
        <v>2.9879831113998279</v>
      </c>
      <c r="I11" s="177" t="s">
        <v>2</v>
      </c>
      <c r="J11" s="177" t="s">
        <v>2</v>
      </c>
      <c r="K11" s="177" t="s">
        <v>2</v>
      </c>
      <c r="L11" s="177" t="s">
        <v>2</v>
      </c>
    </row>
    <row r="12" spans="1:12" ht="13.5" customHeight="1">
      <c r="A12" s="175"/>
      <c r="B12" s="178" t="s">
        <v>8</v>
      </c>
      <c r="C12" s="176">
        <v>192.28</v>
      </c>
      <c r="D12" s="176">
        <v>7.877019748653491</v>
      </c>
      <c r="E12" s="176">
        <v>202.95</v>
      </c>
      <c r="F12" s="176">
        <v>6.7146913450415235</v>
      </c>
      <c r="G12" s="176">
        <v>171.17</v>
      </c>
      <c r="H12" s="176">
        <v>7.9596341847997243</v>
      </c>
      <c r="I12" s="177" t="s">
        <v>2</v>
      </c>
      <c r="J12" s="177" t="s">
        <v>2</v>
      </c>
      <c r="K12" s="177" t="s">
        <v>2</v>
      </c>
      <c r="L12" s="177" t="s">
        <v>2</v>
      </c>
    </row>
    <row r="13" spans="1:12" ht="13.5" customHeight="1">
      <c r="A13" s="175"/>
      <c r="B13" s="178" t="s">
        <v>9</v>
      </c>
      <c r="C13" s="176">
        <v>197.13</v>
      </c>
      <c r="D13" s="176">
        <v>2.522363220303725</v>
      </c>
      <c r="E13" s="176">
        <v>207.03</v>
      </c>
      <c r="F13" s="176">
        <v>2.0103473762010493</v>
      </c>
      <c r="G13" s="176">
        <v>192.46</v>
      </c>
      <c r="H13" s="176">
        <v>12.437927206870381</v>
      </c>
      <c r="I13" s="177" t="s">
        <v>2</v>
      </c>
      <c r="J13" s="177" t="s">
        <v>2</v>
      </c>
      <c r="K13" s="177" t="s">
        <v>2</v>
      </c>
      <c r="L13" s="177" t="s">
        <v>2</v>
      </c>
    </row>
    <row r="14" spans="1:12" ht="13.5" customHeight="1">
      <c r="A14" s="175"/>
      <c r="B14" s="178" t="s">
        <v>10</v>
      </c>
      <c r="C14" s="176">
        <v>185.49</v>
      </c>
      <c r="D14" s="176">
        <v>-5.9047329173641643</v>
      </c>
      <c r="E14" s="176">
        <v>195.31</v>
      </c>
      <c r="F14" s="176">
        <v>-5.6610153117905622</v>
      </c>
      <c r="G14" s="176">
        <v>174.97</v>
      </c>
      <c r="H14" s="176">
        <v>-9.0876026187259757</v>
      </c>
      <c r="I14" s="177" t="s">
        <v>2</v>
      </c>
      <c r="J14" s="177" t="s">
        <v>2</v>
      </c>
      <c r="K14" s="177" t="s">
        <v>2</v>
      </c>
      <c r="L14" s="177" t="s">
        <v>2</v>
      </c>
    </row>
    <row r="15" spans="1:12" ht="13.5" customHeight="1">
      <c r="A15" s="175"/>
      <c r="B15" s="179" t="s">
        <v>11</v>
      </c>
      <c r="C15" s="176">
        <v>185.73</v>
      </c>
      <c r="D15" s="176">
        <v>0.12938702895033405</v>
      </c>
      <c r="E15" s="176">
        <v>195.96</v>
      </c>
      <c r="F15" s="176">
        <v>0.33280425989452578</v>
      </c>
      <c r="G15" s="176">
        <v>163.19</v>
      </c>
      <c r="H15" s="176">
        <v>-6.7325827284677402</v>
      </c>
      <c r="I15" s="177" t="s">
        <v>2</v>
      </c>
      <c r="J15" s="177" t="s">
        <v>2</v>
      </c>
      <c r="K15" s="177" t="s">
        <v>2</v>
      </c>
      <c r="L15" s="177" t="s">
        <v>2</v>
      </c>
    </row>
    <row r="16" spans="1:12" ht="13.5" customHeight="1">
      <c r="A16" s="175"/>
      <c r="B16" s="179" t="s">
        <v>60</v>
      </c>
      <c r="C16" s="176">
        <v>162.30000000000001</v>
      </c>
      <c r="D16" s="176">
        <v>-12.615086415764809</v>
      </c>
      <c r="E16" s="176">
        <v>175.92</v>
      </c>
      <c r="F16" s="176">
        <v>-10.226576852418868</v>
      </c>
      <c r="G16" s="176">
        <v>147.91</v>
      </c>
      <c r="H16" s="176">
        <v>-9.3633188308107069</v>
      </c>
      <c r="I16" s="177" t="s">
        <v>2</v>
      </c>
      <c r="J16" s="177" t="s">
        <v>2</v>
      </c>
      <c r="K16" s="177" t="s">
        <v>2</v>
      </c>
      <c r="L16" s="177" t="s">
        <v>2</v>
      </c>
    </row>
    <row r="17" spans="1:12" ht="13.5" customHeight="1">
      <c r="A17" s="175"/>
      <c r="B17" s="179" t="s">
        <v>46</v>
      </c>
      <c r="C17" s="176">
        <v>127.89</v>
      </c>
      <c r="D17" s="176">
        <v>-21.201478743068392</v>
      </c>
      <c r="E17" s="176">
        <v>141.05333333333334</v>
      </c>
      <c r="F17" s="176">
        <v>-19.819614976504461</v>
      </c>
      <c r="G17" s="176">
        <v>120.12666666666665</v>
      </c>
      <c r="H17" s="176">
        <v>-18.783945191895977</v>
      </c>
      <c r="I17" s="177" t="s">
        <v>2</v>
      </c>
      <c r="J17" s="177" t="s">
        <v>2</v>
      </c>
      <c r="K17" s="177" t="s">
        <v>2</v>
      </c>
      <c r="L17" s="177" t="s">
        <v>2</v>
      </c>
    </row>
    <row r="18" spans="1:12" ht="13.5" customHeight="1">
      <c r="A18" s="175"/>
      <c r="B18" s="168" t="s">
        <v>47</v>
      </c>
      <c r="C18" s="176">
        <v>111.77</v>
      </c>
      <c r="D18" s="176">
        <v>-12.604582062710145</v>
      </c>
      <c r="E18" s="176">
        <v>122.53</v>
      </c>
      <c r="F18" s="176">
        <v>-13.13214859627565</v>
      </c>
      <c r="G18" s="176">
        <v>106.2</v>
      </c>
      <c r="H18" s="176">
        <v>-11.593318164160038</v>
      </c>
      <c r="I18" s="177" t="s">
        <v>2</v>
      </c>
      <c r="J18" s="177" t="s">
        <v>2</v>
      </c>
      <c r="K18" s="177" t="s">
        <v>2</v>
      </c>
      <c r="L18" s="177" t="s">
        <v>2</v>
      </c>
    </row>
    <row r="19" spans="1:12" ht="13.5" customHeight="1">
      <c r="A19" s="175"/>
      <c r="C19" s="176"/>
      <c r="D19" s="176"/>
      <c r="E19" s="176"/>
      <c r="F19" s="176"/>
      <c r="G19" s="176"/>
      <c r="H19" s="176"/>
      <c r="I19" s="177"/>
      <c r="J19" s="177"/>
      <c r="K19" s="177"/>
      <c r="L19" s="177"/>
    </row>
    <row r="20" spans="1:12" ht="13.5" customHeight="1">
      <c r="A20" s="175">
        <v>2009</v>
      </c>
      <c r="B20" s="168" t="s">
        <v>50</v>
      </c>
      <c r="C20" s="176">
        <v>108.08</v>
      </c>
      <c r="D20" s="176">
        <v>-3.3014225641943229</v>
      </c>
      <c r="E20" s="176">
        <v>118.07</v>
      </c>
      <c r="F20" s="176">
        <v>-3.639924916347026</v>
      </c>
      <c r="G20" s="176">
        <v>100.59</v>
      </c>
      <c r="H20" s="176">
        <v>-5.282485875706211</v>
      </c>
      <c r="I20" s="177" t="s">
        <v>2</v>
      </c>
      <c r="J20" s="177" t="s">
        <v>2</v>
      </c>
      <c r="K20" s="177" t="s">
        <v>2</v>
      </c>
      <c r="L20" s="177" t="s">
        <v>2</v>
      </c>
    </row>
    <row r="21" spans="1:12" ht="13.5" customHeight="1">
      <c r="A21" s="175"/>
      <c r="B21" s="168" t="s">
        <v>4</v>
      </c>
      <c r="C21" s="176">
        <v>111.77</v>
      </c>
      <c r="D21" s="176">
        <v>3.4141376757957032</v>
      </c>
      <c r="E21" s="176">
        <v>121.91</v>
      </c>
      <c r="F21" s="176">
        <v>3.2523079529092946</v>
      </c>
      <c r="G21" s="176">
        <v>99.93</v>
      </c>
      <c r="H21" s="176">
        <v>-0.6561288398449161</v>
      </c>
      <c r="I21" s="177" t="s">
        <v>2</v>
      </c>
      <c r="J21" s="177" t="s">
        <v>2</v>
      </c>
      <c r="K21" s="177" t="s">
        <v>2</v>
      </c>
      <c r="L21" s="177" t="s">
        <v>2</v>
      </c>
    </row>
    <row r="22" spans="1:12" ht="13.5" customHeight="1">
      <c r="A22" s="175"/>
      <c r="B22" s="168" t="s">
        <v>5</v>
      </c>
      <c r="C22" s="176">
        <v>112.81</v>
      </c>
      <c r="D22" s="176">
        <v>0.93048224031493376</v>
      </c>
      <c r="E22" s="176">
        <v>123.25</v>
      </c>
      <c r="F22" s="176">
        <v>1.0991715199737628</v>
      </c>
      <c r="G22" s="176">
        <v>97.37</v>
      </c>
      <c r="H22" s="176">
        <v>-2.5617932552786993</v>
      </c>
      <c r="I22" s="177" t="s">
        <v>2</v>
      </c>
      <c r="J22" s="177" t="s">
        <v>2</v>
      </c>
      <c r="K22" s="177" t="s">
        <v>2</v>
      </c>
      <c r="L22" s="177" t="s">
        <v>2</v>
      </c>
    </row>
    <row r="23" spans="1:12" ht="13.5" customHeight="1">
      <c r="A23" s="175"/>
      <c r="B23" s="168" t="s">
        <v>6</v>
      </c>
      <c r="C23" s="176">
        <v>117.8</v>
      </c>
      <c r="D23" s="176">
        <v>4.4233667228082529</v>
      </c>
      <c r="E23" s="176">
        <v>128.1</v>
      </c>
      <c r="F23" s="176">
        <v>3.9350912778904679</v>
      </c>
      <c r="G23" s="176">
        <v>100.57</v>
      </c>
      <c r="H23" s="176">
        <v>3.2864331929752355</v>
      </c>
      <c r="I23" s="177" t="s">
        <v>2</v>
      </c>
      <c r="J23" s="177" t="s">
        <v>2</v>
      </c>
      <c r="K23" s="177" t="s">
        <v>2</v>
      </c>
      <c r="L23" s="177" t="s">
        <v>2</v>
      </c>
    </row>
    <row r="24" spans="1:12" ht="13.5" customHeight="1">
      <c r="A24" s="175"/>
      <c r="B24" s="168" t="s">
        <v>7</v>
      </c>
      <c r="C24" s="176">
        <v>124.56</v>
      </c>
      <c r="D24" s="176">
        <v>5.738539898132422</v>
      </c>
      <c r="E24" s="176">
        <v>135.15</v>
      </c>
      <c r="F24" s="176">
        <v>5.5035128805620781</v>
      </c>
      <c r="G24" s="176">
        <v>103.98</v>
      </c>
      <c r="H24" s="176">
        <v>3.3906731629710807</v>
      </c>
      <c r="I24" s="177" t="s">
        <v>2</v>
      </c>
      <c r="J24" s="177" t="s">
        <v>2</v>
      </c>
      <c r="K24" s="177" t="s">
        <v>2</v>
      </c>
      <c r="L24" s="177" t="s">
        <v>2</v>
      </c>
    </row>
    <row r="25" spans="1:12" ht="13.5" customHeight="1">
      <c r="A25" s="175"/>
      <c r="B25" s="168" t="s">
        <v>8</v>
      </c>
      <c r="C25" s="176">
        <v>143.08000000000001</v>
      </c>
      <c r="D25" s="176">
        <v>14.868336544637128</v>
      </c>
      <c r="E25" s="176">
        <v>153.60333333333332</v>
      </c>
      <c r="F25" s="176">
        <v>13.653964730546297</v>
      </c>
      <c r="G25" s="176">
        <v>113.99999999999999</v>
      </c>
      <c r="H25" s="176">
        <v>9.6364685516445281</v>
      </c>
      <c r="I25" s="177" t="s">
        <v>2</v>
      </c>
      <c r="J25" s="177" t="s">
        <v>2</v>
      </c>
      <c r="K25" s="177" t="s">
        <v>2</v>
      </c>
      <c r="L25" s="177" t="s">
        <v>2</v>
      </c>
    </row>
    <row r="26" spans="1:12" ht="13.5" customHeight="1">
      <c r="A26" s="175"/>
      <c r="B26" s="168" t="s">
        <v>9</v>
      </c>
      <c r="C26" s="176">
        <v>138.51</v>
      </c>
      <c r="D26" s="176">
        <v>-3.194017332960597</v>
      </c>
      <c r="E26" s="176">
        <v>148.06</v>
      </c>
      <c r="F26" s="176">
        <v>-3.6088626548902991</v>
      </c>
      <c r="G26" s="176">
        <v>111.33</v>
      </c>
      <c r="H26" s="176">
        <v>-2.3421052631578787</v>
      </c>
      <c r="I26" s="177" t="s">
        <v>2</v>
      </c>
      <c r="J26" s="177" t="s">
        <v>2</v>
      </c>
      <c r="K26" s="177" t="s">
        <v>2</v>
      </c>
      <c r="L26" s="177" t="s">
        <v>2</v>
      </c>
    </row>
    <row r="27" spans="1:12" ht="13.5" customHeight="1">
      <c r="A27" s="175"/>
      <c r="B27" s="178" t="s">
        <v>133</v>
      </c>
      <c r="C27" s="176">
        <v>145.54</v>
      </c>
      <c r="D27" s="176">
        <v>5.0754458161865523</v>
      </c>
      <c r="E27" s="176">
        <v>154.86000000000001</v>
      </c>
      <c r="F27" s="176">
        <v>4.5927326759422016</v>
      </c>
      <c r="G27" s="176">
        <v>119.87</v>
      </c>
      <c r="H27" s="176">
        <v>7.6708883499505998</v>
      </c>
      <c r="I27" s="177" t="s">
        <v>2</v>
      </c>
      <c r="J27" s="177" t="s">
        <v>2</v>
      </c>
      <c r="K27" s="177" t="s">
        <v>2</v>
      </c>
      <c r="L27" s="177" t="s">
        <v>2</v>
      </c>
    </row>
    <row r="28" spans="1:12" ht="13.5" customHeight="1">
      <c r="A28" s="175"/>
      <c r="B28" s="179" t="s">
        <v>59</v>
      </c>
      <c r="C28" s="176">
        <v>141.22</v>
      </c>
      <c r="D28" s="176">
        <v>-2.9682561495121607</v>
      </c>
      <c r="E28" s="176">
        <v>151.94999999999999</v>
      </c>
      <c r="F28" s="176">
        <v>-1.8791166214645605</v>
      </c>
      <c r="G28" s="176">
        <v>118.23</v>
      </c>
      <c r="H28" s="176">
        <v>-1.3681488278968867</v>
      </c>
      <c r="I28" s="177" t="s">
        <v>2</v>
      </c>
      <c r="J28" s="177" t="s">
        <v>2</v>
      </c>
      <c r="K28" s="177" t="s">
        <v>2</v>
      </c>
      <c r="L28" s="177" t="s">
        <v>2</v>
      </c>
    </row>
    <row r="29" spans="1:12" ht="13.5" customHeight="1">
      <c r="A29" s="175"/>
      <c r="B29" s="179" t="s">
        <v>60</v>
      </c>
      <c r="C29" s="176">
        <v>141.16</v>
      </c>
      <c r="D29" s="176">
        <v>-4.2486899872540285E-2</v>
      </c>
      <c r="E29" s="176">
        <v>151.57</v>
      </c>
      <c r="F29" s="176">
        <v>-0.25008226390259569</v>
      </c>
      <c r="G29" s="176">
        <v>119.89</v>
      </c>
      <c r="H29" s="176">
        <v>1.4040429670980181</v>
      </c>
      <c r="I29" s="177" t="s">
        <v>2</v>
      </c>
      <c r="J29" s="177" t="s">
        <v>2</v>
      </c>
      <c r="K29" s="177" t="s">
        <v>2</v>
      </c>
      <c r="L29" s="177" t="s">
        <v>2</v>
      </c>
    </row>
    <row r="30" spans="1:12" ht="13.5" customHeight="1">
      <c r="A30" s="175"/>
      <c r="B30" s="179" t="s">
        <v>134</v>
      </c>
      <c r="C30" s="176">
        <v>150.5</v>
      </c>
      <c r="D30" s="176">
        <v>6.616605270614917</v>
      </c>
      <c r="E30" s="176">
        <v>160.69999999999999</v>
      </c>
      <c r="F30" s="176">
        <v>6.0236194497591766</v>
      </c>
      <c r="G30" s="176">
        <v>126.03</v>
      </c>
      <c r="H30" s="176">
        <v>5.1213612478104853</v>
      </c>
      <c r="I30" s="177" t="s">
        <v>2</v>
      </c>
      <c r="J30" s="177" t="s">
        <v>2</v>
      </c>
      <c r="K30" s="177" t="s">
        <v>2</v>
      </c>
      <c r="L30" s="177" t="s">
        <v>2</v>
      </c>
    </row>
    <row r="31" spans="1:12" ht="13.5" customHeight="1">
      <c r="A31" s="175"/>
      <c r="B31" s="168" t="s">
        <v>14</v>
      </c>
      <c r="C31" s="176">
        <v>145.66</v>
      </c>
      <c r="D31" s="176">
        <v>-3.215946843853823</v>
      </c>
      <c r="E31" s="176">
        <v>155</v>
      </c>
      <c r="F31" s="176">
        <v>-3.5469819539514558</v>
      </c>
      <c r="G31" s="176">
        <v>126.07</v>
      </c>
      <c r="H31" s="176">
        <v>3.1738474966269692E-2</v>
      </c>
      <c r="I31" s="177" t="s">
        <v>2</v>
      </c>
      <c r="J31" s="177" t="s">
        <v>2</v>
      </c>
      <c r="K31" s="177" t="s">
        <v>2</v>
      </c>
      <c r="L31" s="177" t="s">
        <v>2</v>
      </c>
    </row>
    <row r="32" spans="1:12" ht="13.5" customHeight="1">
      <c r="A32" s="175"/>
      <c r="C32" s="176"/>
      <c r="D32" s="176"/>
      <c r="E32" s="176"/>
      <c r="F32" s="176"/>
      <c r="G32" s="176"/>
      <c r="H32" s="176"/>
      <c r="I32" s="177"/>
      <c r="J32" s="177"/>
      <c r="K32" s="177"/>
      <c r="L32" s="177"/>
    </row>
    <row r="33" spans="1:12" ht="13.5" customHeight="1">
      <c r="A33" s="175">
        <v>2010</v>
      </c>
      <c r="B33" s="168" t="s">
        <v>3</v>
      </c>
      <c r="C33" s="176">
        <v>152.28</v>
      </c>
      <c r="D33" s="176">
        <v>4.5448304270218287</v>
      </c>
      <c r="E33" s="176">
        <v>161.61000000000001</v>
      </c>
      <c r="F33" s="176">
        <v>4.2645161290322697</v>
      </c>
      <c r="G33" s="176">
        <v>130.38999999999999</v>
      </c>
      <c r="H33" s="176">
        <v>3.4266677242801524</v>
      </c>
      <c r="I33" s="177" t="s">
        <v>2</v>
      </c>
      <c r="J33" s="177" t="s">
        <v>2</v>
      </c>
      <c r="K33" s="177" t="s">
        <v>2</v>
      </c>
      <c r="L33" s="177" t="s">
        <v>2</v>
      </c>
    </row>
    <row r="34" spans="1:12" ht="13.5" customHeight="1">
      <c r="A34" s="175"/>
      <c r="B34" s="180" t="s">
        <v>4</v>
      </c>
      <c r="C34" s="176">
        <v>147.77000000000001</v>
      </c>
      <c r="D34" s="176">
        <v>-2.9616495928552644</v>
      </c>
      <c r="E34" s="176">
        <v>156.83000000000001</v>
      </c>
      <c r="F34" s="176">
        <v>-2.957737763752244</v>
      </c>
      <c r="G34" s="176">
        <v>126.23</v>
      </c>
      <c r="H34" s="176">
        <v>-3.1904287138584064</v>
      </c>
      <c r="I34" s="177" t="s">
        <v>2</v>
      </c>
      <c r="J34" s="177" t="s">
        <v>2</v>
      </c>
      <c r="K34" s="177" t="s">
        <v>2</v>
      </c>
      <c r="L34" s="177" t="s">
        <v>2</v>
      </c>
    </row>
    <row r="35" spans="1:12" ht="13.5" customHeight="1">
      <c r="A35" s="175"/>
      <c r="B35" s="168" t="s">
        <v>5</v>
      </c>
      <c r="C35" s="176">
        <v>153.69999999999999</v>
      </c>
      <c r="D35" s="176">
        <v>4.0129931650537909</v>
      </c>
      <c r="E35" s="176">
        <v>163.30000000000001</v>
      </c>
      <c r="F35" s="176">
        <v>4.1254861952432664</v>
      </c>
      <c r="G35" s="176">
        <v>129.99</v>
      </c>
      <c r="H35" s="176">
        <v>2.9786896934167917</v>
      </c>
      <c r="I35" s="177" t="s">
        <v>2</v>
      </c>
      <c r="J35" s="177" t="s">
        <v>2</v>
      </c>
      <c r="K35" s="177" t="s">
        <v>2</v>
      </c>
      <c r="L35" s="177" t="s">
        <v>2</v>
      </c>
    </row>
    <row r="36" spans="1:12" ht="13.5" customHeight="1">
      <c r="A36" s="175"/>
      <c r="B36" s="168" t="s">
        <v>56</v>
      </c>
      <c r="C36" s="176">
        <v>155.9</v>
      </c>
      <c r="D36" s="176">
        <v>1.4313597918022225</v>
      </c>
      <c r="E36" s="176">
        <v>165.9</v>
      </c>
      <c r="F36" s="176">
        <v>1.5921616656460413</v>
      </c>
      <c r="G36" s="176">
        <v>131.30000000000001</v>
      </c>
      <c r="H36" s="176">
        <v>1.0077698284483461</v>
      </c>
      <c r="I36" s="177" t="s">
        <v>2</v>
      </c>
      <c r="J36" s="177" t="s">
        <v>2</v>
      </c>
      <c r="K36" s="177" t="s">
        <v>2</v>
      </c>
      <c r="L36" s="177" t="s">
        <v>2</v>
      </c>
    </row>
    <row r="37" spans="1:12" ht="13.5" customHeight="1">
      <c r="A37" s="175"/>
      <c r="B37" s="168" t="s">
        <v>57</v>
      </c>
      <c r="C37" s="176">
        <v>156.69999999999999</v>
      </c>
      <c r="D37" s="176">
        <v>0.51314945477869411</v>
      </c>
      <c r="E37" s="176">
        <v>166.44</v>
      </c>
      <c r="F37" s="176">
        <v>0.32549728752260254</v>
      </c>
      <c r="G37" s="176">
        <v>132.16999999999999</v>
      </c>
      <c r="H37" s="176">
        <v>0.66260472201065124</v>
      </c>
      <c r="I37" s="177" t="s">
        <v>2</v>
      </c>
      <c r="J37" s="177" t="s">
        <v>2</v>
      </c>
      <c r="K37" s="177" t="s">
        <v>2</v>
      </c>
      <c r="L37" s="177" t="s">
        <v>2</v>
      </c>
    </row>
    <row r="38" spans="1:12" ht="13.5" customHeight="1">
      <c r="A38" s="175"/>
      <c r="B38" s="168" t="s">
        <v>8</v>
      </c>
      <c r="C38" s="176">
        <v>151.72</v>
      </c>
      <c r="D38" s="176">
        <v>-3.1780472239948843</v>
      </c>
      <c r="E38" s="176">
        <v>162.06</v>
      </c>
      <c r="F38" s="176">
        <v>-2.6315789473684181</v>
      </c>
      <c r="G38" s="176">
        <v>129.52000000000001</v>
      </c>
      <c r="H38" s="176">
        <v>-2.0049935688885356</v>
      </c>
      <c r="I38" s="177" t="s">
        <v>2</v>
      </c>
      <c r="J38" s="177" t="s">
        <v>2</v>
      </c>
      <c r="K38" s="177" t="s">
        <v>2</v>
      </c>
      <c r="L38" s="177" t="s">
        <v>2</v>
      </c>
    </row>
    <row r="39" spans="1:12" ht="13.5" customHeight="1">
      <c r="A39" s="175"/>
      <c r="B39" s="168" t="s">
        <v>52</v>
      </c>
      <c r="C39" s="176">
        <v>153.41</v>
      </c>
      <c r="D39" s="176">
        <v>1.1138940152913168</v>
      </c>
      <c r="E39" s="176">
        <v>163.41999999999999</v>
      </c>
      <c r="F39" s="176">
        <v>0.8391953597433055</v>
      </c>
      <c r="G39" s="176">
        <v>130.15</v>
      </c>
      <c r="H39" s="176">
        <v>0.48641136504015137</v>
      </c>
      <c r="I39" s="177" t="s">
        <v>2</v>
      </c>
      <c r="J39" s="177" t="s">
        <v>2</v>
      </c>
      <c r="K39" s="177" t="s">
        <v>2</v>
      </c>
      <c r="L39" s="177" t="s">
        <v>2</v>
      </c>
    </row>
    <row r="40" spans="1:12" ht="13.5" customHeight="1">
      <c r="A40" s="175"/>
      <c r="B40" s="178" t="s">
        <v>10</v>
      </c>
      <c r="C40" s="176">
        <v>153.02000000000001</v>
      </c>
      <c r="D40" s="176">
        <v>-0.254220715729081</v>
      </c>
      <c r="E40" s="176">
        <v>162.43</v>
      </c>
      <c r="F40" s="176">
        <v>-0.60580100354912236</v>
      </c>
      <c r="G40" s="176">
        <v>130.1</v>
      </c>
      <c r="H40" s="176">
        <v>-3.8417210910501876E-2</v>
      </c>
      <c r="I40" s="177" t="s">
        <v>2</v>
      </c>
      <c r="J40" s="177" t="s">
        <v>2</v>
      </c>
      <c r="K40" s="177" t="s">
        <v>2</v>
      </c>
      <c r="L40" s="177" t="s">
        <v>2</v>
      </c>
    </row>
    <row r="41" spans="1:12" ht="13.5" customHeight="1">
      <c r="A41" s="175"/>
      <c r="B41" s="178" t="s">
        <v>11</v>
      </c>
      <c r="C41" s="176">
        <v>152.66</v>
      </c>
      <c r="D41" s="176">
        <v>-0.23526336426611394</v>
      </c>
      <c r="E41" s="176">
        <v>161.69999999999999</v>
      </c>
      <c r="F41" s="176">
        <v>-0.44942436741982617</v>
      </c>
      <c r="G41" s="176">
        <v>132.99</v>
      </c>
      <c r="H41" s="176">
        <v>2.2213681783243677</v>
      </c>
      <c r="I41" s="177" t="s">
        <v>2</v>
      </c>
      <c r="J41" s="177" t="s">
        <v>2</v>
      </c>
      <c r="K41" s="177" t="s">
        <v>2</v>
      </c>
      <c r="L41" s="177" t="s">
        <v>2</v>
      </c>
    </row>
    <row r="42" spans="1:12" ht="13.5" customHeight="1">
      <c r="A42" s="175"/>
      <c r="B42" s="179" t="s">
        <v>60</v>
      </c>
      <c r="C42" s="176">
        <v>156.72</v>
      </c>
      <c r="D42" s="176">
        <v>2.6595047818682049</v>
      </c>
      <c r="E42" s="176">
        <v>166.42</v>
      </c>
      <c r="F42" s="176">
        <v>2.9189857761286353</v>
      </c>
      <c r="G42" s="176">
        <v>138.96</v>
      </c>
      <c r="H42" s="176">
        <v>4.4890593277689961</v>
      </c>
      <c r="I42" s="177" t="s">
        <v>2</v>
      </c>
      <c r="J42" s="177" t="s">
        <v>2</v>
      </c>
      <c r="K42" s="176">
        <v>82.106129032258067</v>
      </c>
      <c r="L42" s="176">
        <v>5.542263029622041</v>
      </c>
    </row>
    <row r="43" spans="1:12" ht="13.5" customHeight="1">
      <c r="A43" s="175"/>
      <c r="B43" s="179" t="s">
        <v>46</v>
      </c>
      <c r="C43" s="176">
        <v>159.5</v>
      </c>
      <c r="D43" s="176">
        <v>1.7738642164369489</v>
      </c>
      <c r="E43" s="176">
        <v>169.8</v>
      </c>
      <c r="F43" s="176">
        <v>2.0310058887153204</v>
      </c>
      <c r="G43" s="176">
        <v>142.85000000000002</v>
      </c>
      <c r="H43" s="176">
        <v>2.7993667242371956</v>
      </c>
      <c r="I43" s="177" t="s">
        <v>2</v>
      </c>
      <c r="J43" s="177" t="s">
        <v>2</v>
      </c>
      <c r="K43" s="176">
        <v>86.65666666666668</v>
      </c>
      <c r="L43" s="176">
        <v>1.3078432126783834</v>
      </c>
    </row>
    <row r="44" spans="1:12" ht="13.5" customHeight="1">
      <c r="A44" s="175"/>
      <c r="B44" s="179" t="s">
        <v>14</v>
      </c>
      <c r="C44" s="176">
        <v>160.5</v>
      </c>
      <c r="D44" s="176">
        <v>0.62695924764890609</v>
      </c>
      <c r="E44" s="176">
        <v>170.8</v>
      </c>
      <c r="F44" s="176">
        <v>0.58892815076561078</v>
      </c>
      <c r="G44" s="176">
        <v>143.9</v>
      </c>
      <c r="H44" s="176">
        <v>0.73503675183757</v>
      </c>
      <c r="I44" s="176" t="s">
        <v>2</v>
      </c>
      <c r="J44" s="176" t="s">
        <v>2</v>
      </c>
      <c r="K44" s="176">
        <v>87.79000000000002</v>
      </c>
      <c r="L44" s="176">
        <v>4.5628681347349875</v>
      </c>
    </row>
    <row r="45" spans="1:12" ht="13.5" customHeight="1">
      <c r="A45" s="175"/>
      <c r="B45" s="179"/>
      <c r="C45" s="176"/>
      <c r="D45" s="176"/>
      <c r="E45" s="176"/>
      <c r="F45" s="176"/>
      <c r="G45" s="176"/>
      <c r="H45" s="176"/>
      <c r="I45" s="176"/>
      <c r="J45" s="176"/>
      <c r="K45" s="176"/>
      <c r="L45" s="176"/>
    </row>
    <row r="46" spans="1:12" ht="13.5" customHeight="1">
      <c r="A46" s="175">
        <v>2011</v>
      </c>
      <c r="B46" s="178" t="s">
        <v>3</v>
      </c>
      <c r="C46" s="176">
        <v>168.49</v>
      </c>
      <c r="D46" s="176">
        <v>4.9781931464174534</v>
      </c>
      <c r="E46" s="176">
        <v>178.56</v>
      </c>
      <c r="F46" s="176">
        <v>4.5433255269320849</v>
      </c>
      <c r="G46" s="176">
        <v>152.1</v>
      </c>
      <c r="H46" s="176">
        <v>5.6984016678248706</v>
      </c>
      <c r="I46" s="177" t="s">
        <v>2</v>
      </c>
      <c r="J46" s="177" t="s">
        <v>2</v>
      </c>
      <c r="K46" s="176">
        <v>91.795741935483861</v>
      </c>
      <c r="L46" s="176">
        <v>4.5628681347349875</v>
      </c>
    </row>
    <row r="47" spans="1:12" ht="13.5" customHeight="1">
      <c r="A47" s="175"/>
      <c r="B47" s="168" t="s">
        <v>4</v>
      </c>
      <c r="C47" s="176">
        <v>175.46</v>
      </c>
      <c r="D47" s="176">
        <v>4.1367440204166384</v>
      </c>
      <c r="E47" s="176">
        <v>185.62</v>
      </c>
      <c r="F47" s="176">
        <v>3.9538530465949906</v>
      </c>
      <c r="G47" s="176">
        <v>160.41999999999999</v>
      </c>
      <c r="H47" s="176">
        <v>5.4700854700854729</v>
      </c>
      <c r="I47" s="177" t="s">
        <v>2</v>
      </c>
      <c r="J47" s="177" t="s">
        <v>2</v>
      </c>
      <c r="K47" s="176">
        <v>93.952142857142846</v>
      </c>
      <c r="L47" s="176">
        <v>2.3491295741958851</v>
      </c>
    </row>
    <row r="48" spans="1:12" ht="13.5" customHeight="1">
      <c r="A48" s="175"/>
      <c r="B48" s="168" t="s">
        <v>5</v>
      </c>
      <c r="C48" s="176">
        <v>188.34</v>
      </c>
      <c r="D48" s="176">
        <v>7.3407044340590311</v>
      </c>
      <c r="E48" s="176">
        <v>198.75</v>
      </c>
      <c r="F48" s="176">
        <v>7.0735912078439878</v>
      </c>
      <c r="G48" s="176">
        <v>173.13</v>
      </c>
      <c r="H48" s="176">
        <v>7.9229522503428518</v>
      </c>
      <c r="I48" s="177" t="s">
        <v>2</v>
      </c>
      <c r="J48" s="177" t="s">
        <v>2</v>
      </c>
      <c r="K48" s="176">
        <v>96.977462365591393</v>
      </c>
      <c r="L48" s="176">
        <v>3.2200644034789505</v>
      </c>
    </row>
    <row r="49" spans="1:12" ht="13.5" customHeight="1">
      <c r="A49" s="175"/>
      <c r="B49" s="168" t="s">
        <v>6</v>
      </c>
      <c r="C49" s="176">
        <v>202.41333333333333</v>
      </c>
      <c r="D49" s="176">
        <v>7.4723018654206941</v>
      </c>
      <c r="E49" s="176">
        <v>214.61333333333334</v>
      </c>
      <c r="F49" s="176">
        <v>7.9815513626834367</v>
      </c>
      <c r="G49" s="176">
        <v>185.34333333333333</v>
      </c>
      <c r="H49" s="176">
        <v>7.0544292342940684</v>
      </c>
      <c r="I49" s="177" t="s">
        <v>2</v>
      </c>
      <c r="J49" s="177" t="s">
        <v>2</v>
      </c>
      <c r="K49" s="176">
        <v>99.390770370370348</v>
      </c>
      <c r="L49" s="176">
        <v>2.4885245972730452</v>
      </c>
    </row>
    <row r="50" spans="1:12" ht="13.5" customHeight="1">
      <c r="A50" s="175"/>
      <c r="B50" s="168" t="s">
        <v>7</v>
      </c>
      <c r="C50" s="176">
        <v>208.75806451612902</v>
      </c>
      <c r="D50" s="176">
        <v>3.1345421165251075</v>
      </c>
      <c r="E50" s="176">
        <v>221.59354838709677</v>
      </c>
      <c r="F50" s="176">
        <v>3.2524610402103526</v>
      </c>
      <c r="G50" s="176">
        <v>188.80322580645159</v>
      </c>
      <c r="H50" s="176">
        <v>1.8667477329199489</v>
      </c>
      <c r="I50" s="177" t="s">
        <v>2</v>
      </c>
      <c r="J50" s="177" t="s">
        <v>2</v>
      </c>
      <c r="K50" s="176">
        <v>100.30778494623657</v>
      </c>
      <c r="L50" s="176">
        <v>0.92263554497973299</v>
      </c>
    </row>
    <row r="51" spans="1:12" ht="13.5" customHeight="1">
      <c r="A51" s="175"/>
      <c r="B51" s="168" t="s">
        <v>8</v>
      </c>
      <c r="C51" s="176">
        <v>211.49</v>
      </c>
      <c r="D51" s="176">
        <v>1.3086610523062703</v>
      </c>
      <c r="E51" s="176">
        <v>224.83</v>
      </c>
      <c r="F51" s="176">
        <v>1.4605351267942046</v>
      </c>
      <c r="G51" s="176">
        <v>191.08</v>
      </c>
      <c r="H51" s="176">
        <v>1.2058979309402362</v>
      </c>
      <c r="I51" s="177" t="s">
        <v>2</v>
      </c>
      <c r="J51" s="177" t="s">
        <v>2</v>
      </c>
      <c r="K51" s="176">
        <v>103.11678518518519</v>
      </c>
      <c r="L51" s="176">
        <v>2.8003810875239621</v>
      </c>
    </row>
    <row r="52" spans="1:12" ht="13.5" customHeight="1">
      <c r="A52" s="175"/>
      <c r="B52" s="168" t="s">
        <v>9</v>
      </c>
      <c r="C52" s="176">
        <v>213.71</v>
      </c>
      <c r="D52" s="176">
        <v>1.0496950210411748</v>
      </c>
      <c r="E52" s="176">
        <v>229.07</v>
      </c>
      <c r="F52" s="176">
        <v>1.8858693234888424</v>
      </c>
      <c r="G52" s="176">
        <v>191.99700000000001</v>
      </c>
      <c r="H52" s="176">
        <v>0.47990370525434756</v>
      </c>
      <c r="I52" s="177" t="s">
        <v>2</v>
      </c>
      <c r="J52" s="177" t="s">
        <v>2</v>
      </c>
      <c r="K52" s="176">
        <v>105.73711827956988</v>
      </c>
      <c r="L52" s="176">
        <v>2.5411314847324729</v>
      </c>
    </row>
    <row r="53" spans="1:12" ht="13.5" customHeight="1">
      <c r="A53" s="175"/>
      <c r="B53" s="168" t="s">
        <v>49</v>
      </c>
      <c r="C53" s="176">
        <v>215.74</v>
      </c>
      <c r="D53" s="176">
        <v>0.94988535866360468</v>
      </c>
      <c r="E53" s="176">
        <v>232.55</v>
      </c>
      <c r="F53" s="176">
        <v>1.5191862749377893</v>
      </c>
      <c r="G53" s="176">
        <v>190.88387096774193</v>
      </c>
      <c r="H53" s="176">
        <v>-0.5797637631098862</v>
      </c>
      <c r="I53" s="177" t="s">
        <v>2</v>
      </c>
      <c r="J53" s="177" t="s">
        <v>2</v>
      </c>
      <c r="K53" s="176">
        <v>106.27483870967741</v>
      </c>
      <c r="L53" s="176">
        <v>0.5085446235500557</v>
      </c>
    </row>
    <row r="54" spans="1:12" ht="13.5" customHeight="1">
      <c r="A54" s="175"/>
      <c r="B54" s="178" t="s">
        <v>11</v>
      </c>
      <c r="C54" s="176">
        <v>216.04666666666668</v>
      </c>
      <c r="D54" s="176">
        <v>0.1421464108031234</v>
      </c>
      <c r="E54" s="176">
        <v>232.26000000000002</v>
      </c>
      <c r="F54" s="176">
        <v>-0.12470436465276125</v>
      </c>
      <c r="G54" s="176">
        <v>190.22333333333333</v>
      </c>
      <c r="H54" s="176">
        <v>-0.34604161737700201</v>
      </c>
      <c r="I54" s="177" t="s">
        <v>2</v>
      </c>
      <c r="J54" s="177" t="s">
        <v>2</v>
      </c>
      <c r="K54" s="176">
        <v>108.43</v>
      </c>
      <c r="L54" s="176">
        <v>2.0279130191955375</v>
      </c>
    </row>
    <row r="55" spans="1:12" ht="13.5" customHeight="1">
      <c r="A55" s="175"/>
      <c r="B55" s="178" t="s">
        <v>12</v>
      </c>
      <c r="C55" s="176">
        <v>207.76451612903224</v>
      </c>
      <c r="D55" s="176">
        <v>-3.8335007271427912</v>
      </c>
      <c r="E55" s="176">
        <v>223.40967741935484</v>
      </c>
      <c r="F55" s="176">
        <v>-3.8105238011905573</v>
      </c>
      <c r="G55" s="176">
        <v>186.72258064516129</v>
      </c>
      <c r="H55" s="176">
        <v>-1.8403382102644472</v>
      </c>
      <c r="I55" s="177" t="s">
        <v>2</v>
      </c>
      <c r="J55" s="177" t="s">
        <v>2</v>
      </c>
      <c r="K55" s="176">
        <v>108.1483870967742</v>
      </c>
      <c r="L55" s="176">
        <v>-0.25971862328304507</v>
      </c>
    </row>
    <row r="56" spans="1:12" ht="13.5" customHeight="1">
      <c r="A56" s="175"/>
      <c r="B56" s="178" t="s">
        <v>13</v>
      </c>
      <c r="C56" s="176">
        <v>209.47</v>
      </c>
      <c r="D56" s="176">
        <v>0.82087350753801136</v>
      </c>
      <c r="E56" s="176">
        <v>225.03333333333333</v>
      </c>
      <c r="F56" s="176">
        <v>0.72676167511347423</v>
      </c>
      <c r="G56" s="176">
        <v>193.08</v>
      </c>
      <c r="H56" s="176">
        <v>3.4047405155138044</v>
      </c>
      <c r="I56" s="177" t="s">
        <v>2</v>
      </c>
      <c r="J56" s="177" t="s">
        <v>2</v>
      </c>
      <c r="K56" s="176">
        <v>108.43333333333334</v>
      </c>
      <c r="L56" s="176">
        <v>0.26347710234841948</v>
      </c>
    </row>
    <row r="57" spans="1:12" ht="13.5" customHeight="1">
      <c r="A57" s="175"/>
      <c r="B57" s="179" t="s">
        <v>14</v>
      </c>
      <c r="C57" s="176">
        <v>204.08064516129033</v>
      </c>
      <c r="D57" s="176">
        <v>-2.5728528374992399</v>
      </c>
      <c r="E57" s="176">
        <v>219.42258064516133</v>
      </c>
      <c r="F57" s="176">
        <v>-2.4932984838566097</v>
      </c>
      <c r="G57" s="176">
        <v>191.90967741935484</v>
      </c>
      <c r="H57" s="176">
        <v>-0.60613350976029823</v>
      </c>
      <c r="I57" s="176" t="s">
        <v>2</v>
      </c>
      <c r="J57" s="176" t="s">
        <v>2</v>
      </c>
      <c r="K57" s="176">
        <v>107.34193548387096</v>
      </c>
      <c r="L57" s="176">
        <v>-1.0065150778933774</v>
      </c>
    </row>
    <row r="58" spans="1:12" ht="13.5" customHeight="1">
      <c r="A58" s="175"/>
      <c r="B58" s="179"/>
      <c r="C58" s="176"/>
      <c r="D58" s="176"/>
      <c r="E58" s="176"/>
      <c r="F58" s="176"/>
      <c r="G58" s="176"/>
      <c r="H58" s="176"/>
      <c r="I58" s="177"/>
      <c r="J58" s="177"/>
      <c r="K58" s="176"/>
      <c r="L58" s="176"/>
    </row>
    <row r="59" spans="1:12" ht="13.5" customHeight="1">
      <c r="A59" s="175">
        <v>2012</v>
      </c>
      <c r="B59" s="179" t="s">
        <v>3</v>
      </c>
      <c r="C59" s="176">
        <v>204.98709677419356</v>
      </c>
      <c r="D59" s="176">
        <v>0.44416343950051118</v>
      </c>
      <c r="E59" s="176">
        <v>220.94193548387096</v>
      </c>
      <c r="F59" s="176">
        <v>0.69243321915288814</v>
      </c>
      <c r="G59" s="176">
        <v>191.63870967741937</v>
      </c>
      <c r="H59" s="176">
        <v>-0.14119545485106189</v>
      </c>
      <c r="I59" s="177" t="s">
        <v>2</v>
      </c>
      <c r="J59" s="177" t="s">
        <v>2</v>
      </c>
      <c r="K59" s="176">
        <v>107.40645161290323</v>
      </c>
      <c r="L59" s="176">
        <v>6.0103377809839209E-2</v>
      </c>
    </row>
    <row r="60" spans="1:12" ht="13.5" customHeight="1">
      <c r="A60" s="175"/>
      <c r="B60" s="168" t="s">
        <v>4</v>
      </c>
      <c r="C60" s="176">
        <v>209.6103448275862</v>
      </c>
      <c r="D60" s="176">
        <v>2.2553849125857228</v>
      </c>
      <c r="E60" s="176">
        <v>225.931034482759</v>
      </c>
      <c r="F60" s="176">
        <v>2.2581041430463245</v>
      </c>
      <c r="G60" s="176">
        <v>195.83448275862068</v>
      </c>
      <c r="H60" s="176">
        <v>2.1894183530373201</v>
      </c>
      <c r="I60" s="177" t="s">
        <v>2</v>
      </c>
      <c r="J60" s="177" t="s">
        <v>2</v>
      </c>
      <c r="K60" s="176">
        <v>105.62068965517243</v>
      </c>
      <c r="L60" s="176">
        <v>-1.6626207559362949</v>
      </c>
    </row>
    <row r="61" spans="1:12" ht="13.5" customHeight="1">
      <c r="A61" s="175"/>
      <c r="B61" s="168" t="s">
        <v>5</v>
      </c>
      <c r="C61" s="176">
        <v>212.41</v>
      </c>
      <c r="D61" s="176">
        <v>1.3356474246138061</v>
      </c>
      <c r="E61" s="176">
        <v>228.66129032258064</v>
      </c>
      <c r="F61" s="176">
        <v>1.2084465713496195</v>
      </c>
      <c r="G61" s="176">
        <v>198.21290322580646</v>
      </c>
      <c r="H61" s="176">
        <v>1.2145054505632302</v>
      </c>
      <c r="I61" s="177" t="s">
        <v>2</v>
      </c>
      <c r="J61" s="177" t="s">
        <v>2</v>
      </c>
      <c r="K61" s="176">
        <v>103.4</v>
      </c>
      <c r="L61" s="176">
        <v>-2.102513875285672</v>
      </c>
    </row>
    <row r="62" spans="1:12" ht="13.5" customHeight="1">
      <c r="A62" s="175"/>
      <c r="B62" s="168" t="s">
        <v>6</v>
      </c>
      <c r="C62" s="176">
        <v>213.80000000000004</v>
      </c>
      <c r="D62" s="176">
        <v>0.6543948025046209</v>
      </c>
      <c r="E62" s="176">
        <v>229.9</v>
      </c>
      <c r="F62" s="176">
        <v>0.54172250828807833</v>
      </c>
      <c r="G62" s="176">
        <v>199.4</v>
      </c>
      <c r="H62" s="176">
        <v>0.5988998470201512</v>
      </c>
      <c r="I62" s="177" t="s">
        <v>2</v>
      </c>
      <c r="J62" s="177" t="s">
        <v>2</v>
      </c>
      <c r="K62" s="176">
        <v>103.4</v>
      </c>
      <c r="L62" s="176">
        <v>0</v>
      </c>
    </row>
    <row r="63" spans="1:12" ht="13.5" customHeight="1">
      <c r="A63" s="175"/>
      <c r="B63" s="168" t="s">
        <v>7</v>
      </c>
      <c r="C63" s="176">
        <v>213.80000000000004</v>
      </c>
      <c r="D63" s="176">
        <v>0</v>
      </c>
      <c r="E63" s="176">
        <v>229.9</v>
      </c>
      <c r="F63" s="176">
        <v>0</v>
      </c>
      <c r="G63" s="176">
        <v>199.4</v>
      </c>
      <c r="H63" s="176">
        <v>0</v>
      </c>
      <c r="I63" s="177" t="s">
        <v>2</v>
      </c>
      <c r="J63" s="177" t="s">
        <v>2</v>
      </c>
      <c r="K63" s="176">
        <v>101.20645161290322</v>
      </c>
      <c r="L63" s="176">
        <v>-2.1214201035752223</v>
      </c>
    </row>
    <row r="64" spans="1:12" ht="13.5" customHeight="1">
      <c r="A64" s="175"/>
      <c r="B64" s="168" t="s">
        <v>8</v>
      </c>
      <c r="C64" s="176">
        <v>210.31333333333336</v>
      </c>
      <c r="D64" s="176">
        <v>-1.6308076083567213</v>
      </c>
      <c r="E64" s="176">
        <v>226.57666666666665</v>
      </c>
      <c r="F64" s="176">
        <v>-1.4455560388574873</v>
      </c>
      <c r="G64" s="176">
        <v>195.80000000000004</v>
      </c>
      <c r="H64" s="176">
        <v>-1.8054162487462166</v>
      </c>
      <c r="I64" s="177" t="s">
        <v>2</v>
      </c>
      <c r="J64" s="177" t="s">
        <v>2</v>
      </c>
      <c r="K64" s="176">
        <v>96.873333333333335</v>
      </c>
      <c r="L64" s="176">
        <v>-4.2814644822676939</v>
      </c>
    </row>
    <row r="65" spans="1:12" ht="13.5" customHeight="1">
      <c r="A65" s="175"/>
      <c r="B65" s="168" t="s">
        <v>9</v>
      </c>
      <c r="C65" s="176">
        <v>207.31</v>
      </c>
      <c r="D65" s="176">
        <v>-1.4280280216819485</v>
      </c>
      <c r="E65" s="176">
        <v>224.32</v>
      </c>
      <c r="F65" s="176">
        <v>-0.99598369941005238</v>
      </c>
      <c r="G65" s="176">
        <v>190.1</v>
      </c>
      <c r="H65" s="176">
        <v>-2.9111338100102357</v>
      </c>
      <c r="I65" s="177" t="s">
        <v>2</v>
      </c>
      <c r="J65" s="177" t="s">
        <v>2</v>
      </c>
      <c r="K65" s="176">
        <v>90.670967741935485</v>
      </c>
      <c r="L65" s="176">
        <v>-6.402552052230936</v>
      </c>
    </row>
    <row r="66" spans="1:12" ht="13.5" customHeight="1">
      <c r="A66" s="175"/>
      <c r="B66" s="168" t="s">
        <v>49</v>
      </c>
      <c r="C66" s="176">
        <v>214.71935483870965</v>
      </c>
      <c r="D66" s="176">
        <v>3.5740460367129634</v>
      </c>
      <c r="E66" s="176">
        <v>232.51290322580644</v>
      </c>
      <c r="F66" s="176">
        <v>3.6523284708480874</v>
      </c>
      <c r="G66" s="176">
        <v>191.38709677419354</v>
      </c>
      <c r="H66" s="176">
        <v>0.67706300588823431</v>
      </c>
      <c r="I66" s="177" t="s">
        <v>2</v>
      </c>
      <c r="J66" s="177" t="s">
        <v>2</v>
      </c>
      <c r="K66" s="176">
        <v>88.645161290322577</v>
      </c>
      <c r="L66" s="176">
        <v>-2.2342393624590895</v>
      </c>
    </row>
    <row r="67" spans="1:12" ht="13.5" customHeight="1">
      <c r="A67" s="175"/>
      <c r="B67" s="178" t="s">
        <v>11</v>
      </c>
      <c r="C67" s="176">
        <v>222.4</v>
      </c>
      <c r="D67" s="176">
        <v>3.5770623319261619</v>
      </c>
      <c r="E67" s="176">
        <v>241.31</v>
      </c>
      <c r="F67" s="176">
        <v>3.783487562258081</v>
      </c>
      <c r="G67" s="176">
        <v>198.66</v>
      </c>
      <c r="H67" s="176">
        <v>3.8001011292769338</v>
      </c>
      <c r="I67" s="177" t="s">
        <v>2</v>
      </c>
      <c r="J67" s="177" t="s">
        <v>2</v>
      </c>
      <c r="K67" s="176">
        <v>90.316666666666663</v>
      </c>
      <c r="L67" s="176">
        <v>1.8856137797185868</v>
      </c>
    </row>
    <row r="68" spans="1:12" ht="13.5" customHeight="1">
      <c r="A68" s="175"/>
      <c r="B68" s="178" t="s">
        <v>12</v>
      </c>
      <c r="C68" s="176">
        <v>224.65</v>
      </c>
      <c r="D68" s="176">
        <v>1.0116906474820109</v>
      </c>
      <c r="E68" s="176">
        <v>243.86774193548385</v>
      </c>
      <c r="F68" s="176">
        <v>1.059940298986306</v>
      </c>
      <c r="G68" s="176">
        <v>201.37</v>
      </c>
      <c r="H68" s="176">
        <v>1.3641397362327723</v>
      </c>
      <c r="I68" s="177" t="s">
        <v>2</v>
      </c>
      <c r="J68" s="177" t="s">
        <v>2</v>
      </c>
      <c r="K68" s="176">
        <v>90.02395698924731</v>
      </c>
      <c r="L68" s="176">
        <v>-0.32409264892343526</v>
      </c>
    </row>
    <row r="69" spans="1:12" ht="13.5" customHeight="1">
      <c r="A69" s="175"/>
      <c r="B69" s="178" t="s">
        <v>13</v>
      </c>
      <c r="C69" s="176">
        <v>217.59666666666666</v>
      </c>
      <c r="D69" s="176">
        <v>-3.139698790711476</v>
      </c>
      <c r="E69" s="176">
        <v>235.04666666666665</v>
      </c>
      <c r="F69" s="176">
        <v>-3.6171554297455444</v>
      </c>
      <c r="G69" s="176">
        <v>200.92666666666665</v>
      </c>
      <c r="H69" s="176">
        <v>-0.22015858039099445</v>
      </c>
      <c r="I69" s="177" t="s">
        <v>2</v>
      </c>
      <c r="J69" s="177" t="s">
        <v>2</v>
      </c>
      <c r="K69" s="176">
        <v>91.324681481481477</v>
      </c>
      <c r="L69" s="176">
        <v>1.4448648290249277</v>
      </c>
    </row>
    <row r="70" spans="1:12" ht="13.5" customHeight="1">
      <c r="A70" s="181"/>
      <c r="B70" s="181" t="s">
        <v>14</v>
      </c>
      <c r="C70" s="182">
        <v>214.9</v>
      </c>
      <c r="D70" s="182">
        <v>-1.2392959450971963</v>
      </c>
      <c r="E70" s="182">
        <v>232.00322580645164</v>
      </c>
      <c r="F70" s="182">
        <v>-1.2948240889248952</v>
      </c>
      <c r="G70" s="182">
        <v>203.05</v>
      </c>
      <c r="H70" s="182">
        <v>1.0567702976210347</v>
      </c>
      <c r="I70" s="182" t="s">
        <v>2</v>
      </c>
      <c r="J70" s="182" t="s">
        <v>2</v>
      </c>
      <c r="K70" s="182">
        <v>91.981612903225823</v>
      </c>
      <c r="L70" s="182">
        <v>0.71933612150354431</v>
      </c>
    </row>
    <row r="71" spans="1:12" ht="13.5" customHeight="1">
      <c r="A71" s="175"/>
      <c r="B71" s="179"/>
      <c r="C71" s="176"/>
      <c r="D71" s="176"/>
      <c r="E71" s="176"/>
      <c r="F71" s="176"/>
      <c r="G71" s="176"/>
      <c r="H71" s="176"/>
      <c r="I71" s="177"/>
      <c r="J71" s="177"/>
      <c r="K71" s="176"/>
      <c r="L71" s="176"/>
    </row>
    <row r="72" spans="1:12" ht="13.5" customHeight="1">
      <c r="A72" s="175">
        <v>2013</v>
      </c>
      <c r="B72" s="179" t="s">
        <v>3</v>
      </c>
      <c r="C72" s="176">
        <v>218.7516129032258</v>
      </c>
      <c r="D72" s="176">
        <v>1.7922814812590948</v>
      </c>
      <c r="E72" s="176">
        <v>237.38064516129029</v>
      </c>
      <c r="F72" s="176">
        <v>2.3178209424229212</v>
      </c>
      <c r="G72" s="176">
        <v>206.12903225806448</v>
      </c>
      <c r="H72" s="176">
        <v>1.5155847869602335</v>
      </c>
      <c r="I72" s="177" t="s">
        <v>2</v>
      </c>
      <c r="J72" s="177" t="s">
        <v>2</v>
      </c>
      <c r="K72" s="176">
        <v>94.930000000000035</v>
      </c>
      <c r="L72" s="176">
        <v>5.0206166950083286</v>
      </c>
    </row>
    <row r="73" spans="1:12" ht="13.5" customHeight="1">
      <c r="A73" s="175"/>
      <c r="B73" s="179" t="s">
        <v>4</v>
      </c>
      <c r="C73" s="176">
        <v>227.29</v>
      </c>
      <c r="D73" s="176">
        <v>3.9032338932063038</v>
      </c>
      <c r="E73" s="176">
        <v>246.67</v>
      </c>
      <c r="F73" s="176">
        <v>3.9132739033538089</v>
      </c>
      <c r="G73" s="176">
        <v>212.09642857142859</v>
      </c>
      <c r="H73" s="176">
        <v>2.8949809970936879</v>
      </c>
      <c r="I73" s="177" t="s">
        <v>2</v>
      </c>
      <c r="J73" s="177" t="s">
        <v>2</v>
      </c>
      <c r="K73" s="176">
        <v>99.696071428571443</v>
      </c>
      <c r="L73" s="176">
        <v>5.0206166950083286</v>
      </c>
    </row>
    <row r="74" spans="1:12" ht="13.5" customHeight="1">
      <c r="A74" s="175"/>
      <c r="B74" s="179" t="s">
        <v>5</v>
      </c>
      <c r="C74" s="176">
        <v>230.7</v>
      </c>
      <c r="D74" s="176">
        <v>1.5002859782656586</v>
      </c>
      <c r="E74" s="176">
        <v>250.7</v>
      </c>
      <c r="F74" s="176">
        <v>1.6337617059228871</v>
      </c>
      <c r="G74" s="176">
        <v>214.97096774193545</v>
      </c>
      <c r="H74" s="176">
        <v>1.3552982432887939</v>
      </c>
      <c r="I74" s="177" t="s">
        <v>2</v>
      </c>
      <c r="J74" s="177" t="s">
        <v>2</v>
      </c>
      <c r="K74" s="176">
        <v>99.715483870967773</v>
      </c>
      <c r="L74" s="176">
        <v>1.9471622219580098E-2</v>
      </c>
    </row>
    <row r="75" spans="1:12" ht="13.5" customHeight="1">
      <c r="A75" s="175"/>
      <c r="B75" s="179" t="s">
        <v>6</v>
      </c>
      <c r="C75" s="176">
        <v>230.56666666666663</v>
      </c>
      <c r="D75" s="176">
        <v>-5.7795116312675532E-2</v>
      </c>
      <c r="E75" s="176">
        <v>250.56666666666663</v>
      </c>
      <c r="F75" s="176">
        <v>-5.3184416965834647E-2</v>
      </c>
      <c r="G75" s="176">
        <v>210.36333333333332</v>
      </c>
      <c r="H75" s="176">
        <v>-2.1433751994517802</v>
      </c>
      <c r="I75" s="177" t="s">
        <v>2</v>
      </c>
      <c r="J75" s="177" t="s">
        <v>2</v>
      </c>
      <c r="K75" s="176">
        <v>98.046666666666681</v>
      </c>
      <c r="L75" s="176">
        <v>-1.673578805936049</v>
      </c>
    </row>
    <row r="76" spans="1:12" ht="13.5" customHeight="1">
      <c r="A76" s="175"/>
      <c r="B76" s="179" t="s">
        <v>7</v>
      </c>
      <c r="C76" s="176">
        <v>229.7</v>
      </c>
      <c r="D76" s="176">
        <v>-0.37588549949398864</v>
      </c>
      <c r="E76" s="176">
        <v>249.69999999999996</v>
      </c>
      <c r="F76" s="176">
        <v>-0.34588266595716455</v>
      </c>
      <c r="G76" s="176">
        <v>205.69999999999996</v>
      </c>
      <c r="H76" s="176">
        <v>-2.2167995056172729</v>
      </c>
      <c r="I76" s="177" t="s">
        <v>2</v>
      </c>
      <c r="J76" s="177" t="s">
        <v>2</v>
      </c>
      <c r="K76" s="176">
        <v>96.78000000000003</v>
      </c>
      <c r="L76" s="176">
        <v>-1.2919018154620043</v>
      </c>
    </row>
    <row r="77" spans="1:12" ht="13.5" customHeight="1">
      <c r="A77" s="175"/>
      <c r="B77" s="179" t="s">
        <v>8</v>
      </c>
      <c r="C77" s="176">
        <v>230.44333333333333</v>
      </c>
      <c r="D77" s="176">
        <v>0.3236105064577055</v>
      </c>
      <c r="E77" s="176">
        <v>250.3833333333333</v>
      </c>
      <c r="F77" s="176">
        <v>0.27366172740621586</v>
      </c>
      <c r="G77" s="176">
        <v>203.96666666666667</v>
      </c>
      <c r="H77" s="176">
        <v>-0.84265111003076765</v>
      </c>
      <c r="I77" s="177" t="s">
        <v>2</v>
      </c>
      <c r="J77" s="177" t="s">
        <v>2</v>
      </c>
      <c r="K77" s="176">
        <v>96.88000000000001</v>
      </c>
      <c r="L77" s="176">
        <v>0.10332713370528879</v>
      </c>
    </row>
    <row r="78" spans="1:12" ht="13.5" customHeight="1">
      <c r="A78" s="175"/>
      <c r="B78" s="179" t="s">
        <v>9</v>
      </c>
      <c r="C78" s="176">
        <v>235.73548387096776</v>
      </c>
      <c r="D78" s="176">
        <v>2.2965084131895352</v>
      </c>
      <c r="E78" s="176">
        <v>254.74193548387098</v>
      </c>
      <c r="F78" s="176">
        <v>1.7407716769770376</v>
      </c>
      <c r="G78" s="176">
        <v>206.39677419354837</v>
      </c>
      <c r="H78" s="176">
        <v>1.1914238569447733</v>
      </c>
      <c r="I78" s="177" t="s">
        <v>2</v>
      </c>
      <c r="J78" s="177" t="s">
        <v>2</v>
      </c>
      <c r="K78" s="176">
        <v>97.328387096774193</v>
      </c>
      <c r="L78" s="176">
        <v>0.46282730880902179</v>
      </c>
    </row>
    <row r="79" spans="1:12" ht="13.5" customHeight="1">
      <c r="A79" s="175"/>
      <c r="B79" s="179" t="s">
        <v>49</v>
      </c>
      <c r="C79" s="176">
        <v>244.74193548387095</v>
      </c>
      <c r="D79" s="176">
        <v>3.8205752757327627</v>
      </c>
      <c r="E79" s="176">
        <v>262.6258064516129</v>
      </c>
      <c r="F79" s="176">
        <v>3.0948461441053565</v>
      </c>
      <c r="G79" s="176">
        <v>210.34193548387094</v>
      </c>
      <c r="H79" s="176">
        <v>1.9114452276385974</v>
      </c>
      <c r="I79" s="177" t="s">
        <v>2</v>
      </c>
      <c r="J79" s="177" t="s">
        <v>2</v>
      </c>
      <c r="K79" s="176">
        <v>101.43354838709678</v>
      </c>
      <c r="L79" s="176">
        <v>4.2178458030346366</v>
      </c>
    </row>
    <row r="80" spans="1:12" ht="13.5" customHeight="1">
      <c r="A80" s="175"/>
      <c r="B80" s="179" t="s">
        <v>11</v>
      </c>
      <c r="C80" s="176">
        <v>247.73333333333341</v>
      </c>
      <c r="D80" s="176">
        <v>1.2222661570230109</v>
      </c>
      <c r="E80" s="176">
        <v>265.43333333333334</v>
      </c>
      <c r="F80" s="176">
        <v>1.0690217079781572</v>
      </c>
      <c r="G80" s="176">
        <v>214.07999999999996</v>
      </c>
      <c r="H80" s="176">
        <v>1.7771370732754477</v>
      </c>
      <c r="I80" s="177" t="s">
        <v>2</v>
      </c>
      <c r="J80" s="177" t="s">
        <v>2</v>
      </c>
      <c r="K80" s="176">
        <v>105.5</v>
      </c>
      <c r="L80" s="176">
        <v>4.0089809314218128</v>
      </c>
    </row>
    <row r="81" spans="1:12" ht="13.5" customHeight="1">
      <c r="A81" s="175"/>
      <c r="B81" s="179" t="s">
        <v>12</v>
      </c>
      <c r="C81" s="176">
        <v>240.18709677419358</v>
      </c>
      <c r="D81" s="176">
        <v>-3.0461127122469733</v>
      </c>
      <c r="E81" s="176">
        <v>257.01612903225805</v>
      </c>
      <c r="F81" s="176">
        <v>-3.1711180338096057</v>
      </c>
      <c r="G81" s="176">
        <v>211.86774193548382</v>
      </c>
      <c r="H81" s="176">
        <v>-1.0333791407493131</v>
      </c>
      <c r="I81" s="177" t="s">
        <v>2</v>
      </c>
      <c r="J81" s="177" t="s">
        <v>2</v>
      </c>
      <c r="K81" s="176">
        <v>105.5</v>
      </c>
      <c r="L81" s="176">
        <v>0</v>
      </c>
    </row>
    <row r="82" spans="1:12" ht="13.5" customHeight="1">
      <c r="A82" s="175"/>
      <c r="B82" s="179" t="s">
        <v>13</v>
      </c>
      <c r="C82" s="176">
        <v>233.14666666666665</v>
      </c>
      <c r="D82" s="176">
        <v>-2.931227448136331</v>
      </c>
      <c r="E82" s="176">
        <v>247.95666666666665</v>
      </c>
      <c r="F82" s="176">
        <v>-3.5248614161698555</v>
      </c>
      <c r="G82" s="176">
        <v>209.96999999999997</v>
      </c>
      <c r="H82" s="176">
        <v>-0.89572009318046319</v>
      </c>
      <c r="I82" s="177" t="s">
        <v>2</v>
      </c>
      <c r="J82" s="177" t="s">
        <v>2</v>
      </c>
      <c r="K82" s="176">
        <v>105.36666666666666</v>
      </c>
      <c r="L82" s="176">
        <v>-0.12638230647710191</v>
      </c>
    </row>
    <row r="83" spans="1:12" ht="13.5" customHeight="1">
      <c r="A83" s="175"/>
      <c r="B83" s="179" t="s">
        <v>14</v>
      </c>
      <c r="C83" s="176">
        <v>234.09032258064519</v>
      </c>
      <c r="D83" s="176">
        <v>0.4047477613427386</v>
      </c>
      <c r="E83" s="176">
        <v>248.69032258064519</v>
      </c>
      <c r="F83" s="176">
        <v>0.29588069715618115</v>
      </c>
      <c r="G83" s="176">
        <v>213</v>
      </c>
      <c r="H83" s="176">
        <v>1.4430632947564082</v>
      </c>
      <c r="I83" s="177" t="s">
        <v>2</v>
      </c>
      <c r="J83" s="177" t="s">
        <v>2</v>
      </c>
      <c r="K83" s="176">
        <v>108.5</v>
      </c>
      <c r="L83" s="176">
        <v>2.9737424865548867</v>
      </c>
    </row>
    <row r="84" spans="1:12" ht="13.5" customHeight="1">
      <c r="A84" s="175"/>
      <c r="B84" s="179"/>
      <c r="C84" s="176"/>
      <c r="D84" s="176"/>
      <c r="E84" s="176"/>
      <c r="F84" s="176"/>
      <c r="G84" s="176"/>
      <c r="H84" s="176"/>
      <c r="I84" s="177"/>
      <c r="J84" s="177"/>
      <c r="K84" s="176"/>
      <c r="L84" s="176"/>
    </row>
    <row r="85" spans="1:12" ht="13.5" customHeight="1">
      <c r="A85" s="175">
        <v>2014</v>
      </c>
      <c r="B85" s="179" t="s">
        <v>3</v>
      </c>
      <c r="C85" s="176">
        <v>233.92903225806455</v>
      </c>
      <c r="D85" s="176">
        <v>-6.8900892955570114E-2</v>
      </c>
      <c r="E85" s="176">
        <v>248.61935483870968</v>
      </c>
      <c r="F85" s="176">
        <v>-2.8536591693262281E-2</v>
      </c>
      <c r="G85" s="176">
        <v>214.30967741935481</v>
      </c>
      <c r="H85" s="176">
        <v>0.61487202786612016</v>
      </c>
      <c r="I85" s="177" t="s">
        <v>2</v>
      </c>
      <c r="J85" s="177" t="s">
        <v>2</v>
      </c>
      <c r="K85" s="176">
        <v>110.8483870967742</v>
      </c>
      <c r="L85" s="176">
        <v>2.1644120707596359</v>
      </c>
    </row>
    <row r="86" spans="1:12" ht="13.5" customHeight="1">
      <c r="A86" s="175"/>
      <c r="B86" s="179" t="s">
        <v>4</v>
      </c>
      <c r="C86" s="176">
        <v>236.3</v>
      </c>
      <c r="D86" s="176">
        <v>1.0135414655671582</v>
      </c>
      <c r="E86" s="176">
        <v>251.2</v>
      </c>
      <c r="F86" s="176">
        <v>1.0379904504878468</v>
      </c>
      <c r="G86" s="176">
        <v>216.4</v>
      </c>
      <c r="H86" s="176">
        <v>0.97537479679692396</v>
      </c>
      <c r="I86" s="177" t="s">
        <v>2</v>
      </c>
      <c r="J86" s="177" t="s">
        <v>2</v>
      </c>
      <c r="K86" s="176">
        <v>116.9</v>
      </c>
      <c r="L86" s="176">
        <v>5.4593603585251449</v>
      </c>
    </row>
    <row r="87" spans="1:12" ht="13.5" customHeight="1">
      <c r="A87" s="175"/>
      <c r="B87" s="179" t="s">
        <v>5</v>
      </c>
      <c r="C87" s="176">
        <v>239.54193548387101</v>
      </c>
      <c r="D87" s="176">
        <v>1.371957462493012</v>
      </c>
      <c r="E87" s="176">
        <v>254.89677419354837</v>
      </c>
      <c r="F87" s="176">
        <v>1.4716457776864589</v>
      </c>
      <c r="G87" s="176">
        <v>217.11612903225807</v>
      </c>
      <c r="H87" s="176">
        <v>0.33092838828931992</v>
      </c>
      <c r="I87" s="177" t="s">
        <v>2</v>
      </c>
      <c r="J87" s="177" t="s">
        <v>2</v>
      </c>
      <c r="K87" s="176">
        <v>115.80322580645162</v>
      </c>
      <c r="L87" s="176">
        <v>-0.93821573442975925</v>
      </c>
    </row>
    <row r="88" spans="1:12" ht="13.5" customHeight="1">
      <c r="A88" s="175"/>
      <c r="B88" s="179" t="s">
        <v>6</v>
      </c>
      <c r="C88" s="176">
        <v>243.51333333333332</v>
      </c>
      <c r="D88" s="176">
        <v>1.657913401025235</v>
      </c>
      <c r="E88" s="176">
        <v>259.52000000000004</v>
      </c>
      <c r="F88" s="176">
        <v>1.8137639525171778</v>
      </c>
      <c r="G88" s="176">
        <v>217.25000000000003</v>
      </c>
      <c r="H88" s="176">
        <v>6.1658693132859987E-2</v>
      </c>
      <c r="I88" s="177" t="s">
        <v>2</v>
      </c>
      <c r="J88" s="177" t="s">
        <v>2</v>
      </c>
      <c r="K88" s="176">
        <v>114.9</v>
      </c>
      <c r="L88" s="176">
        <v>-0.77996601576645341</v>
      </c>
    </row>
    <row r="89" spans="1:12" ht="13.5" customHeight="1">
      <c r="A89" s="175"/>
      <c r="B89" s="179" t="s">
        <v>7</v>
      </c>
      <c r="C89" s="176">
        <v>248.51935483870966</v>
      </c>
      <c r="D89" s="176">
        <v>2.0557484211855659</v>
      </c>
      <c r="E89" s="176">
        <v>265.06129032258065</v>
      </c>
      <c r="F89" s="176">
        <v>2.1352074300942547</v>
      </c>
      <c r="G89" s="176">
        <v>218.7741935483871</v>
      </c>
      <c r="H89" s="176">
        <v>0.70158506254871522</v>
      </c>
      <c r="I89" s="177" t="s">
        <v>2</v>
      </c>
      <c r="J89" s="177" t="s">
        <v>2</v>
      </c>
      <c r="K89" s="176">
        <v>113.98064516129033</v>
      </c>
      <c r="L89" s="176">
        <v>-0.80013475953845115</v>
      </c>
    </row>
    <row r="90" spans="1:12" ht="13.5" customHeight="1">
      <c r="A90" s="175"/>
      <c r="B90" s="179" t="s">
        <v>8</v>
      </c>
      <c r="C90" s="176">
        <v>252.39999999999998</v>
      </c>
      <c r="D90" s="176">
        <v>1.5615062109785693</v>
      </c>
      <c r="E90" s="176">
        <v>268.79999999999995</v>
      </c>
      <c r="F90" s="176">
        <v>1.4105076123598792</v>
      </c>
      <c r="G90" s="176">
        <v>218.6</v>
      </c>
      <c r="H90" s="176">
        <v>-7.9622530227074773E-2</v>
      </c>
      <c r="I90" s="177" t="s">
        <v>2</v>
      </c>
      <c r="J90" s="177" t="s">
        <v>2</v>
      </c>
      <c r="K90" s="176">
        <v>113</v>
      </c>
      <c r="L90" s="176">
        <v>-0.86036112526178821</v>
      </c>
    </row>
    <row r="91" spans="1:12" ht="13.5" customHeight="1">
      <c r="A91" s="175"/>
      <c r="B91" s="179" t="s">
        <v>9</v>
      </c>
      <c r="C91" s="176">
        <v>254.98064516129031</v>
      </c>
      <c r="D91" s="176">
        <v>1.0224426154082256</v>
      </c>
      <c r="E91" s="176">
        <v>271.18064516129039</v>
      </c>
      <c r="F91" s="176">
        <v>0.88565668202769121</v>
      </c>
      <c r="G91" s="176">
        <v>218.70967741935485</v>
      </c>
      <c r="H91" s="176">
        <v>5.017265295281792E-2</v>
      </c>
      <c r="I91" s="177" t="s">
        <v>2</v>
      </c>
      <c r="J91" s="177" t="s">
        <v>2</v>
      </c>
      <c r="K91" s="176">
        <v>112.58064516129032</v>
      </c>
      <c r="L91" s="176">
        <v>-0.37111047673422659</v>
      </c>
    </row>
    <row r="92" spans="1:12" ht="13.5" customHeight="1">
      <c r="A92" s="175"/>
      <c r="B92" s="179" t="s">
        <v>49</v>
      </c>
      <c r="C92" s="176">
        <v>251.95806451612901</v>
      </c>
      <c r="D92" s="176">
        <v>-1.1854157178280533</v>
      </c>
      <c r="E92" s="176">
        <v>268.30645161290317</v>
      </c>
      <c r="F92" s="176">
        <v>-1.0598815216615987</v>
      </c>
      <c r="G92" s="176">
        <v>215.87741935483868</v>
      </c>
      <c r="H92" s="176">
        <v>-1.2949852507374793</v>
      </c>
      <c r="I92" s="177" t="s">
        <v>2</v>
      </c>
      <c r="J92" s="177" t="s">
        <v>2</v>
      </c>
      <c r="K92" s="176">
        <v>110.96774193548389</v>
      </c>
      <c r="L92" s="176">
        <v>-1.4326647564469774</v>
      </c>
    </row>
    <row r="93" spans="1:12" ht="13.5" customHeight="1">
      <c r="A93" s="175"/>
      <c r="B93" s="179" t="s">
        <v>11</v>
      </c>
      <c r="C93" s="176">
        <v>247.5</v>
      </c>
      <c r="D93" s="176">
        <v>-1.7693676623093846</v>
      </c>
      <c r="E93" s="176">
        <v>263.41000000000003</v>
      </c>
      <c r="F93" s="176">
        <v>-1.824947400060084</v>
      </c>
      <c r="G93" s="176">
        <v>211.9</v>
      </c>
      <c r="H93" s="176">
        <v>-1.8424434416185798</v>
      </c>
      <c r="I93" s="177" t="s">
        <v>2</v>
      </c>
      <c r="J93" s="177" t="s">
        <v>2</v>
      </c>
      <c r="K93" s="176">
        <v>110.18666666666665</v>
      </c>
      <c r="L93" s="176">
        <v>-0.70387596899227356</v>
      </c>
    </row>
    <row r="94" spans="1:12" ht="13.5" customHeight="1">
      <c r="A94" s="175"/>
      <c r="B94" s="179" t="s">
        <v>12</v>
      </c>
      <c r="C94" s="176">
        <v>233.82</v>
      </c>
      <c r="D94" s="176">
        <v>-5.5272727272727256</v>
      </c>
      <c r="E94" s="176">
        <v>248.30645161290326</v>
      </c>
      <c r="F94" s="176">
        <v>-5.7338553536679608</v>
      </c>
      <c r="G94" s="176">
        <v>203.03548387096777</v>
      </c>
      <c r="H94" s="176">
        <v>-4.1833488103030891</v>
      </c>
      <c r="I94" s="177" t="s">
        <v>2</v>
      </c>
      <c r="J94" s="177" t="s">
        <v>2</v>
      </c>
      <c r="K94" s="176">
        <v>109.95483870967742</v>
      </c>
      <c r="L94" s="176">
        <v>-0.21039565312430675</v>
      </c>
    </row>
    <row r="95" spans="1:12" ht="13.5" customHeight="1">
      <c r="A95" s="175"/>
      <c r="B95" s="179" t="s">
        <v>13</v>
      </c>
      <c r="C95" s="176">
        <v>216.93</v>
      </c>
      <c r="D95" s="176">
        <v>-7.2235052604567525</v>
      </c>
      <c r="E95" s="176">
        <v>231.49000000000004</v>
      </c>
      <c r="F95" s="176">
        <v>-6.7724585904514463</v>
      </c>
      <c r="G95" s="176">
        <v>190.77</v>
      </c>
      <c r="H95" s="176">
        <v>-6.0410543207130569</v>
      </c>
      <c r="I95" s="177" t="s">
        <v>2</v>
      </c>
      <c r="J95" s="177" t="s">
        <v>2</v>
      </c>
      <c r="K95" s="176">
        <v>104.71</v>
      </c>
      <c r="L95" s="176">
        <v>-4.7699935457372611</v>
      </c>
    </row>
    <row r="96" spans="1:12" ht="13.5" customHeight="1">
      <c r="A96" s="175"/>
      <c r="B96" s="179" t="s">
        <v>14</v>
      </c>
      <c r="C96" s="176">
        <v>190.71935483870965</v>
      </c>
      <c r="D96" s="176">
        <v>-12.082535915406057</v>
      </c>
      <c r="E96" s="176">
        <v>212.06129032258067</v>
      </c>
      <c r="F96" s="176">
        <v>-8.3928937221561917</v>
      </c>
      <c r="G96" s="176">
        <v>168.40322580645162</v>
      </c>
      <c r="H96" s="176">
        <v>-11.724471454394504</v>
      </c>
      <c r="I96" s="177" t="s">
        <v>2</v>
      </c>
      <c r="J96" s="177" t="s">
        <v>2</v>
      </c>
      <c r="K96" s="176">
        <v>91.022580645161298</v>
      </c>
      <c r="L96" s="176">
        <v>-13.071740382808416</v>
      </c>
    </row>
    <row r="97" spans="1:12" ht="13.5" customHeight="1">
      <c r="A97" s="175"/>
      <c r="B97" s="179"/>
      <c r="C97" s="176"/>
      <c r="D97" s="176"/>
      <c r="E97" s="176"/>
      <c r="F97" s="176"/>
      <c r="G97" s="176"/>
      <c r="H97" s="176"/>
      <c r="I97" s="176"/>
      <c r="J97" s="176"/>
      <c r="K97" s="176"/>
      <c r="L97" s="176"/>
    </row>
    <row r="98" spans="1:12" ht="13.5" customHeight="1">
      <c r="A98" s="175">
        <v>2015</v>
      </c>
      <c r="B98" s="179" t="s">
        <v>3</v>
      </c>
      <c r="C98" s="176">
        <v>172.37741935483871</v>
      </c>
      <c r="D98" s="176">
        <v>-9.6172386380934505</v>
      </c>
      <c r="E98" s="176">
        <v>195.14516129032262</v>
      </c>
      <c r="F98" s="176">
        <v>-7.9769999543649828</v>
      </c>
      <c r="G98" s="176">
        <v>153.23548387096773</v>
      </c>
      <c r="H98" s="176">
        <v>-9.0068001149315347</v>
      </c>
      <c r="I98" s="177" t="s">
        <v>2</v>
      </c>
      <c r="J98" s="177" t="s">
        <v>2</v>
      </c>
      <c r="K98" s="176">
        <v>84.448387096774198</v>
      </c>
      <c r="L98" s="176">
        <v>-7.2225963071906989</v>
      </c>
    </row>
    <row r="99" spans="1:12" ht="13.5" customHeight="1">
      <c r="A99" s="175"/>
      <c r="B99" s="179" t="s">
        <v>4</v>
      </c>
      <c r="C99" s="176">
        <v>176.46071428571432</v>
      </c>
      <c r="D99" s="176">
        <v>2.3688108025739396</v>
      </c>
      <c r="E99" s="176">
        <v>198.95</v>
      </c>
      <c r="F99" s="176">
        <v>1.9497479130506479</v>
      </c>
      <c r="G99" s="176">
        <v>153.96428571428572</v>
      </c>
      <c r="H99" s="176">
        <v>0.47560905927748198</v>
      </c>
      <c r="I99" s="177" t="s">
        <v>2</v>
      </c>
      <c r="J99" s="177" t="s">
        <v>2</v>
      </c>
      <c r="K99" s="176">
        <v>85.739285714285714</v>
      </c>
      <c r="L99" s="176">
        <v>1.528624360856301</v>
      </c>
    </row>
    <row r="100" spans="1:12" ht="13.5" customHeight="1">
      <c r="A100" s="175"/>
      <c r="B100" s="179" t="s">
        <v>5</v>
      </c>
      <c r="C100" s="176">
        <v>186.56774193548387</v>
      </c>
      <c r="D100" s="176">
        <v>5.7276361430821821</v>
      </c>
      <c r="E100" s="176">
        <v>210.35483870967741</v>
      </c>
      <c r="F100" s="176">
        <v>5.7325150588979357</v>
      </c>
      <c r="G100" s="176">
        <v>159.09032258064516</v>
      </c>
      <c r="H100" s="176">
        <v>3.3293674845294552</v>
      </c>
      <c r="I100" s="177" t="s">
        <v>2</v>
      </c>
      <c r="J100" s="177" t="s">
        <v>2</v>
      </c>
      <c r="K100" s="176">
        <v>88.303225806451607</v>
      </c>
      <c r="L100" s="176">
        <v>2.9903912434142033</v>
      </c>
    </row>
    <row r="101" spans="1:12" ht="13.5" customHeight="1">
      <c r="A101" s="175"/>
      <c r="B101" s="179" t="s">
        <v>6</v>
      </c>
      <c r="C101" s="176">
        <v>192.55333333333334</v>
      </c>
      <c r="D101" s="176">
        <v>3.2082670539687053</v>
      </c>
      <c r="E101" s="176">
        <v>216.39999999999998</v>
      </c>
      <c r="F101" s="176">
        <v>2.8737923631344753</v>
      </c>
      <c r="G101" s="176">
        <v>157.83666666666667</v>
      </c>
      <c r="H101" s="176">
        <v>-0.78801519391161756</v>
      </c>
      <c r="I101" s="177" t="s">
        <v>2</v>
      </c>
      <c r="J101" s="177" t="s">
        <v>2</v>
      </c>
      <c r="K101" s="176">
        <v>86.36666666666666</v>
      </c>
      <c r="L101" s="176">
        <v>-2.1930785903899075</v>
      </c>
    </row>
    <row r="102" spans="1:12" ht="13.5" customHeight="1">
      <c r="A102" s="175"/>
      <c r="B102" s="179" t="s">
        <v>7</v>
      </c>
      <c r="C102" s="176">
        <v>203.79677419354837</v>
      </c>
      <c r="D102" s="176">
        <v>5.8391307309914264</v>
      </c>
      <c r="E102" s="176">
        <v>225.4903225806452</v>
      </c>
      <c r="F102" s="176">
        <v>4.20070359549225</v>
      </c>
      <c r="G102" s="176">
        <v>166.01290322580641</v>
      </c>
      <c r="H102" s="176">
        <v>5.1801883122677861</v>
      </c>
      <c r="I102" s="177" t="s">
        <v>2</v>
      </c>
      <c r="J102" s="177" t="s">
        <v>2</v>
      </c>
      <c r="K102" s="176">
        <v>87.222580645161287</v>
      </c>
      <c r="L102" s="176">
        <v>0.99102351813349365</v>
      </c>
    </row>
    <row r="103" spans="1:12" ht="13.5" customHeight="1">
      <c r="A103" s="175"/>
      <c r="B103" s="179" t="s">
        <v>8</v>
      </c>
      <c r="C103" s="176">
        <v>205.46666666666664</v>
      </c>
      <c r="D103" s="176">
        <v>0.81939102310439882</v>
      </c>
      <c r="E103" s="176">
        <v>225.98666666666668</v>
      </c>
      <c r="F103" s="176">
        <v>0.22011768857350678</v>
      </c>
      <c r="G103" s="176">
        <v>165.8</v>
      </c>
      <c r="H103" s="176">
        <v>-0.12824498678685181</v>
      </c>
      <c r="I103" s="177" t="s">
        <v>2</v>
      </c>
      <c r="J103" s="177" t="s">
        <v>2</v>
      </c>
      <c r="K103" s="176">
        <v>82.3</v>
      </c>
      <c r="L103" s="176">
        <v>-5.6436998409704504</v>
      </c>
    </row>
    <row r="104" spans="1:12" ht="13.5" customHeight="1">
      <c r="A104" s="175"/>
      <c r="B104" s="179" t="s">
        <v>9</v>
      </c>
      <c r="C104" s="176">
        <v>204.87419354838707</v>
      </c>
      <c r="D104" s="176">
        <v>-0.28835485964288088</v>
      </c>
      <c r="E104" s="176">
        <v>225.27419354838699</v>
      </c>
      <c r="F104" s="176">
        <v>-0.31527219228849601</v>
      </c>
      <c r="G104" s="176">
        <v>161.15806451612903</v>
      </c>
      <c r="H104" s="176">
        <v>-2.7997198334565598</v>
      </c>
      <c r="I104" s="177" t="s">
        <v>2</v>
      </c>
      <c r="J104" s="177" t="s">
        <v>2</v>
      </c>
      <c r="K104" s="176">
        <v>80.119354838709683</v>
      </c>
      <c r="L104" s="176">
        <v>-2.6496296005957598</v>
      </c>
    </row>
    <row r="105" spans="1:12" ht="13.5" customHeight="1">
      <c r="A105" s="175"/>
      <c r="B105" s="179" t="s">
        <v>49</v>
      </c>
      <c r="C105" s="176">
        <v>197.20322580645163</v>
      </c>
      <c r="D105" s="176">
        <v>-3.7442332824234925</v>
      </c>
      <c r="E105" s="176">
        <v>214.67419354838708</v>
      </c>
      <c r="F105" s="176">
        <v>-4.7053769599770483</v>
      </c>
      <c r="G105" s="176">
        <v>146.12903225806451</v>
      </c>
      <c r="H105" s="176">
        <v>-9.3256470305650652</v>
      </c>
      <c r="I105" s="177" t="s">
        <v>2</v>
      </c>
      <c r="J105" s="177" t="s">
        <v>2</v>
      </c>
      <c r="K105" s="176">
        <v>78.054838709677426</v>
      </c>
      <c r="L105" s="176">
        <v>-2.5768007408302096</v>
      </c>
    </row>
    <row r="106" spans="1:12" ht="13.5" customHeight="1">
      <c r="A106" s="175"/>
      <c r="B106" s="179" t="s">
        <v>11</v>
      </c>
      <c r="C106" s="176">
        <v>176.45666666666665</v>
      </c>
      <c r="D106" s="176">
        <v>-10.520395422003403</v>
      </c>
      <c r="E106" s="176">
        <v>194.16666666666666</v>
      </c>
      <c r="F106" s="176">
        <v>-9.5528607993107801</v>
      </c>
      <c r="G106" s="176">
        <v>142.81666666666666</v>
      </c>
      <c r="H106" s="176">
        <v>-2.2667402501839629</v>
      </c>
      <c r="I106" s="177" t="s">
        <v>2</v>
      </c>
      <c r="J106" s="177" t="s">
        <v>2</v>
      </c>
      <c r="K106" s="176">
        <v>79.67</v>
      </c>
      <c r="L106" s="176">
        <v>2.0692647848906898</v>
      </c>
    </row>
    <row r="107" spans="1:12" ht="13.5" customHeight="1">
      <c r="A107" s="175"/>
      <c r="B107" s="179" t="s">
        <v>12</v>
      </c>
      <c r="C107" s="176">
        <v>173.7967741935484</v>
      </c>
      <c r="D107" s="176">
        <v>-1.507391317859863</v>
      </c>
      <c r="E107" s="176">
        <v>191.46451612903223</v>
      </c>
      <c r="F107" s="176">
        <v>-1.391665512944773</v>
      </c>
      <c r="G107" s="176">
        <v>143.09677419354841</v>
      </c>
      <c r="H107" s="176">
        <v>0.1961308392216754</v>
      </c>
      <c r="I107" s="177" t="s">
        <v>2</v>
      </c>
      <c r="J107" s="177" t="s">
        <v>2</v>
      </c>
      <c r="K107" s="176">
        <v>82.193548387096769</v>
      </c>
      <c r="L107" s="176">
        <v>3.1675014272583901</v>
      </c>
    </row>
    <row r="108" spans="1:12" ht="13.5" customHeight="1">
      <c r="A108" s="175"/>
      <c r="B108" s="179" t="s">
        <v>13</v>
      </c>
      <c r="C108" s="176">
        <v>171.64333333333332</v>
      </c>
      <c r="D108" s="176">
        <v>-1.239056864091681</v>
      </c>
      <c r="E108" s="176">
        <v>189.1633333333333</v>
      </c>
      <c r="F108" s="176">
        <v>-1.2018847367770813</v>
      </c>
      <c r="G108" s="176">
        <v>142.48000000000002</v>
      </c>
      <c r="H108" s="176">
        <v>-0.43101893597836671</v>
      </c>
      <c r="I108" s="177" t="s">
        <v>2</v>
      </c>
      <c r="J108" s="177" t="s">
        <v>2</v>
      </c>
      <c r="K108" s="176">
        <v>82.36666666666666</v>
      </c>
      <c r="L108" s="176">
        <v>0.21062271062270987</v>
      </c>
    </row>
    <row r="109" spans="1:12" ht="13.5" customHeight="1">
      <c r="A109" s="175"/>
      <c r="B109" s="179" t="s">
        <v>14</v>
      </c>
      <c r="C109" s="176">
        <v>166.02903225806452</v>
      </c>
      <c r="D109" s="176">
        <v>-3.2709112356643422</v>
      </c>
      <c r="E109" s="176">
        <v>183.52903225806452</v>
      </c>
      <c r="F109" s="176">
        <v>-2.9785376351665005</v>
      </c>
      <c r="G109" s="176">
        <v>129.00322580645164</v>
      </c>
      <c r="H109" s="176">
        <v>-9.4587129376392358</v>
      </c>
      <c r="I109" s="176" t="s">
        <v>2</v>
      </c>
      <c r="J109" s="176" t="s">
        <v>2</v>
      </c>
      <c r="K109" s="176">
        <v>80.348387096774189</v>
      </c>
      <c r="L109" s="176">
        <v>-2.450359655879164</v>
      </c>
    </row>
    <row r="110" spans="1:12" ht="13.5" customHeight="1">
      <c r="A110" s="175"/>
      <c r="B110" s="179"/>
      <c r="C110" s="176"/>
      <c r="D110" s="176"/>
      <c r="E110" s="176"/>
      <c r="F110" s="176"/>
      <c r="G110" s="176"/>
      <c r="H110" s="176"/>
      <c r="I110" s="177"/>
      <c r="J110" s="177"/>
      <c r="K110" s="176"/>
      <c r="L110" s="176"/>
    </row>
    <row r="111" spans="1:12" ht="13.5" customHeight="1">
      <c r="A111" s="175">
        <v>2016</v>
      </c>
      <c r="B111" s="179" t="s">
        <v>3</v>
      </c>
      <c r="C111" s="176">
        <v>160.33870967741936</v>
      </c>
      <c r="D111" s="176">
        <v>-3.4273057568633525</v>
      </c>
      <c r="E111" s="176">
        <v>177.79032258064515</v>
      </c>
      <c r="F111" s="176">
        <v>-3.1268675079973329</v>
      </c>
      <c r="G111" s="176">
        <v>120.19032258064516</v>
      </c>
      <c r="H111" s="176">
        <v>-6.8315370958465849</v>
      </c>
      <c r="I111" s="177" t="s">
        <v>2</v>
      </c>
      <c r="J111" s="177" t="s">
        <v>2</v>
      </c>
      <c r="K111" s="176">
        <v>78.554838709677426</v>
      </c>
      <c r="L111" s="176">
        <v>-2.2322145495422996</v>
      </c>
    </row>
    <row r="112" spans="1:12" ht="13.5" customHeight="1">
      <c r="A112" s="175"/>
      <c r="B112" s="179" t="s">
        <v>4</v>
      </c>
      <c r="C112" s="176">
        <v>157.5</v>
      </c>
      <c r="D112" s="176">
        <v>-1.7704456292123583</v>
      </c>
      <c r="E112" s="176">
        <v>175.3</v>
      </c>
      <c r="F112" s="176">
        <v>-1.4007076113580541</v>
      </c>
      <c r="G112" s="176">
        <v>117.13</v>
      </c>
      <c r="H112" s="176">
        <v>-2.5462304409672898</v>
      </c>
      <c r="I112" s="177" t="s">
        <v>2</v>
      </c>
      <c r="J112" s="177" t="s">
        <v>2</v>
      </c>
      <c r="K112" s="176">
        <v>78.706896551724128</v>
      </c>
      <c r="L112" s="176">
        <v>0.19356903348586307</v>
      </c>
    </row>
    <row r="113" spans="1:12" ht="13.5" customHeight="1">
      <c r="A113" s="175"/>
      <c r="B113" s="179" t="s">
        <v>5</v>
      </c>
      <c r="C113" s="176">
        <v>161.53</v>
      </c>
      <c r="D113" s="176">
        <v>2.5587301587301603</v>
      </c>
      <c r="E113" s="176">
        <v>180.80322580645159</v>
      </c>
      <c r="F113" s="176">
        <v>3.1393187715068827</v>
      </c>
      <c r="G113" s="176">
        <v>121.82</v>
      </c>
      <c r="H113" s="176">
        <v>4.0040980107572732</v>
      </c>
      <c r="I113" s="177" t="s">
        <v>2</v>
      </c>
      <c r="J113" s="177" t="s">
        <v>2</v>
      </c>
      <c r="K113" s="176">
        <v>83.767741935483869</v>
      </c>
      <c r="L113" s="176">
        <v>6.4299897537363648</v>
      </c>
    </row>
    <row r="114" spans="1:12" ht="13.5" customHeight="1">
      <c r="A114" s="175"/>
      <c r="B114" s="179" t="s">
        <v>6</v>
      </c>
      <c r="C114" s="176">
        <v>166.46666666666667</v>
      </c>
      <c r="D114" s="176">
        <v>3.0561918322705717</v>
      </c>
      <c r="E114" s="176">
        <v>185.92000000000002</v>
      </c>
      <c r="F114" s="176">
        <v>2.8300237292369301</v>
      </c>
      <c r="G114" s="176">
        <v>125.60999999999999</v>
      </c>
      <c r="H114" s="176">
        <v>3.1111475948120138</v>
      </c>
      <c r="I114" s="177" t="s">
        <v>2</v>
      </c>
      <c r="J114" s="177" t="s">
        <v>2</v>
      </c>
      <c r="K114" s="176">
        <v>86.399999999999991</v>
      </c>
      <c r="L114" s="176">
        <v>3.1423290203327126</v>
      </c>
    </row>
    <row r="115" spans="1:12" ht="13.5" customHeight="1">
      <c r="A115" s="175"/>
      <c r="B115" s="179" t="s">
        <v>7</v>
      </c>
      <c r="C115" s="176">
        <v>174.38064516129026</v>
      </c>
      <c r="D115" s="176">
        <v>4.7540920071827752</v>
      </c>
      <c r="E115" s="176">
        <v>193.77741935483868</v>
      </c>
      <c r="F115" s="176">
        <v>4.2262367442118531</v>
      </c>
      <c r="G115" s="176">
        <v>132.39032258064518</v>
      </c>
      <c r="H115" s="176">
        <v>5.3979162332976616</v>
      </c>
      <c r="I115" s="177" t="s">
        <v>2</v>
      </c>
      <c r="J115" s="177" t="s">
        <v>2</v>
      </c>
      <c r="K115" s="176">
        <v>89.08387096774193</v>
      </c>
      <c r="L115" s="176">
        <v>3.1063321385902176</v>
      </c>
    </row>
    <row r="116" spans="1:12" ht="13.5" customHeight="1">
      <c r="A116" s="175"/>
      <c r="B116" s="179" t="s">
        <v>8</v>
      </c>
      <c r="C116" s="176">
        <v>185.58666666666667</v>
      </c>
      <c r="D116" s="176">
        <v>6.4261842218851672</v>
      </c>
      <c r="E116" s="176">
        <v>204.57</v>
      </c>
      <c r="F116" s="176">
        <v>5.5695760017312912</v>
      </c>
      <c r="G116" s="176">
        <v>141.11333333333332</v>
      </c>
      <c r="H116" s="176">
        <v>6.5888582961753484</v>
      </c>
      <c r="I116" s="177" t="s">
        <v>2</v>
      </c>
      <c r="J116" s="177" t="s">
        <v>2</v>
      </c>
      <c r="K116" s="176">
        <v>89.066666666666663</v>
      </c>
      <c r="L116" s="176">
        <v>-1.931247585940099E-2</v>
      </c>
    </row>
    <row r="117" spans="1:12" ht="13.5" customHeight="1">
      <c r="A117" s="175"/>
      <c r="B117" s="179" t="s">
        <v>9</v>
      </c>
      <c r="C117" s="176">
        <v>183.17741935483872</v>
      </c>
      <c r="D117" s="176">
        <v>-1.298179096106733</v>
      </c>
      <c r="E117" s="176">
        <v>200.18709677419355</v>
      </c>
      <c r="F117" s="176">
        <v>-2.1424955887013986</v>
      </c>
      <c r="G117" s="176">
        <v>140.37096774193549</v>
      </c>
      <c r="H117" s="176">
        <v>-0.52607756748558332</v>
      </c>
      <c r="I117" s="177" t="s">
        <v>2</v>
      </c>
      <c r="J117" s="177" t="s">
        <v>2</v>
      </c>
      <c r="K117" s="176">
        <v>88.903225806451616</v>
      </c>
      <c r="L117" s="176">
        <v>-0.18350395982228429</v>
      </c>
    </row>
    <row r="118" spans="1:12" ht="13.5" customHeight="1">
      <c r="A118" s="175"/>
      <c r="B118" s="179" t="s">
        <v>10</v>
      </c>
      <c r="C118" s="176">
        <v>179.56451612903226</v>
      </c>
      <c r="D118" s="176">
        <v>-1.9723518534824347</v>
      </c>
      <c r="E118" s="176">
        <v>195.28064516129029</v>
      </c>
      <c r="F118" s="176">
        <v>-2.4509329981630246</v>
      </c>
      <c r="G118" s="176">
        <v>135.68709677419355</v>
      </c>
      <c r="H118" s="176">
        <v>-3.3367804205446383</v>
      </c>
      <c r="I118" s="177" t="s">
        <v>2</v>
      </c>
      <c r="J118" s="177" t="s">
        <v>2</v>
      </c>
      <c r="K118" s="176">
        <v>87.619354838709683</v>
      </c>
      <c r="L118" s="176">
        <v>-1.4441219158200291</v>
      </c>
    </row>
    <row r="119" spans="1:12" ht="13.5" customHeight="1">
      <c r="A119" s="175"/>
      <c r="B119" s="179" t="s">
        <v>11</v>
      </c>
      <c r="C119" s="176">
        <v>182.83333333333334</v>
      </c>
      <c r="D119" s="176">
        <v>1.8204137848438551</v>
      </c>
      <c r="E119" s="176">
        <v>198.31666666666666</v>
      </c>
      <c r="F119" s="176">
        <v>1.554696576749226</v>
      </c>
      <c r="G119" s="176">
        <v>141.20666666666665</v>
      </c>
      <c r="H119" s="176">
        <v>4.0678664542868059</v>
      </c>
      <c r="I119" s="177" t="s">
        <v>2</v>
      </c>
      <c r="J119" s="177" t="s">
        <v>2</v>
      </c>
      <c r="K119" s="176">
        <v>89.38333333333334</v>
      </c>
      <c r="L119" s="176">
        <v>2.013229266377059</v>
      </c>
    </row>
    <row r="120" spans="1:12" ht="13.5" customHeight="1">
      <c r="A120" s="175"/>
      <c r="B120" s="179" t="s">
        <v>12</v>
      </c>
      <c r="C120" s="176">
        <v>185.91612903225806</v>
      </c>
      <c r="D120" s="176">
        <v>1.6861234451730489</v>
      </c>
      <c r="E120" s="176">
        <v>201.13548387096776</v>
      </c>
      <c r="F120" s="176">
        <v>1.4213718149261867</v>
      </c>
      <c r="G120" s="176">
        <v>146.70935483870969</v>
      </c>
      <c r="H120" s="176">
        <v>3.8969039507410264</v>
      </c>
      <c r="I120" s="177" t="s">
        <v>2</v>
      </c>
      <c r="J120" s="177" t="s">
        <v>2</v>
      </c>
      <c r="K120" s="176">
        <v>95.029032258064518</v>
      </c>
      <c r="L120" s="176">
        <v>6.3162769995127821</v>
      </c>
    </row>
    <row r="121" spans="1:12" ht="13.5" customHeight="1">
      <c r="A121" s="175"/>
      <c r="B121" s="179" t="s">
        <v>13</v>
      </c>
      <c r="C121" s="176">
        <v>184.2833333333333</v>
      </c>
      <c r="D121" s="176">
        <v>-0.87824316664932844</v>
      </c>
      <c r="E121" s="176">
        <v>200.06666666666669</v>
      </c>
      <c r="F121" s="176">
        <v>-0.53139166880505906</v>
      </c>
      <c r="G121" s="176">
        <v>143.33333333333334</v>
      </c>
      <c r="H121" s="176">
        <v>-2.3011630779018133</v>
      </c>
      <c r="I121" s="177" t="s">
        <v>2</v>
      </c>
      <c r="J121" s="177" t="s">
        <v>2</v>
      </c>
      <c r="K121" s="176">
        <v>94.28</v>
      </c>
      <c r="L121" s="176">
        <v>-0.78821412811025393</v>
      </c>
    </row>
    <row r="122" spans="1:12" ht="13.5" customHeight="1">
      <c r="A122" s="175"/>
      <c r="B122" s="179" t="s">
        <v>14</v>
      </c>
      <c r="C122" s="176">
        <v>187.74838709677417</v>
      </c>
      <c r="D122" s="176">
        <v>1.8802860252007836</v>
      </c>
      <c r="E122" s="176">
        <v>203.34838709677422</v>
      </c>
      <c r="F122" s="176">
        <v>1.6403134439058054</v>
      </c>
      <c r="G122" s="176">
        <v>149.19354838709677</v>
      </c>
      <c r="H122" s="176">
        <v>4.0885221305326125</v>
      </c>
      <c r="I122" s="176" t="s">
        <v>2</v>
      </c>
      <c r="J122" s="176" t="s">
        <v>2</v>
      </c>
      <c r="K122" s="176">
        <v>98.616129032258058</v>
      </c>
      <c r="L122" s="176">
        <v>4.5992034707870832</v>
      </c>
    </row>
    <row r="123" spans="1:12" ht="13.5" customHeight="1">
      <c r="A123" s="175"/>
      <c r="B123" s="179"/>
      <c r="C123" s="176"/>
      <c r="D123" s="176"/>
      <c r="E123" s="176"/>
      <c r="F123" s="176"/>
      <c r="G123" s="176"/>
      <c r="H123" s="176"/>
      <c r="I123" s="177"/>
      <c r="J123" s="177"/>
      <c r="K123" s="176"/>
      <c r="L123" s="176"/>
    </row>
    <row r="124" spans="1:12" ht="13.5" customHeight="1">
      <c r="A124" s="175">
        <v>2017</v>
      </c>
      <c r="B124" s="179" t="s">
        <v>3</v>
      </c>
      <c r="C124" s="176">
        <v>197.19999999999996</v>
      </c>
      <c r="D124" s="176">
        <v>5.0341912649049858</v>
      </c>
      <c r="E124" s="176">
        <v>212.80000000000004</v>
      </c>
      <c r="F124" s="176">
        <v>4.6479901012087987</v>
      </c>
      <c r="G124" s="176">
        <v>152.48387096774192</v>
      </c>
      <c r="H124" s="176">
        <v>2.2054054054053918</v>
      </c>
      <c r="I124" s="177" t="s">
        <v>2</v>
      </c>
      <c r="J124" s="177" t="s">
        <v>2</v>
      </c>
      <c r="K124" s="176">
        <v>104.47419354838711</v>
      </c>
      <c r="L124" s="176">
        <v>5.9402701907036226</v>
      </c>
    </row>
    <row r="125" spans="1:12" ht="13.5" customHeight="1">
      <c r="A125" s="175"/>
      <c r="B125" s="179" t="s">
        <v>4</v>
      </c>
      <c r="C125" s="176">
        <v>197.98571428571427</v>
      </c>
      <c r="D125" s="176">
        <v>0.39843523616343024</v>
      </c>
      <c r="E125" s="176">
        <v>213.58571428571432</v>
      </c>
      <c r="F125" s="176">
        <v>0.3692266380236342</v>
      </c>
      <c r="G125" s="176">
        <v>152.42857142857142</v>
      </c>
      <c r="H125" s="176">
        <v>-3.6265828523074362E-2</v>
      </c>
      <c r="I125" s="177" t="s">
        <v>2</v>
      </c>
      <c r="J125" s="177" t="s">
        <v>2</v>
      </c>
      <c r="K125" s="176">
        <v>108.64285714285714</v>
      </c>
      <c r="L125" s="176">
        <v>3.9901371361525051</v>
      </c>
    </row>
    <row r="126" spans="1:12" ht="13.5" customHeight="1">
      <c r="A126" s="175"/>
      <c r="B126" s="179" t="s">
        <v>5</v>
      </c>
      <c r="C126" s="176">
        <v>197.79677419354834</v>
      </c>
      <c r="D126" s="176">
        <v>-9.5431174338800329E-2</v>
      </c>
      <c r="E126" s="176">
        <v>213.17096774193553</v>
      </c>
      <c r="F126" s="176">
        <v>-0.19418271730663461</v>
      </c>
      <c r="G126" s="176">
        <v>151.29032258064515</v>
      </c>
      <c r="H126" s="176">
        <v>-0.7467424494361663</v>
      </c>
      <c r="I126" s="177" t="s">
        <v>2</v>
      </c>
      <c r="J126" s="177" t="s">
        <v>2</v>
      </c>
      <c r="K126" s="176">
        <v>102.04838709677421</v>
      </c>
      <c r="L126" s="176">
        <v>-6.0698606604313703</v>
      </c>
    </row>
    <row r="127" spans="1:12" ht="13.5" customHeight="1">
      <c r="A127" s="175"/>
      <c r="B127" s="179" t="s">
        <v>6</v>
      </c>
      <c r="C127" s="176">
        <v>202.44999999999996</v>
      </c>
      <c r="D127" s="176">
        <v>2.352528662524267</v>
      </c>
      <c r="E127" s="176">
        <v>218.55</v>
      </c>
      <c r="F127" s="176">
        <v>2.5233418579664768</v>
      </c>
      <c r="G127" s="176">
        <v>151.9</v>
      </c>
      <c r="H127" s="176">
        <v>0.4029850746268826</v>
      </c>
      <c r="I127" s="177" t="s">
        <v>2</v>
      </c>
      <c r="J127" s="177" t="s">
        <v>2</v>
      </c>
      <c r="K127" s="176">
        <v>99.8</v>
      </c>
      <c r="L127" s="176">
        <v>-2.2032558874664265</v>
      </c>
    </row>
    <row r="128" spans="1:12" ht="13.5" customHeight="1">
      <c r="A128" s="175"/>
      <c r="B128" s="179" t="s">
        <v>7</v>
      </c>
      <c r="C128" s="176">
        <v>198.15161290322578</v>
      </c>
      <c r="D128" s="176">
        <v>-2.1231845377990499</v>
      </c>
      <c r="E128" s="176">
        <v>213.6387096774194</v>
      </c>
      <c r="F128" s="176">
        <v>-2.2472158877056114</v>
      </c>
      <c r="G128" s="176">
        <v>143.45161290322579</v>
      </c>
      <c r="H128" s="176">
        <v>-5.5618084903056086</v>
      </c>
      <c r="I128" s="177" t="s">
        <v>2</v>
      </c>
      <c r="J128" s="177" t="s">
        <v>2</v>
      </c>
      <c r="K128" s="176">
        <v>99.903225806451616</v>
      </c>
      <c r="L128" s="176">
        <v>0.10343267179520055</v>
      </c>
    </row>
    <row r="129" spans="1:12" ht="13.5" customHeight="1">
      <c r="A129" s="175"/>
      <c r="B129" s="179" t="s">
        <v>8</v>
      </c>
      <c r="C129" s="176">
        <v>196.21666666666664</v>
      </c>
      <c r="D129" s="176">
        <v>-0.97649784839457521</v>
      </c>
      <c r="E129" s="176">
        <v>211.43333333333337</v>
      </c>
      <c r="F129" s="176">
        <v>-1.0322924845483361</v>
      </c>
      <c r="G129" s="176">
        <v>140.16666666666666</v>
      </c>
      <c r="H129" s="176">
        <v>-2.2899332883591916</v>
      </c>
      <c r="I129" s="177" t="s">
        <v>2</v>
      </c>
      <c r="J129" s="177" t="s">
        <v>2</v>
      </c>
      <c r="K129" s="176">
        <v>99.016666666666666</v>
      </c>
      <c r="L129" s="176">
        <v>-0.88741793133140234</v>
      </c>
    </row>
    <row r="130" spans="1:12" ht="13.5" customHeight="1">
      <c r="A130" s="175"/>
      <c r="B130" s="179" t="s">
        <v>9</v>
      </c>
      <c r="C130" s="176">
        <v>192.49032258064511</v>
      </c>
      <c r="D130" s="176">
        <v>-1.8990966207533488</v>
      </c>
      <c r="E130" s="176">
        <v>205.81612903225809</v>
      </c>
      <c r="F130" s="176">
        <v>-2.6567259819053834</v>
      </c>
      <c r="G130" s="176">
        <v>142.25806451612902</v>
      </c>
      <c r="H130" s="176">
        <v>1.4920793218518691</v>
      </c>
      <c r="I130" s="177" t="s">
        <v>2</v>
      </c>
      <c r="J130" s="177" t="s">
        <v>2</v>
      </c>
      <c r="K130" s="176">
        <v>98.887096774193537</v>
      </c>
      <c r="L130" s="176">
        <v>-0.13085664952681153</v>
      </c>
    </row>
    <row r="131" spans="1:12" ht="13.5" customHeight="1">
      <c r="A131" s="175"/>
      <c r="B131" s="179" t="s">
        <v>10</v>
      </c>
      <c r="C131" s="176">
        <v>196.99032258064511</v>
      </c>
      <c r="D131" s="176">
        <v>2.3377798632524538</v>
      </c>
      <c r="E131" s="176">
        <v>210.96129032258068</v>
      </c>
      <c r="F131" s="176">
        <v>2.499882450668478</v>
      </c>
      <c r="G131" s="176">
        <v>149.61290322580646</v>
      </c>
      <c r="H131" s="176">
        <v>5.1700680272108945</v>
      </c>
      <c r="I131" s="177" t="s">
        <v>2</v>
      </c>
      <c r="J131" s="177" t="s">
        <v>2</v>
      </c>
      <c r="K131" s="176">
        <v>105.75483870967741</v>
      </c>
      <c r="L131" s="176">
        <v>6.9450334366335076</v>
      </c>
    </row>
    <row r="132" spans="1:12" ht="13.5" customHeight="1">
      <c r="A132" s="175"/>
      <c r="B132" s="179" t="s">
        <v>11</v>
      </c>
      <c r="C132" s="176">
        <v>203.59999999999997</v>
      </c>
      <c r="D132" s="176">
        <v>3.3553310298524597</v>
      </c>
      <c r="E132" s="176">
        <v>217.916666666667</v>
      </c>
      <c r="F132" s="176">
        <v>3.296991753060885</v>
      </c>
      <c r="G132" s="176">
        <v>156.03333333333299</v>
      </c>
      <c r="H132" s="176">
        <v>4.2913612189159567</v>
      </c>
      <c r="I132" s="177" t="s">
        <v>2</v>
      </c>
      <c r="J132" s="177" t="s">
        <v>2</v>
      </c>
      <c r="K132" s="176">
        <v>110.55</v>
      </c>
      <c r="L132" s="176">
        <v>4.5342240117130395</v>
      </c>
    </row>
    <row r="133" spans="1:12" ht="13.5" customHeight="1">
      <c r="A133" s="175"/>
      <c r="B133" s="179" t="s">
        <v>12</v>
      </c>
      <c r="C133" s="176">
        <v>198.53870967741932</v>
      </c>
      <c r="D133" s="176">
        <v>-2.485898979656509</v>
      </c>
      <c r="E133" s="176">
        <v>212.54193548387101</v>
      </c>
      <c r="F133" s="176">
        <v>-2.4664158391415558</v>
      </c>
      <c r="G133" s="176">
        <v>156.33870967741936</v>
      </c>
      <c r="H133" s="176">
        <v>0.19571224786565367</v>
      </c>
      <c r="I133" s="177" t="s">
        <v>2</v>
      </c>
      <c r="J133" s="177" t="s">
        <v>2</v>
      </c>
      <c r="K133" s="176">
        <v>114.68709677419353</v>
      </c>
      <c r="L133" s="176">
        <v>3.7422856392524073</v>
      </c>
    </row>
    <row r="134" spans="1:12" ht="13.5" customHeight="1">
      <c r="A134" s="175"/>
      <c r="B134" s="179" t="s">
        <v>13</v>
      </c>
      <c r="C134" s="176">
        <v>205.59999999999997</v>
      </c>
      <c r="D134" s="176">
        <v>3.5566315173769736</v>
      </c>
      <c r="E134" s="176">
        <v>221.73333333333338</v>
      </c>
      <c r="F134" s="176">
        <v>4.3245102800712365</v>
      </c>
      <c r="G134" s="176">
        <v>165.33333333333334</v>
      </c>
      <c r="H134" s="176">
        <v>5.7532927542212731</v>
      </c>
      <c r="I134" s="177" t="s">
        <v>2</v>
      </c>
      <c r="J134" s="177" t="s">
        <v>2</v>
      </c>
      <c r="K134" s="176">
        <v>117.63333333333334</v>
      </c>
      <c r="L134" s="176">
        <v>2.5689346421774228</v>
      </c>
    </row>
    <row r="135" spans="1:12" ht="13.5" customHeight="1">
      <c r="A135" s="181"/>
      <c r="B135" s="181" t="s">
        <v>14</v>
      </c>
      <c r="C135" s="182">
        <v>207.21612903225804</v>
      </c>
      <c r="D135" s="182">
        <v>0.78605497677921576</v>
      </c>
      <c r="E135" s="182">
        <v>220.70322580645166</v>
      </c>
      <c r="F135" s="182">
        <v>-0.46457044206932308</v>
      </c>
      <c r="G135" s="182">
        <v>167.43548387096774</v>
      </c>
      <c r="H135" s="182">
        <v>1.2714620187304737</v>
      </c>
      <c r="I135" s="182" t="s">
        <v>2</v>
      </c>
      <c r="J135" s="182" t="s">
        <v>2</v>
      </c>
      <c r="K135" s="182">
        <v>117.78387096774193</v>
      </c>
      <c r="L135" s="182">
        <v>0.1279719193045592</v>
      </c>
    </row>
    <row r="136" spans="1:12" ht="13.5" customHeight="1">
      <c r="A136" s="175"/>
      <c r="B136" s="179"/>
      <c r="C136" s="176"/>
      <c r="D136" s="176"/>
      <c r="E136" s="176"/>
      <c r="F136" s="176"/>
      <c r="G136" s="176"/>
      <c r="H136" s="176"/>
      <c r="I136" s="177"/>
      <c r="J136" s="177"/>
      <c r="K136" s="176"/>
      <c r="L136" s="176"/>
    </row>
    <row r="137" spans="1:12" ht="13.5" customHeight="1">
      <c r="A137" s="175">
        <v>2018</v>
      </c>
      <c r="B137" s="179" t="s">
        <v>3</v>
      </c>
      <c r="C137" s="176">
        <v>213.74838709677417</v>
      </c>
      <c r="D137" s="176">
        <v>3.1523888101872677</v>
      </c>
      <c r="E137" s="176">
        <v>229.52580645161294</v>
      </c>
      <c r="F137" s="176">
        <v>3.9974860416849278</v>
      </c>
      <c r="G137" s="176">
        <v>175.40322580645162</v>
      </c>
      <c r="H137" s="176">
        <v>4.7586937674597873</v>
      </c>
      <c r="I137" s="177" t="s">
        <v>2</v>
      </c>
      <c r="J137" s="177" t="s">
        <v>2</v>
      </c>
      <c r="K137" s="176">
        <v>116.9774193548387</v>
      </c>
      <c r="L137" s="176">
        <v>-0.55759193411275554</v>
      </c>
    </row>
    <row r="138" spans="1:12" ht="13.5" customHeight="1">
      <c r="A138" s="175"/>
      <c r="B138" s="179" t="s">
        <v>4</v>
      </c>
      <c r="C138" s="176">
        <v>214.59285714285713</v>
      </c>
      <c r="D138" s="176">
        <v>0.395076686918161</v>
      </c>
      <c r="E138" s="176">
        <v>229.76428571428573</v>
      </c>
      <c r="F138" s="176">
        <v>0.10390084947726752</v>
      </c>
      <c r="G138" s="176">
        <v>172.21428571428572</v>
      </c>
      <c r="H138" s="176">
        <v>-1.8180623973727439</v>
      </c>
      <c r="I138" s="177" t="s">
        <v>2</v>
      </c>
      <c r="J138" s="177" t="s">
        <v>2</v>
      </c>
      <c r="K138" s="176">
        <v>112.87142857142857</v>
      </c>
      <c r="L138" s="176">
        <v>-3.5100712650832588</v>
      </c>
    </row>
    <row r="139" spans="1:12" ht="13.5" customHeight="1">
      <c r="A139" s="175"/>
      <c r="B139" s="179" t="s">
        <v>5</v>
      </c>
      <c r="C139" s="176">
        <v>215.84516129032255</v>
      </c>
      <c r="D139" s="176">
        <v>0.58357214873734353</v>
      </c>
      <c r="E139" s="176">
        <v>229.78387096774196</v>
      </c>
      <c r="F139" s="176">
        <v>8.524063431059048E-3</v>
      </c>
      <c r="G139" s="176">
        <v>172.7258064516129</v>
      </c>
      <c r="H139" s="176">
        <v>0.29702572885028644</v>
      </c>
      <c r="I139" s="177" t="s">
        <v>2</v>
      </c>
      <c r="J139" s="177" t="s">
        <v>2</v>
      </c>
      <c r="K139" s="176">
        <v>112.42903225806452</v>
      </c>
      <c r="L139" s="176">
        <v>-0.39194711980107266</v>
      </c>
    </row>
    <row r="140" spans="1:12" ht="13.5" customHeight="1">
      <c r="A140" s="175"/>
      <c r="B140" s="179" t="s">
        <v>6</v>
      </c>
      <c r="C140" s="176">
        <v>225.03333333333327</v>
      </c>
      <c r="D140" s="176">
        <v>4.2568348477602269</v>
      </c>
      <c r="E140" s="176">
        <v>238.56666666666672</v>
      </c>
      <c r="F140" s="176">
        <v>3.8221985128615632</v>
      </c>
      <c r="G140" s="176">
        <v>183.53333333333333</v>
      </c>
      <c r="H140" s="176">
        <v>6.2570423631213679</v>
      </c>
      <c r="I140" s="177" t="s">
        <v>2</v>
      </c>
      <c r="J140" s="177" t="s">
        <v>2</v>
      </c>
      <c r="K140" s="176">
        <v>111.7</v>
      </c>
      <c r="L140" s="176">
        <v>-0.64843772415574819</v>
      </c>
    </row>
    <row r="141" spans="1:12" ht="13.5" customHeight="1">
      <c r="A141" s="175"/>
      <c r="B141" s="179" t="s">
        <v>7</v>
      </c>
      <c r="C141" s="176">
        <v>230.07096774193545</v>
      </c>
      <c r="D141" s="176">
        <v>2.2386169790855392</v>
      </c>
      <c r="E141" s="176">
        <v>244.46129032258068</v>
      </c>
      <c r="F141" s="176">
        <v>2.4708496531705926</v>
      </c>
      <c r="G141" s="176">
        <v>187.14516129032259</v>
      </c>
      <c r="H141" s="176">
        <v>1.9679411316686934</v>
      </c>
      <c r="I141" s="177" t="s">
        <v>2</v>
      </c>
      <c r="J141" s="177" t="s">
        <v>2</v>
      </c>
      <c r="K141" s="176">
        <v>117.36451612903225</v>
      </c>
      <c r="L141" s="176">
        <v>5.0711872238426547</v>
      </c>
    </row>
    <row r="142" spans="1:12" ht="13.5" customHeight="1">
      <c r="A142" s="175"/>
      <c r="B142" s="179" t="s">
        <v>8</v>
      </c>
      <c r="C142" s="176">
        <v>226.36666666666665</v>
      </c>
      <c r="D142" s="176">
        <v>-1.6100688894497228</v>
      </c>
      <c r="E142" s="176">
        <v>241.00000000000003</v>
      </c>
      <c r="F142" s="176">
        <v>-1.4158848290513726</v>
      </c>
      <c r="G142" s="176">
        <v>186.06666666666666</v>
      </c>
      <c r="H142" s="176">
        <v>-0.57628774167600705</v>
      </c>
      <c r="I142" s="177" t="s">
        <v>2</v>
      </c>
      <c r="J142" s="177" t="s">
        <v>2</v>
      </c>
      <c r="K142" s="176">
        <v>117.83333333333333</v>
      </c>
      <c r="L142" s="176">
        <v>0.39945395743432588</v>
      </c>
    </row>
    <row r="143" spans="1:12" ht="13.5" customHeight="1">
      <c r="A143" s="175"/>
      <c r="B143" s="179" t="s">
        <v>9</v>
      </c>
      <c r="C143" s="176">
        <v>226.07096774193545</v>
      </c>
      <c r="D143" s="176">
        <v>-0.13062829836454348</v>
      </c>
      <c r="E143" s="176">
        <v>240.49354838709681</v>
      </c>
      <c r="F143" s="176">
        <v>-0.21014589747021528</v>
      </c>
      <c r="G143" s="176">
        <v>184.79032258064515</v>
      </c>
      <c r="H143" s="176">
        <v>-0.68596063383455919</v>
      </c>
      <c r="I143" s="177" t="s">
        <v>2</v>
      </c>
      <c r="J143" s="177" t="s">
        <v>2</v>
      </c>
      <c r="K143" s="176">
        <v>120.13870967741936</v>
      </c>
      <c r="L143" s="176">
        <v>1.9564721449103484</v>
      </c>
    </row>
    <row r="144" spans="1:12" ht="13.5" customHeight="1">
      <c r="A144" s="175"/>
      <c r="B144" s="179" t="s">
        <v>10</v>
      </c>
      <c r="C144" s="176">
        <v>227.10322580645158</v>
      </c>
      <c r="D144" s="176">
        <v>0.45660797351674276</v>
      </c>
      <c r="E144" s="176">
        <v>241.30000000000004</v>
      </c>
      <c r="F144" s="176">
        <v>0.33533191152603781</v>
      </c>
      <c r="G144" s="176">
        <v>186.08064516129033</v>
      </c>
      <c r="H144" s="176">
        <v>0.69826307061187087</v>
      </c>
      <c r="I144" s="177" t="s">
        <v>2</v>
      </c>
      <c r="J144" s="177" t="s">
        <v>2</v>
      </c>
      <c r="K144" s="176">
        <v>122.62258064516131</v>
      </c>
      <c r="L144" s="176">
        <v>2.0675026179416411</v>
      </c>
    </row>
    <row r="145" spans="1:12" ht="13.5" customHeight="1">
      <c r="A145" s="175"/>
      <c r="B145" s="179" t="s">
        <v>11</v>
      </c>
      <c r="C145" s="176">
        <v>231.1333333333333</v>
      </c>
      <c r="D145" s="176">
        <v>1.7745707981780878</v>
      </c>
      <c r="E145" s="176">
        <v>241.90666666666667</v>
      </c>
      <c r="F145" s="176">
        <v>0.25141594142836787</v>
      </c>
      <c r="G145" s="176">
        <v>194.19666666666672</v>
      </c>
      <c r="H145" s="176">
        <v>4.3615613533269926</v>
      </c>
      <c r="I145" s="177" t="s">
        <v>2</v>
      </c>
      <c r="J145" s="177" t="s">
        <v>2</v>
      </c>
      <c r="K145" s="176">
        <v>127.06333333333335</v>
      </c>
      <c r="L145" s="176">
        <v>3.6214803707503629</v>
      </c>
    </row>
    <row r="146" spans="1:12" ht="13.5" customHeight="1">
      <c r="A146" s="175"/>
      <c r="B146" s="179" t="s">
        <v>12</v>
      </c>
      <c r="C146" s="176">
        <v>229.32903225806447</v>
      </c>
      <c r="D146" s="176">
        <v>-0.78063213524754982</v>
      </c>
      <c r="E146" s="176">
        <v>240.03870967741935</v>
      </c>
      <c r="F146" s="176">
        <v>-0.77218086420960397</v>
      </c>
      <c r="G146" s="176">
        <v>193.80000000000004</v>
      </c>
      <c r="H146" s="176">
        <v>-0.20426028596440826</v>
      </c>
      <c r="I146" s="177" t="s">
        <v>2</v>
      </c>
      <c r="J146" s="177" t="s">
        <v>2</v>
      </c>
      <c r="K146" s="176">
        <v>126.21290322580646</v>
      </c>
      <c r="L146" s="176">
        <v>-0.66929623615012979</v>
      </c>
    </row>
    <row r="147" spans="1:12" ht="13.5" customHeight="1">
      <c r="A147" s="175"/>
      <c r="B147" s="179" t="s">
        <v>13</v>
      </c>
      <c r="C147" s="176">
        <v>216.4</v>
      </c>
      <c r="D147" s="176">
        <v>-5.6377651493838776</v>
      </c>
      <c r="E147" s="176">
        <v>228.04333333333335</v>
      </c>
      <c r="F147" s="176">
        <v>-4.9972674658209204</v>
      </c>
      <c r="G147" s="176">
        <v>192.09666666666669</v>
      </c>
      <c r="H147" s="176">
        <v>-0.8789129686962549</v>
      </c>
      <c r="I147" s="177" t="s">
        <v>2</v>
      </c>
      <c r="J147" s="177" t="s">
        <v>2</v>
      </c>
      <c r="K147" s="176">
        <v>114.75333333333333</v>
      </c>
      <c r="L147" s="176">
        <v>-9.0795549421527113</v>
      </c>
    </row>
    <row r="148" spans="1:12" ht="13.5" customHeight="1">
      <c r="A148" s="175"/>
      <c r="B148" s="179" t="s">
        <v>14</v>
      </c>
      <c r="C148" s="176">
        <v>199.69999999999996</v>
      </c>
      <c r="D148" s="176">
        <v>-7.7171903881700814</v>
      </c>
      <c r="E148" s="176">
        <v>213.32903225806447</v>
      </c>
      <c r="F148" s="176">
        <v>-6.452414486399749</v>
      </c>
      <c r="G148" s="176">
        <v>172.57419354838711</v>
      </c>
      <c r="H148" s="176">
        <v>-10.162838042450629</v>
      </c>
      <c r="I148" s="177" t="s">
        <v>2</v>
      </c>
      <c r="J148" s="177" t="s">
        <v>2</v>
      </c>
      <c r="K148" s="176">
        <v>106.63225806451612</v>
      </c>
      <c r="L148" s="176">
        <v>-7.0769841998639453</v>
      </c>
    </row>
    <row r="149" spans="1:12" ht="13.5" customHeight="1">
      <c r="A149" s="175"/>
      <c r="B149" s="179"/>
      <c r="C149" s="176"/>
      <c r="D149" s="176"/>
      <c r="E149" s="176"/>
      <c r="F149" s="176"/>
      <c r="G149" s="176"/>
      <c r="H149" s="176"/>
      <c r="I149" s="177"/>
      <c r="J149" s="177"/>
      <c r="K149" s="176"/>
      <c r="L149" s="176"/>
    </row>
    <row r="150" spans="1:12" ht="13.5" customHeight="1">
      <c r="A150" s="175">
        <v>2019</v>
      </c>
      <c r="B150" s="179" t="s">
        <v>3</v>
      </c>
      <c r="C150" s="176">
        <v>193.79032258064515</v>
      </c>
      <c r="D150" s="176">
        <v>-2.9592776261165743</v>
      </c>
      <c r="E150" s="176">
        <v>209.55483870967745</v>
      </c>
      <c r="F150" s="176">
        <v>-1.7691888949373569</v>
      </c>
      <c r="G150" s="176">
        <v>167.03225806451613</v>
      </c>
      <c r="H150" s="176">
        <v>-3.2113350031776955</v>
      </c>
      <c r="I150" s="177" t="s">
        <v>2</v>
      </c>
      <c r="J150" s="177" t="s">
        <v>2</v>
      </c>
      <c r="K150" s="176">
        <v>104.36774193548388</v>
      </c>
      <c r="L150" s="176">
        <v>-2.1236689254598096</v>
      </c>
    </row>
    <row r="151" spans="1:12" ht="13.5" customHeight="1">
      <c r="A151" s="175"/>
      <c r="B151" s="179" t="s">
        <v>4</v>
      </c>
      <c r="C151" s="176">
        <v>199.42857142857099</v>
      </c>
      <c r="D151" s="176">
        <v>2.9094584150761715</v>
      </c>
      <c r="E151" s="176">
        <v>215.46071428571426</v>
      </c>
      <c r="F151" s="176">
        <v>2.8182959708312749</v>
      </c>
      <c r="G151" s="176">
        <v>173.97142857142856</v>
      </c>
      <c r="H151" s="176">
        <v>4.1543894498703215</v>
      </c>
      <c r="I151" s="177" t="s">
        <v>2</v>
      </c>
      <c r="J151" s="177" t="s">
        <v>2</v>
      </c>
      <c r="K151" s="176">
        <v>105.42142857142856</v>
      </c>
      <c r="L151" s="176">
        <v>1.009590335485111</v>
      </c>
    </row>
    <row r="152" spans="1:12" ht="13.5" customHeight="1">
      <c r="A152" s="175"/>
      <c r="B152" s="179" t="s">
        <v>5</v>
      </c>
      <c r="C152" s="176">
        <v>212.95806451612901</v>
      </c>
      <c r="D152" s="176">
        <v>6.7841297716981552</v>
      </c>
      <c r="E152" s="176">
        <v>228.47096774193548</v>
      </c>
      <c r="F152" s="176">
        <v>6.0383413743671177</v>
      </c>
      <c r="G152" s="176">
        <v>180.26774193548385</v>
      </c>
      <c r="H152" s="176">
        <v>3.6191651788788803</v>
      </c>
      <c r="I152" s="177" t="s">
        <v>2</v>
      </c>
      <c r="J152" s="177" t="s">
        <v>2</v>
      </c>
      <c r="K152" s="176">
        <v>105.95806451612904</v>
      </c>
      <c r="L152" s="176">
        <v>0.50903877131287523</v>
      </c>
    </row>
    <row r="153" spans="1:12" ht="13.5" customHeight="1">
      <c r="A153" s="175"/>
      <c r="B153" s="179" t="s">
        <v>6</v>
      </c>
      <c r="C153" s="176">
        <v>224.963333333333</v>
      </c>
      <c r="D153" s="176">
        <v>5.6373863297835891</v>
      </c>
      <c r="E153" s="176">
        <v>239.41</v>
      </c>
      <c r="F153" s="176">
        <v>4.7879309857961738</v>
      </c>
      <c r="G153" s="176">
        <v>180.62666666666664</v>
      </c>
      <c r="H153" s="176">
        <v>0.19910646648653163</v>
      </c>
      <c r="I153" s="177" t="s">
        <v>2</v>
      </c>
      <c r="J153" s="177" t="s">
        <v>2</v>
      </c>
      <c r="K153" s="176">
        <v>103.15333333333332</v>
      </c>
      <c r="L153" s="176">
        <v>-2.6470200221227924</v>
      </c>
    </row>
    <row r="154" spans="1:12" ht="13.5" customHeight="1">
      <c r="A154" s="175"/>
      <c r="B154" s="179" t="s">
        <v>7</v>
      </c>
      <c r="C154" s="176">
        <v>226.54193548387099</v>
      </c>
      <c r="D154" s="176">
        <v>0.7017153094006412</v>
      </c>
      <c r="E154" s="176">
        <v>240.56451612903226</v>
      </c>
      <c r="F154" s="176">
        <v>0.482233878715288</v>
      </c>
      <c r="G154" s="176">
        <v>184.10000000000002</v>
      </c>
      <c r="H154" s="176">
        <v>1.9229349671514351</v>
      </c>
      <c r="I154" s="176">
        <v>197.4225806451613</v>
      </c>
      <c r="J154" s="176" t="s">
        <v>2</v>
      </c>
      <c r="K154" s="176">
        <v>101.78387096774193</v>
      </c>
      <c r="L154" s="176">
        <v>-1.3275987516235266</v>
      </c>
    </row>
    <row r="155" spans="1:12" ht="13.5" customHeight="1">
      <c r="A155" s="175"/>
      <c r="B155" s="179" t="s">
        <v>8</v>
      </c>
      <c r="C155" s="176">
        <v>214.28</v>
      </c>
      <c r="D155" s="176">
        <v>-5.4126559207153928</v>
      </c>
      <c r="E155" s="176">
        <v>228.4966666666667</v>
      </c>
      <c r="F155" s="176">
        <v>-5.0164711140909475</v>
      </c>
      <c r="G155" s="176">
        <v>174.32666666666668</v>
      </c>
      <c r="H155" s="176">
        <v>-5.3087090349447807</v>
      </c>
      <c r="I155" s="176">
        <v>188.66666666666666</v>
      </c>
      <c r="J155" s="176">
        <v>-4.4351127160231707</v>
      </c>
      <c r="K155" s="176">
        <v>93.816666666666663</v>
      </c>
      <c r="L155" s="176">
        <v>-7.8275705426847919</v>
      </c>
    </row>
    <row r="156" spans="1:12" ht="13.5" customHeight="1">
      <c r="A156" s="175"/>
      <c r="B156" s="179" t="s">
        <v>9</v>
      </c>
      <c r="C156" s="176">
        <v>213.751612903226</v>
      </c>
      <c r="D156" s="176">
        <v>-0.24658722082041562</v>
      </c>
      <c r="E156" s="176">
        <v>227.96451612903226</v>
      </c>
      <c r="F156" s="176">
        <v>-0.23289203531828839</v>
      </c>
      <c r="G156" s="176">
        <v>174.46774193548387</v>
      </c>
      <c r="H156" s="176">
        <v>8.0925811016019367E-2</v>
      </c>
      <c r="I156" s="176">
        <v>188.34516129032255</v>
      </c>
      <c r="J156" s="176">
        <v>-0.17040921007638321</v>
      </c>
      <c r="K156" s="176">
        <v>91.616129032258058</v>
      </c>
      <c r="L156" s="176">
        <v>-2.3455721809294117</v>
      </c>
    </row>
    <row r="157" spans="1:12" ht="13.5" customHeight="1">
      <c r="A157" s="175"/>
      <c r="B157" s="179" t="s">
        <v>10</v>
      </c>
      <c r="C157" s="176">
        <v>213.83548387096801</v>
      </c>
      <c r="D157" s="176">
        <v>3.9237583568541012E-2</v>
      </c>
      <c r="E157" s="176">
        <v>228.70645161290321</v>
      </c>
      <c r="F157" s="176">
        <v>0.32546095176102519</v>
      </c>
      <c r="G157" s="176">
        <v>175.88387096774196</v>
      </c>
      <c r="H157" s="176">
        <v>0.8116853101599375</v>
      </c>
      <c r="I157" s="176">
        <v>187.92580645161289</v>
      </c>
      <c r="J157" s="176">
        <v>-0.22265230273861292</v>
      </c>
      <c r="K157" s="176">
        <v>91.548387096774206</v>
      </c>
      <c r="L157" s="176">
        <v>-7.3941058413418137E-2</v>
      </c>
    </row>
    <row r="158" spans="1:12" ht="13.5" customHeight="1">
      <c r="A158" s="175"/>
      <c r="B158" s="179" t="s">
        <v>11</v>
      </c>
      <c r="C158" s="176">
        <v>210.42333333333301</v>
      </c>
      <c r="D158" s="176">
        <v>-1.5956895814793537</v>
      </c>
      <c r="E158" s="176">
        <v>225.22333333333333</v>
      </c>
      <c r="F158" s="176">
        <v>-1.5229645928245272</v>
      </c>
      <c r="G158" s="176">
        <v>177.21666666666667</v>
      </c>
      <c r="H158" s="176">
        <v>0.75777027853176637</v>
      </c>
      <c r="I158" s="176">
        <v>188.98999999999998</v>
      </c>
      <c r="J158" s="176">
        <v>0.56628388004875685</v>
      </c>
      <c r="K158" s="176">
        <v>93.11</v>
      </c>
      <c r="L158" s="176">
        <v>1.705778717406603</v>
      </c>
    </row>
    <row r="159" spans="1:12" ht="13.5" customHeight="1">
      <c r="A159" s="175"/>
      <c r="B159" s="179" t="s">
        <v>12</v>
      </c>
      <c r="C159" s="176">
        <v>212.92903225806401</v>
      </c>
      <c r="D159" s="176">
        <v>1.1907894837697164</v>
      </c>
      <c r="E159" s="176">
        <v>227.53548387096777</v>
      </c>
      <c r="F159" s="176">
        <v>1.0266034621787767</v>
      </c>
      <c r="G159" s="176">
        <v>181.97741935483867</v>
      </c>
      <c r="H159" s="176">
        <v>2.6864023444965746</v>
      </c>
      <c r="I159" s="176">
        <v>194.21612903225807</v>
      </c>
      <c r="J159" s="176">
        <v>2.7652939479644978</v>
      </c>
      <c r="K159" s="176">
        <v>95.832258064516125</v>
      </c>
      <c r="L159" s="176">
        <v>2.9237010681088194</v>
      </c>
    </row>
    <row r="160" spans="1:12" ht="13.5" customHeight="1">
      <c r="A160" s="175"/>
      <c r="B160" s="179" t="s">
        <v>13</v>
      </c>
      <c r="C160" s="176">
        <v>214.37666666666701</v>
      </c>
      <c r="D160" s="176">
        <v>0.67986708681815333</v>
      </c>
      <c r="E160" s="176">
        <v>228.756666666667</v>
      </c>
      <c r="F160" s="176">
        <v>0.5366999357303559</v>
      </c>
      <c r="G160" s="176">
        <v>180.37</v>
      </c>
      <c r="H160" s="176">
        <v>-0.88330703915762143</v>
      </c>
      <c r="I160" s="176">
        <v>192.96</v>
      </c>
      <c r="J160" s="176">
        <v>-0.64676864816383128</v>
      </c>
      <c r="K160" s="176">
        <v>99.9</v>
      </c>
      <c r="L160" s="176">
        <v>4.2446479062878684</v>
      </c>
    </row>
    <row r="161" spans="1:12" ht="13.5" customHeight="1">
      <c r="A161" s="175"/>
      <c r="B161" s="179" t="s">
        <v>14</v>
      </c>
      <c r="C161" s="176">
        <v>214.11290322580643</v>
      </c>
      <c r="D161" s="176">
        <v>-0.12303738320117441</v>
      </c>
      <c r="E161" s="176">
        <v>228.91290322580645</v>
      </c>
      <c r="F161" s="176">
        <v>6.8298144668754723E-2</v>
      </c>
      <c r="G161" s="176">
        <v>180.85483870967741</v>
      </c>
      <c r="H161" s="176">
        <v>0.26880230064723065</v>
      </c>
      <c r="I161" s="176">
        <v>193.64193548387098</v>
      </c>
      <c r="J161" s="176">
        <v>0.3534076927192098</v>
      </c>
      <c r="K161" s="176">
        <v>101.8225806451613</v>
      </c>
      <c r="L161" s="176">
        <v>1.9245051503115951</v>
      </c>
    </row>
    <row r="162" spans="1:12" ht="13.5" customHeight="1">
      <c r="A162" s="175"/>
      <c r="B162" s="179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</row>
    <row r="163" spans="1:12" ht="13.5" customHeight="1">
      <c r="A163" s="175">
        <v>2020</v>
      </c>
      <c r="B163" s="179" t="s">
        <v>3</v>
      </c>
      <c r="C163" s="176">
        <v>218.26451612903224</v>
      </c>
      <c r="D163" s="176">
        <v>1.9389830508474537</v>
      </c>
      <c r="E163" s="176">
        <v>233.48064516129031</v>
      </c>
      <c r="F163" s="176">
        <v>1.995406056677429</v>
      </c>
      <c r="G163" s="176">
        <v>182.96774193548387</v>
      </c>
      <c r="H163" s="176">
        <v>1.1682868099527344</v>
      </c>
      <c r="I163" s="176">
        <v>195.25483870967741</v>
      </c>
      <c r="J163" s="176">
        <v>0.83293075013741724</v>
      </c>
      <c r="K163" s="176">
        <v>97.470967741935482</v>
      </c>
      <c r="L163" s="176">
        <v>-4.2737208933945947</v>
      </c>
    </row>
    <row r="164" spans="1:12" ht="13.5" customHeight="1">
      <c r="A164" s="175"/>
      <c r="B164" s="179" t="s">
        <v>4</v>
      </c>
      <c r="C164" s="176">
        <v>209.0344827586207</v>
      </c>
      <c r="D164" s="176">
        <v>-4.2288290987963384</v>
      </c>
      <c r="E164" s="176">
        <v>225.10344827586206</v>
      </c>
      <c r="F164" s="176">
        <v>-3.5879620255637068</v>
      </c>
      <c r="G164" s="176">
        <v>168.6793103448276</v>
      </c>
      <c r="H164" s="176">
        <v>-7.8092626817761746</v>
      </c>
      <c r="I164" s="176">
        <v>178.22758620689658</v>
      </c>
      <c r="J164" s="176">
        <v>-8.7205278062780778</v>
      </c>
      <c r="K164" s="176">
        <v>95.213793103448268</v>
      </c>
      <c r="L164" s="176">
        <v>-2.3157404617786481</v>
      </c>
    </row>
    <row r="165" spans="1:12" ht="13.5" customHeight="1">
      <c r="B165" s="168" t="s">
        <v>5</v>
      </c>
      <c r="C165" s="176">
        <v>189.96451612903223</v>
      </c>
      <c r="D165" s="176">
        <v>-9.1228807696810517</v>
      </c>
      <c r="E165" s="176">
        <v>206.15806451612903</v>
      </c>
      <c r="F165" s="176">
        <v>-8.416300996204928</v>
      </c>
      <c r="G165" s="176">
        <v>150.00967741935486</v>
      </c>
      <c r="H165" s="176">
        <v>-11.068122633005073</v>
      </c>
      <c r="I165" s="176">
        <v>161.95161290322579</v>
      </c>
      <c r="J165" s="176">
        <v>-9.1321291221308059</v>
      </c>
      <c r="K165" s="176">
        <v>88.635483870967747</v>
      </c>
      <c r="L165" s="176">
        <v>-6.9089876771669996</v>
      </c>
    </row>
    <row r="166" spans="1:12" ht="13.5" customHeight="1">
      <c r="A166" s="175"/>
      <c r="B166" s="179" t="s">
        <v>6</v>
      </c>
      <c r="C166" s="176">
        <v>155.30666666666664</v>
      </c>
      <c r="D166" s="176">
        <v>-18.244380670979865</v>
      </c>
      <c r="E166" s="176">
        <v>169.73999999999998</v>
      </c>
      <c r="F166" s="176">
        <v>-17.665117589071965</v>
      </c>
      <c r="G166" s="176">
        <v>124.29333333333332</v>
      </c>
      <c r="H166" s="176">
        <v>-17.143123382720848</v>
      </c>
      <c r="I166" s="176">
        <v>139.53666666666669</v>
      </c>
      <c r="J166" s="176">
        <v>-13.840520532483458</v>
      </c>
      <c r="K166" s="176">
        <v>86.86333333333333</v>
      </c>
      <c r="L166" s="176">
        <v>-1.9993691693659055</v>
      </c>
    </row>
    <row r="167" spans="1:12" ht="13.5" customHeight="1">
      <c r="A167" s="175"/>
      <c r="B167" s="179" t="s">
        <v>7</v>
      </c>
      <c r="C167" s="176">
        <v>159.34516129032261</v>
      </c>
      <c r="D167" s="176">
        <v>2.6003356522510179</v>
      </c>
      <c r="E167" s="176">
        <v>174.3</v>
      </c>
      <c r="F167" s="176">
        <v>2.6864616472251912</v>
      </c>
      <c r="G167" s="176">
        <v>113.56451612903226</v>
      </c>
      <c r="H167" s="176">
        <v>-8.6318525029240529</v>
      </c>
      <c r="I167" s="176">
        <v>127.37741935483874</v>
      </c>
      <c r="J167" s="176">
        <v>-8.714015894384719</v>
      </c>
      <c r="K167" s="176">
        <v>92.590322580645164</v>
      </c>
      <c r="L167" s="176">
        <v>6.5931032433844461</v>
      </c>
    </row>
    <row r="168" spans="1:12" ht="13.5" customHeight="1">
      <c r="A168" s="175"/>
      <c r="B168" s="179" t="s">
        <v>8</v>
      </c>
      <c r="C168" s="176">
        <v>181.92666666666665</v>
      </c>
      <c r="D168" s="176">
        <v>14.171440910716537</v>
      </c>
      <c r="E168" s="176">
        <v>196.0033333333333</v>
      </c>
      <c r="F168" s="176">
        <v>12.451711608338091</v>
      </c>
      <c r="G168" s="176">
        <v>135.28666666666669</v>
      </c>
      <c r="H168" s="176">
        <v>19.127586043649124</v>
      </c>
      <c r="I168" s="176">
        <v>147.00666666666666</v>
      </c>
      <c r="J168" s="176">
        <v>15.410303813069248</v>
      </c>
      <c r="K168" s="176">
        <v>103.72666666666666</v>
      </c>
      <c r="L168" s="176">
        <v>12.0275464817847</v>
      </c>
    </row>
    <row r="169" spans="1:12" ht="13.5" customHeight="1">
      <c r="A169" s="175"/>
      <c r="B169" s="179" t="s">
        <v>9</v>
      </c>
      <c r="C169" s="176">
        <v>195.67741935483872</v>
      </c>
      <c r="D169" s="176">
        <v>7.5584041306966609</v>
      </c>
      <c r="E169" s="176">
        <v>206.01935483870966</v>
      </c>
      <c r="F169" s="176">
        <v>5.1101281468221682</v>
      </c>
      <c r="G169" s="176">
        <v>149.87741935483871</v>
      </c>
      <c r="H169" s="176">
        <v>10.78506333822402</v>
      </c>
      <c r="I169" s="176">
        <v>161.46774193548387</v>
      </c>
      <c r="J169" s="176">
        <v>9.8370200459053194</v>
      </c>
      <c r="K169" s="176">
        <v>106.45806451612904</v>
      </c>
      <c r="L169" s="176">
        <v>2.6332648461942165</v>
      </c>
    </row>
    <row r="170" spans="1:12" ht="13.5" customHeight="1">
      <c r="A170" s="175"/>
      <c r="B170" s="179" t="s">
        <v>10</v>
      </c>
      <c r="C170" s="176">
        <v>195.74516129032259</v>
      </c>
      <c r="D170" s="176">
        <v>3.4619188921847233E-2</v>
      </c>
      <c r="E170" s="176">
        <v>205.98064516129031</v>
      </c>
      <c r="F170" s="176">
        <v>-1.8789340181002423E-2</v>
      </c>
      <c r="G170" s="176">
        <v>150.04516129032257</v>
      </c>
      <c r="H170" s="176">
        <v>0.11191941801902416</v>
      </c>
      <c r="I170" s="176">
        <v>163.7161290322581</v>
      </c>
      <c r="J170" s="176">
        <v>1.3924682848866388</v>
      </c>
      <c r="K170" s="176">
        <v>111.49354838709678</v>
      </c>
      <c r="L170" s="176">
        <v>4.7300163626446734</v>
      </c>
    </row>
    <row r="171" spans="1:12" ht="13.5" customHeight="1">
      <c r="A171" s="175"/>
      <c r="B171" s="179" t="s">
        <v>11</v>
      </c>
      <c r="C171" s="176">
        <v>198.3</v>
      </c>
      <c r="D171" s="176">
        <v>1.3051861373411855</v>
      </c>
      <c r="E171" s="176">
        <v>206.90333333333334</v>
      </c>
      <c r="F171" s="176">
        <v>0.44794896691411346</v>
      </c>
      <c r="G171" s="176">
        <v>145.88333333333333</v>
      </c>
      <c r="H171" s="176">
        <v>-2.7737168737727691</v>
      </c>
      <c r="I171" s="176">
        <v>159.58666666666667</v>
      </c>
      <c r="J171" s="176">
        <v>-2.5223308112652498</v>
      </c>
      <c r="K171" s="176">
        <v>112.14666666666668</v>
      </c>
      <c r="L171" s="176">
        <v>0.58579019953901579</v>
      </c>
    </row>
    <row r="172" spans="1:12" ht="13.5" customHeight="1">
      <c r="A172" s="175"/>
      <c r="B172" s="179" t="s">
        <v>12</v>
      </c>
      <c r="C172" s="176">
        <v>197.43870967741935</v>
      </c>
      <c r="D172" s="176">
        <v>-0.4343370260114221</v>
      </c>
      <c r="E172" s="176">
        <v>207.18387096774194</v>
      </c>
      <c r="F172" s="176">
        <v>0.1355887456663929</v>
      </c>
      <c r="G172" s="176">
        <v>147.29677419354837</v>
      </c>
      <c r="H172" s="176">
        <v>0.96888440092428585</v>
      </c>
      <c r="I172" s="176">
        <v>157.89677419354837</v>
      </c>
      <c r="J172" s="176">
        <v>-1.0589183347303299</v>
      </c>
      <c r="K172" s="176">
        <v>112.93225806451612</v>
      </c>
      <c r="L172" s="176">
        <v>0.7005035648401936</v>
      </c>
    </row>
    <row r="173" spans="1:12" ht="13.5" customHeight="1">
      <c r="A173" s="175"/>
      <c r="B173" s="179" t="s">
        <v>13</v>
      </c>
      <c r="C173" s="176">
        <v>192.09333333333331</v>
      </c>
      <c r="D173" s="176">
        <v>-2.7073598448953962</v>
      </c>
      <c r="E173" s="176">
        <v>202.97666666666666</v>
      </c>
      <c r="F173" s="176">
        <v>-2.0306620787726937</v>
      </c>
      <c r="G173" s="176">
        <v>149.80333333333331</v>
      </c>
      <c r="H173" s="176">
        <v>1.7017067437548272</v>
      </c>
      <c r="I173" s="176">
        <v>160.01666666666668</v>
      </c>
      <c r="J173" s="176">
        <v>1.3425812426793193</v>
      </c>
      <c r="K173" s="176">
        <v>115.21666666666667</v>
      </c>
      <c r="L173" s="176">
        <v>2.0228131813724293</v>
      </c>
    </row>
    <row r="174" spans="1:12" ht="13.5" customHeight="1">
      <c r="A174" s="175"/>
      <c r="B174" s="179" t="s">
        <v>14</v>
      </c>
      <c r="C174" s="176">
        <v>199.09677419354838</v>
      </c>
      <c r="D174" s="176">
        <v>3.6458531582989506</v>
      </c>
      <c r="E174" s="176">
        <v>211.85483870967741</v>
      </c>
      <c r="F174" s="176">
        <v>4.3739865221014362</v>
      </c>
      <c r="G174" s="176">
        <v>162.28709677419354</v>
      </c>
      <c r="H174" s="176">
        <v>8.3334350198216889</v>
      </c>
      <c r="I174" s="176">
        <v>173.68709677419355</v>
      </c>
      <c r="J174" s="176">
        <v>8.5431289079430428</v>
      </c>
      <c r="K174" s="176">
        <v>119.21935483870968</v>
      </c>
      <c r="L174" s="176">
        <v>3.4740530930504887</v>
      </c>
    </row>
    <row r="175" spans="1:12" ht="13.5" customHeight="1">
      <c r="B175" s="179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</row>
    <row r="176" spans="1:12" ht="13.5" customHeight="1">
      <c r="A176" s="175">
        <v>2021</v>
      </c>
      <c r="B176" s="179" t="s">
        <v>3</v>
      </c>
      <c r="C176" s="176">
        <v>208.6806451612903</v>
      </c>
      <c r="D176" s="176">
        <v>4.8136746597537083</v>
      </c>
      <c r="E176" s="176">
        <v>222.0225806451613</v>
      </c>
      <c r="F176" s="176">
        <v>4.7993909402360257</v>
      </c>
      <c r="G176" s="176">
        <v>169.0935483870968</v>
      </c>
      <c r="H176" s="176">
        <v>4.1940805820032345</v>
      </c>
      <c r="I176" s="176">
        <v>181.89999999999998</v>
      </c>
      <c r="J176" s="176">
        <v>4.7285626729565378</v>
      </c>
      <c r="K176" s="176">
        <v>126.16451612903226</v>
      </c>
      <c r="L176" s="176">
        <v>5.8255316846149707</v>
      </c>
    </row>
    <row r="177" spans="1:17" ht="13.5" customHeight="1">
      <c r="B177" s="179" t="s">
        <v>4</v>
      </c>
      <c r="C177" s="176">
        <v>217.96428571428572</v>
      </c>
      <c r="D177" s="176">
        <v>4.448731000337891</v>
      </c>
      <c r="E177" s="176">
        <v>231.81428571428569</v>
      </c>
      <c r="F177" s="176">
        <v>4.4102293742696252</v>
      </c>
      <c r="G177" s="176">
        <v>174.12857142857143</v>
      </c>
      <c r="H177" s="176">
        <v>2.9776553212711665</v>
      </c>
      <c r="I177" s="176">
        <v>188.84285714285716</v>
      </c>
      <c r="J177" s="176">
        <v>3.8168538443414946</v>
      </c>
      <c r="K177" s="176">
        <v>128.1</v>
      </c>
      <c r="L177" s="176">
        <v>1.5340952673160935</v>
      </c>
      <c r="N177" s="183"/>
    </row>
    <row r="178" spans="1:17" ht="13.5" customHeight="1">
      <c r="B178" s="179" t="s">
        <v>5</v>
      </c>
      <c r="C178" s="174">
        <v>228.5</v>
      </c>
      <c r="D178" s="174">
        <v>4.8336883499918049</v>
      </c>
      <c r="E178" s="174">
        <v>242.1</v>
      </c>
      <c r="F178" s="174">
        <v>4.4370493621741725</v>
      </c>
      <c r="G178" s="174">
        <v>181.6</v>
      </c>
      <c r="H178" s="174">
        <v>4.2907539584871479</v>
      </c>
      <c r="I178" s="176">
        <v>197.5</v>
      </c>
      <c r="J178" s="176">
        <v>4.5843104622134812</v>
      </c>
      <c r="K178" s="176">
        <v>128.1</v>
      </c>
      <c r="L178" s="176">
        <v>0</v>
      </c>
      <c r="N178" s="183"/>
    </row>
    <row r="179" spans="1:17" ht="13.5" customHeight="1">
      <c r="A179" s="184"/>
      <c r="B179" s="179" t="s">
        <v>6</v>
      </c>
      <c r="C179" s="176">
        <v>230.36666666666667</v>
      </c>
      <c r="D179" s="176">
        <v>0.81692195477753859</v>
      </c>
      <c r="E179" s="176">
        <v>244.2</v>
      </c>
      <c r="F179" s="176">
        <v>0.86741016109046498</v>
      </c>
      <c r="G179" s="176">
        <v>181.36666666666667</v>
      </c>
      <c r="H179" s="176">
        <v>-0.12848751835535799</v>
      </c>
      <c r="I179" s="176">
        <v>197.5</v>
      </c>
      <c r="J179" s="176">
        <v>0</v>
      </c>
      <c r="K179" s="176">
        <v>128.1</v>
      </c>
      <c r="L179" s="176">
        <v>0</v>
      </c>
      <c r="N179" s="183"/>
    </row>
    <row r="180" spans="1:17" ht="13.5" customHeight="1">
      <c r="B180" s="179" t="s">
        <v>7</v>
      </c>
      <c r="C180" s="176">
        <v>238.66774193548389</v>
      </c>
      <c r="D180" s="176">
        <v>3.6034185800103646</v>
      </c>
      <c r="E180" s="176">
        <v>251.59032258064514</v>
      </c>
      <c r="F180" s="176">
        <v>3.0263401231143128</v>
      </c>
      <c r="G180" s="176">
        <v>184.47096774193548</v>
      </c>
      <c r="H180" s="176">
        <v>1.711616104724567</v>
      </c>
      <c r="I180" s="176">
        <v>201.74516129032259</v>
      </c>
      <c r="J180" s="176">
        <v>2.149448754593708</v>
      </c>
      <c r="K180" s="176">
        <v>127.5516129032258</v>
      </c>
      <c r="L180" s="176">
        <v>-0.42809297172068383</v>
      </c>
      <c r="N180" s="183"/>
    </row>
    <row r="181" spans="1:17" ht="13.5" customHeight="1">
      <c r="B181" s="179" t="s">
        <v>8</v>
      </c>
      <c r="C181" s="176">
        <v>239.30000000000004</v>
      </c>
      <c r="D181" s="176">
        <v>0.26491140335465069</v>
      </c>
      <c r="E181" s="176">
        <v>252.19999999999996</v>
      </c>
      <c r="F181" s="176">
        <v>0.24232943982152033</v>
      </c>
      <c r="G181" s="176">
        <v>184.9</v>
      </c>
      <c r="H181" s="176">
        <v>0.23257440632322712</v>
      </c>
      <c r="I181" s="176">
        <v>202.4</v>
      </c>
      <c r="J181" s="176">
        <v>0.32458707088149907</v>
      </c>
      <c r="K181" s="176">
        <v>127.1</v>
      </c>
      <c r="L181" s="176">
        <v>-0.35406287144988946</v>
      </c>
      <c r="N181" s="183"/>
    </row>
    <row r="182" spans="1:17" ht="13.5" customHeight="1">
      <c r="B182" s="179" t="s">
        <v>9</v>
      </c>
      <c r="C182" s="176">
        <v>239.30000000000004</v>
      </c>
      <c r="D182" s="176">
        <v>0</v>
      </c>
      <c r="E182" s="176">
        <v>255.15161290322578</v>
      </c>
      <c r="F182" s="176">
        <v>1.1703461154741523</v>
      </c>
      <c r="G182" s="176">
        <v>184.89999999999998</v>
      </c>
      <c r="H182" s="176">
        <v>-1.1102230246251565E-14</v>
      </c>
      <c r="I182" s="176">
        <v>205.3516129032258</v>
      </c>
      <c r="J182" s="176">
        <v>1.4583067703684671</v>
      </c>
      <c r="K182" s="176">
        <v>127.1</v>
      </c>
      <c r="L182" s="176">
        <v>0</v>
      </c>
      <c r="N182" s="183"/>
    </row>
    <row r="183" spans="1:17" ht="13.5" customHeight="1">
      <c r="B183" s="179" t="s">
        <v>10</v>
      </c>
      <c r="C183" s="176">
        <v>242.52580645161294</v>
      </c>
      <c r="D183" s="176">
        <v>1.3480177399134652</v>
      </c>
      <c r="E183" s="176">
        <v>261.39354838709681</v>
      </c>
      <c r="F183" s="176">
        <v>2.4463633260427331</v>
      </c>
      <c r="G183" s="176">
        <v>188.12580645161293</v>
      </c>
      <c r="H183" s="176">
        <v>1.7446222020621738</v>
      </c>
      <c r="I183" s="176">
        <v>211.75483870967741</v>
      </c>
      <c r="J183" s="176">
        <v>3.1181765343470724</v>
      </c>
      <c r="K183" s="176">
        <v>127.1</v>
      </c>
      <c r="L183" s="176">
        <v>0</v>
      </c>
      <c r="N183" s="183"/>
    </row>
    <row r="184" spans="1:17" ht="13.5" customHeight="1">
      <c r="B184" s="179" t="s">
        <v>11</v>
      </c>
      <c r="C184" s="176">
        <v>243.30000000000004</v>
      </c>
      <c r="D184" s="176">
        <v>0.31922110051474384</v>
      </c>
      <c r="E184" s="176">
        <v>261.8</v>
      </c>
      <c r="F184" s="176">
        <v>0.15549412577746669</v>
      </c>
      <c r="G184" s="176">
        <v>188.9</v>
      </c>
      <c r="H184" s="176">
        <v>0.41152969015243457</v>
      </c>
      <c r="I184" s="176">
        <v>212.2</v>
      </c>
      <c r="J184" s="176">
        <v>0.2102248491865133</v>
      </c>
      <c r="K184" s="176">
        <v>127.5</v>
      </c>
      <c r="L184" s="176">
        <v>0.31471282454760274</v>
      </c>
      <c r="N184" s="183"/>
      <c r="Q184" s="185"/>
    </row>
    <row r="185" spans="1:17" ht="13.5" customHeight="1">
      <c r="B185" s="179" t="s">
        <v>12</v>
      </c>
      <c r="C185" s="176">
        <v>248.31612903225809</v>
      </c>
      <c r="D185" s="176">
        <v>2.0617053153547227</v>
      </c>
      <c r="E185" s="176">
        <v>266.12258064516135</v>
      </c>
      <c r="F185" s="176">
        <v>1.6511003228270926</v>
      </c>
      <c r="G185" s="176">
        <v>189.77096774193549</v>
      </c>
      <c r="H185" s="176">
        <v>0.46107344729247046</v>
      </c>
      <c r="I185" s="176">
        <v>213.52258064516124</v>
      </c>
      <c r="J185" s="176">
        <v>0.62327080356325837</v>
      </c>
      <c r="K185" s="176">
        <v>132.80967741935484</v>
      </c>
      <c r="L185" s="176">
        <v>4.1644528779253731</v>
      </c>
      <c r="N185" s="183"/>
      <c r="Q185" s="185"/>
    </row>
    <row r="186" spans="1:17" ht="13.5" customHeight="1">
      <c r="B186" s="179" t="s">
        <v>13</v>
      </c>
      <c r="C186" s="176">
        <v>254.90000000000003</v>
      </c>
      <c r="D186" s="176">
        <v>2.6514068954766268</v>
      </c>
      <c r="E186" s="176">
        <v>272.8</v>
      </c>
      <c r="F186" s="176">
        <v>2.5091517370117833</v>
      </c>
      <c r="G186" s="176">
        <v>195.59</v>
      </c>
      <c r="H186" s="176">
        <v>3.0663448299308227</v>
      </c>
      <c r="I186" s="176">
        <v>219.69</v>
      </c>
      <c r="J186" s="176">
        <v>2.8884155184916827</v>
      </c>
      <c r="K186" s="176">
        <v>137.1</v>
      </c>
      <c r="L186" s="176">
        <v>3.2304291855917988</v>
      </c>
      <c r="N186" s="183"/>
      <c r="Q186" s="185"/>
    </row>
    <row r="187" spans="1:17" ht="13.5" customHeight="1">
      <c r="B187" s="179" t="s">
        <v>14</v>
      </c>
      <c r="C187" s="176">
        <v>255.5774193548387</v>
      </c>
      <c r="D187" s="176">
        <v>0.26575886812030269</v>
      </c>
      <c r="E187" s="176">
        <v>270.36129032258071</v>
      </c>
      <c r="F187" s="176">
        <v>-0.89395516034431743</v>
      </c>
      <c r="G187" s="176">
        <v>200.9064516129032</v>
      </c>
      <c r="H187" s="176">
        <v>2.7181612622849904</v>
      </c>
      <c r="I187" s="176">
        <v>219.32258064516128</v>
      </c>
      <c r="J187" s="176">
        <v>-0.16724446030257356</v>
      </c>
      <c r="K187" s="176">
        <v>140.90645161290323</v>
      </c>
      <c r="L187" s="176">
        <v>2.7764052610526946</v>
      </c>
      <c r="N187" s="183"/>
    </row>
    <row r="188" spans="1:17" ht="13.5" customHeight="1">
      <c r="B188" s="179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</row>
    <row r="189" spans="1:17" ht="13.5" customHeight="1">
      <c r="A189" s="175">
        <v>2022</v>
      </c>
      <c r="B189" s="179" t="s">
        <v>3</v>
      </c>
      <c r="C189" s="176">
        <v>261.30645161290323</v>
      </c>
      <c r="D189" s="176">
        <v>2.2416034532809936</v>
      </c>
      <c r="E189" s="176">
        <v>277.16451612903228</v>
      </c>
      <c r="F189" s="176">
        <v>2.5163461079558802</v>
      </c>
      <c r="G189" s="176">
        <v>207.29354838709679</v>
      </c>
      <c r="H189" s="176">
        <v>3.1791397055281889</v>
      </c>
      <c r="I189" s="176">
        <v>226.55161290322582</v>
      </c>
      <c r="J189" s="176">
        <v>3.296072951904705</v>
      </c>
      <c r="K189" s="176">
        <v>144.00322580645161</v>
      </c>
      <c r="L189" s="176">
        <v>2.1977518829697118</v>
      </c>
      <c r="M189" s="183"/>
      <c r="N189" s="183"/>
    </row>
    <row r="190" spans="1:17" ht="13.5" customHeight="1">
      <c r="B190" s="179" t="s">
        <v>4</v>
      </c>
      <c r="C190" s="176">
        <v>269.92857142857144</v>
      </c>
      <c r="D190" s="176">
        <v>3.2996199529129688</v>
      </c>
      <c r="E190" s="176">
        <v>287.02857142857152</v>
      </c>
      <c r="F190" s="176">
        <v>3.5589170783128399</v>
      </c>
      <c r="G190" s="176">
        <v>216.8857142857143</v>
      </c>
      <c r="H190" s="176">
        <v>4.6273345085999784</v>
      </c>
      <c r="I190" s="176">
        <v>235.67142857142858</v>
      </c>
      <c r="J190" s="176">
        <v>4.025491388621627</v>
      </c>
      <c r="K190" s="176">
        <v>147.45714285714286</v>
      </c>
      <c r="L190" s="176">
        <v>2.3984997775907457</v>
      </c>
      <c r="M190" s="183"/>
      <c r="N190" s="183"/>
    </row>
    <row r="191" spans="1:17" ht="13.5" customHeight="1">
      <c r="B191" s="179" t="s">
        <v>5</v>
      </c>
      <c r="C191" s="176">
        <v>273.98387096774195</v>
      </c>
      <c r="D191" s="176">
        <v>1.5023602420848547</v>
      </c>
      <c r="E191" s="176">
        <v>292.82580645161295</v>
      </c>
      <c r="F191" s="176">
        <v>2.0197414474064201</v>
      </c>
      <c r="G191" s="176">
        <v>221.08387096774194</v>
      </c>
      <c r="H191" s="176">
        <v>1.9356538515474586</v>
      </c>
      <c r="I191" s="176">
        <v>240.45483870967743</v>
      </c>
      <c r="J191" s="176">
        <v>2.029694548568961</v>
      </c>
      <c r="K191" s="176">
        <v>147.6</v>
      </c>
      <c r="L191" s="176">
        <v>9.6880449525293955E-2</v>
      </c>
      <c r="M191" s="183"/>
      <c r="N191" s="183"/>
    </row>
    <row r="192" spans="1:17" ht="13.5" customHeight="1">
      <c r="A192" s="184"/>
      <c r="B192" s="179" t="s">
        <v>6</v>
      </c>
      <c r="C192" s="176">
        <v>274.5</v>
      </c>
      <c r="D192" s="176">
        <v>0.18837934891386965</v>
      </c>
      <c r="E192" s="176">
        <v>293.60000000000008</v>
      </c>
      <c r="F192" s="176">
        <v>0.26438706265974332</v>
      </c>
      <c r="G192" s="176">
        <v>221.6</v>
      </c>
      <c r="H192" s="176">
        <v>0.23345395120810686</v>
      </c>
      <c r="I192" s="176">
        <v>241.1</v>
      </c>
      <c r="J192" s="176">
        <v>0.26830871600862505</v>
      </c>
      <c r="K192" s="176">
        <v>147.6</v>
      </c>
      <c r="L192" s="176">
        <v>0</v>
      </c>
      <c r="M192" s="183"/>
    </row>
    <row r="193" spans="1:13" ht="13.5" customHeight="1">
      <c r="B193" s="179" t="s">
        <v>7</v>
      </c>
      <c r="C193" s="176">
        <v>274.5</v>
      </c>
      <c r="D193" s="176">
        <v>0</v>
      </c>
      <c r="E193" s="176">
        <v>293.60000000000008</v>
      </c>
      <c r="F193" s="176">
        <v>0</v>
      </c>
      <c r="G193" s="176">
        <v>221.6</v>
      </c>
      <c r="H193" s="176">
        <v>0</v>
      </c>
      <c r="I193" s="176">
        <v>241.1</v>
      </c>
      <c r="J193" s="176">
        <v>0</v>
      </c>
      <c r="K193" s="176">
        <v>147.6</v>
      </c>
      <c r="L193" s="176">
        <v>0</v>
      </c>
      <c r="M193" s="183"/>
    </row>
    <row r="194" spans="1:13" ht="13.5" customHeight="1">
      <c r="B194" s="179" t="s">
        <v>8</v>
      </c>
      <c r="C194" s="176">
        <v>274.5</v>
      </c>
      <c r="D194" s="176">
        <v>0</v>
      </c>
      <c r="E194" s="176">
        <v>293.60000000000008</v>
      </c>
      <c r="F194" s="176">
        <v>0</v>
      </c>
      <c r="G194" s="176">
        <v>221.6</v>
      </c>
      <c r="H194" s="176">
        <v>0</v>
      </c>
      <c r="I194" s="176">
        <v>241.1</v>
      </c>
      <c r="J194" s="176">
        <v>0</v>
      </c>
      <c r="K194" s="176">
        <v>147.6</v>
      </c>
      <c r="L194" s="176">
        <v>0</v>
      </c>
      <c r="M194" s="183"/>
    </row>
    <row r="195" spans="1:13" ht="13.5" customHeight="1">
      <c r="B195" s="179" t="s">
        <v>9</v>
      </c>
      <c r="C195" s="176">
        <v>274.5</v>
      </c>
      <c r="D195" s="176">
        <v>0</v>
      </c>
      <c r="E195" s="176">
        <v>293.60000000000008</v>
      </c>
      <c r="F195" s="176">
        <v>0</v>
      </c>
      <c r="G195" s="176">
        <v>221.6</v>
      </c>
      <c r="H195" s="176">
        <v>0</v>
      </c>
      <c r="I195" s="176">
        <v>241.1</v>
      </c>
      <c r="J195" s="176">
        <v>0</v>
      </c>
      <c r="K195" s="176">
        <v>147.6</v>
      </c>
      <c r="L195" s="176">
        <v>0</v>
      </c>
      <c r="M195" s="183"/>
    </row>
    <row r="196" spans="1:13" ht="13.5" customHeight="1">
      <c r="B196" s="179" t="s">
        <v>10</v>
      </c>
      <c r="C196" s="176">
        <v>274.5</v>
      </c>
      <c r="D196" s="176">
        <v>0</v>
      </c>
      <c r="E196" s="176">
        <v>293.60000000000002</v>
      </c>
      <c r="F196" s="176">
        <v>-2.2204460492503131E-14</v>
      </c>
      <c r="G196" s="176">
        <v>221.6</v>
      </c>
      <c r="H196" s="176">
        <v>0</v>
      </c>
      <c r="I196" s="176">
        <v>241.1</v>
      </c>
      <c r="J196" s="176">
        <v>0</v>
      </c>
      <c r="K196" s="176">
        <v>147.6</v>
      </c>
      <c r="L196" s="176">
        <v>0</v>
      </c>
      <c r="M196" s="183"/>
    </row>
    <row r="197" spans="1:13" ht="13.5" customHeight="1">
      <c r="B197" s="179" t="s">
        <v>11</v>
      </c>
      <c r="C197" s="176">
        <v>274.5</v>
      </c>
      <c r="D197" s="176">
        <v>0</v>
      </c>
      <c r="E197" s="176">
        <v>293.60000000000002</v>
      </c>
      <c r="F197" s="176">
        <v>0</v>
      </c>
      <c r="G197" s="176">
        <v>221.6</v>
      </c>
      <c r="H197" s="176">
        <v>0</v>
      </c>
      <c r="I197" s="176">
        <v>241.1</v>
      </c>
      <c r="J197" s="176">
        <v>0</v>
      </c>
      <c r="K197" s="176">
        <v>147.6</v>
      </c>
      <c r="L197" s="176">
        <v>0</v>
      </c>
      <c r="M197" s="183"/>
    </row>
    <row r="198" spans="1:13" ht="13.5" customHeight="1">
      <c r="B198" s="179" t="s">
        <v>12</v>
      </c>
      <c r="C198" s="176">
        <v>274.5</v>
      </c>
      <c r="D198" s="176">
        <v>0</v>
      </c>
      <c r="E198" s="176">
        <v>293.60000000000002</v>
      </c>
      <c r="F198" s="176">
        <v>0</v>
      </c>
      <c r="G198" s="176">
        <v>221.6</v>
      </c>
      <c r="H198" s="176">
        <v>0</v>
      </c>
      <c r="I198" s="176">
        <v>241.1</v>
      </c>
      <c r="J198" s="176">
        <v>0</v>
      </c>
      <c r="K198" s="176">
        <v>147.6</v>
      </c>
      <c r="L198" s="176">
        <v>0</v>
      </c>
      <c r="M198" s="183"/>
    </row>
    <row r="199" spans="1:13" ht="13.5" customHeight="1">
      <c r="B199" s="179" t="s">
        <v>13</v>
      </c>
      <c r="C199" s="176">
        <v>274.5</v>
      </c>
      <c r="D199" s="176">
        <v>0</v>
      </c>
      <c r="E199" s="176">
        <v>293.60000000000002</v>
      </c>
      <c r="F199" s="176">
        <v>0</v>
      </c>
      <c r="G199" s="176">
        <v>221.6</v>
      </c>
      <c r="H199" s="176">
        <v>0</v>
      </c>
      <c r="I199" s="176">
        <v>241.1</v>
      </c>
      <c r="J199" s="176">
        <v>0</v>
      </c>
      <c r="K199" s="176">
        <v>147.6</v>
      </c>
      <c r="L199" s="176">
        <v>0</v>
      </c>
      <c r="M199" s="183"/>
    </row>
    <row r="200" spans="1:13" ht="13.5" customHeight="1">
      <c r="B200" s="168" t="s">
        <v>14</v>
      </c>
      <c r="C200" s="174">
        <v>274.5</v>
      </c>
      <c r="D200" s="174">
        <v>0</v>
      </c>
      <c r="E200" s="174">
        <v>293.60000000000002</v>
      </c>
      <c r="F200" s="174">
        <v>0</v>
      </c>
      <c r="G200" s="174">
        <v>221.6</v>
      </c>
      <c r="H200" s="174">
        <v>0</v>
      </c>
      <c r="I200" s="174">
        <v>241.1</v>
      </c>
      <c r="J200" s="174">
        <v>0</v>
      </c>
      <c r="K200" s="176">
        <v>147.6</v>
      </c>
      <c r="L200" s="176">
        <v>0</v>
      </c>
      <c r="M200" s="183"/>
    </row>
    <row r="201" spans="1:13" ht="13.5" customHeight="1">
      <c r="C201" s="174"/>
      <c r="D201" s="174"/>
      <c r="E201" s="174"/>
      <c r="F201" s="174"/>
      <c r="G201" s="174"/>
      <c r="H201" s="174"/>
      <c r="I201" s="174"/>
      <c r="J201" s="174"/>
      <c r="K201" s="176"/>
      <c r="L201" s="176"/>
      <c r="M201" s="183"/>
    </row>
    <row r="202" spans="1:13" ht="13.5" customHeight="1">
      <c r="A202" s="175">
        <v>2023</v>
      </c>
      <c r="B202" s="179" t="s">
        <v>3</v>
      </c>
      <c r="C202" s="174">
        <v>274.5</v>
      </c>
      <c r="D202" s="174">
        <v>0</v>
      </c>
      <c r="E202" s="174">
        <v>293.60000000000002</v>
      </c>
      <c r="F202" s="174">
        <v>0</v>
      </c>
      <c r="G202" s="174">
        <v>221.6</v>
      </c>
      <c r="H202" s="174">
        <v>0</v>
      </c>
      <c r="I202" s="174">
        <v>241.1</v>
      </c>
      <c r="J202" s="174">
        <v>0</v>
      </c>
      <c r="K202" s="176">
        <v>147.6</v>
      </c>
      <c r="L202" s="176">
        <v>0</v>
      </c>
    </row>
    <row r="203" spans="1:13" ht="13.5" customHeight="1">
      <c r="B203" s="179" t="s">
        <v>4</v>
      </c>
      <c r="C203" s="174">
        <v>274.5</v>
      </c>
      <c r="D203" s="174">
        <v>0</v>
      </c>
      <c r="E203" s="174">
        <v>293.60000000000002</v>
      </c>
      <c r="F203" s="174">
        <v>0</v>
      </c>
      <c r="G203" s="174">
        <v>221.6</v>
      </c>
      <c r="H203" s="174">
        <v>0</v>
      </c>
      <c r="I203" s="174">
        <v>241.1</v>
      </c>
      <c r="J203" s="174">
        <v>0</v>
      </c>
      <c r="K203" s="176">
        <v>147.6</v>
      </c>
      <c r="L203" s="176">
        <v>0</v>
      </c>
    </row>
    <row r="204" spans="1:13" ht="13.5" customHeight="1">
      <c r="B204" s="179" t="s">
        <v>5</v>
      </c>
      <c r="C204" s="174">
        <v>274.5</v>
      </c>
      <c r="D204" s="174">
        <v>0</v>
      </c>
      <c r="E204" s="174">
        <v>293.60000000000002</v>
      </c>
      <c r="F204" s="174">
        <v>0</v>
      </c>
      <c r="G204" s="174">
        <v>221.6</v>
      </c>
      <c r="H204" s="174">
        <v>0</v>
      </c>
      <c r="I204" s="174">
        <v>241.1</v>
      </c>
      <c r="J204" s="174">
        <v>0</v>
      </c>
      <c r="K204" s="176">
        <v>147.6</v>
      </c>
      <c r="L204" s="176">
        <v>0</v>
      </c>
      <c r="M204" s="183"/>
    </row>
    <row r="205" spans="1:13" ht="13.5" customHeight="1">
      <c r="A205" s="184"/>
      <c r="B205" s="179" t="s">
        <v>6</v>
      </c>
      <c r="C205" s="174">
        <v>274.5</v>
      </c>
      <c r="D205" s="174">
        <v>0</v>
      </c>
      <c r="E205" s="174">
        <v>293.60000000000002</v>
      </c>
      <c r="F205" s="174">
        <v>0</v>
      </c>
      <c r="G205" s="174">
        <v>221.6</v>
      </c>
      <c r="H205" s="174">
        <v>0</v>
      </c>
      <c r="I205" s="174">
        <v>241.1</v>
      </c>
      <c r="J205" s="174">
        <v>0</v>
      </c>
      <c r="K205" s="176">
        <v>147.6</v>
      </c>
      <c r="L205" s="176">
        <v>0</v>
      </c>
      <c r="M205" s="183"/>
    </row>
    <row r="206" spans="1:13" ht="13.5" customHeight="1">
      <c r="B206" s="179" t="s">
        <v>7</v>
      </c>
      <c r="C206" s="174">
        <v>273.88709677419354</v>
      </c>
      <c r="D206" s="174">
        <v>-0.223279863681769</v>
      </c>
      <c r="E206" s="174">
        <v>292.3741935483871</v>
      </c>
      <c r="F206" s="174">
        <v>-0.41750900940494828</v>
      </c>
      <c r="G206" s="174">
        <v>221.6</v>
      </c>
      <c r="H206" s="174">
        <v>0</v>
      </c>
      <c r="I206" s="174">
        <v>239.87419354838707</v>
      </c>
      <c r="J206" s="174">
        <v>-0.50842241875277416</v>
      </c>
      <c r="K206" s="176">
        <v>142.1483870967742</v>
      </c>
      <c r="L206" s="176">
        <v>-3.6935046769822399</v>
      </c>
      <c r="M206" s="183"/>
    </row>
    <row r="207" spans="1:13" ht="13.5" customHeight="1">
      <c r="B207" s="179" t="s">
        <v>8</v>
      </c>
      <c r="C207" s="174">
        <v>273.5</v>
      </c>
      <c r="D207" s="174">
        <v>-0.14133443260113676</v>
      </c>
      <c r="E207" s="174">
        <v>291.60000000000008</v>
      </c>
      <c r="F207" s="174">
        <v>-0.26479544551830658</v>
      </c>
      <c r="G207" s="174">
        <v>220.66666666666666</v>
      </c>
      <c r="H207" s="174">
        <v>-0.42117930204572662</v>
      </c>
      <c r="I207" s="174">
        <v>237.23333333333332</v>
      </c>
      <c r="J207" s="174">
        <v>-1.1009355262391107</v>
      </c>
      <c r="K207" s="176">
        <v>135.61666666666667</v>
      </c>
      <c r="L207" s="176">
        <v>-4.5950014372380776</v>
      </c>
      <c r="M207" s="183"/>
    </row>
    <row r="208" spans="1:13" ht="13.5" customHeight="1">
      <c r="B208" s="179" t="s">
        <v>9</v>
      </c>
      <c r="C208" s="174">
        <v>273.59677419354841</v>
      </c>
      <c r="D208" s="174">
        <v>3.5383617385154054E-2</v>
      </c>
      <c r="E208" s="174">
        <v>291.74516129032259</v>
      </c>
      <c r="F208" s="174">
        <v>4.9780963759427088E-2</v>
      </c>
      <c r="G208" s="174">
        <v>220.69677419354841</v>
      </c>
      <c r="H208" s="174">
        <v>1.3643894357295849E-2</v>
      </c>
      <c r="I208" s="174">
        <v>237.29354838709679</v>
      </c>
      <c r="J208" s="174">
        <v>2.5382206166990606E-2</v>
      </c>
      <c r="K208" s="176">
        <v>132.6</v>
      </c>
      <c r="L208" s="176">
        <v>-2.2244070296178031</v>
      </c>
      <c r="M208" s="183"/>
    </row>
    <row r="209" spans="1:13" ht="13.5" customHeight="1">
      <c r="B209" s="179" t="s">
        <v>10</v>
      </c>
      <c r="C209" s="174">
        <v>274.5</v>
      </c>
      <c r="D209" s="174">
        <v>0.33013028355832752</v>
      </c>
      <c r="E209" s="174">
        <v>293.10000000000008</v>
      </c>
      <c r="F209" s="174">
        <v>0.46439115003154008</v>
      </c>
      <c r="G209" s="174">
        <v>221.60000000000002</v>
      </c>
      <c r="H209" s="174">
        <v>0.40926099158091755</v>
      </c>
      <c r="I209" s="174">
        <v>239.10000000000002</v>
      </c>
      <c r="J209" s="174">
        <v>0.76127295713761534</v>
      </c>
      <c r="K209" s="176">
        <v>132.6</v>
      </c>
      <c r="L209" s="176">
        <v>0</v>
      </c>
      <c r="M209" s="183"/>
    </row>
    <row r="210" spans="1:13" ht="13.5" customHeight="1">
      <c r="B210" s="179" t="s">
        <v>11</v>
      </c>
      <c r="C210" s="174">
        <v>274.5</v>
      </c>
      <c r="D210" s="174">
        <v>0</v>
      </c>
      <c r="E210" s="174">
        <v>293.10000000000008</v>
      </c>
      <c r="F210" s="174">
        <v>0</v>
      </c>
      <c r="G210" s="174">
        <v>221.60000000000002</v>
      </c>
      <c r="H210" s="174">
        <v>0</v>
      </c>
      <c r="I210" s="174">
        <v>239.10000000000002</v>
      </c>
      <c r="J210" s="174">
        <v>0</v>
      </c>
      <c r="K210" s="176">
        <v>132.6</v>
      </c>
      <c r="L210" s="176">
        <v>0</v>
      </c>
      <c r="M210" s="183"/>
    </row>
    <row r="211" spans="1:13" ht="13.5" customHeight="1">
      <c r="B211" s="179" t="s">
        <v>12</v>
      </c>
      <c r="C211" s="174">
        <v>274.5</v>
      </c>
      <c r="D211" s="174">
        <v>0</v>
      </c>
      <c r="E211" s="174">
        <v>293.10000000000008</v>
      </c>
      <c r="F211" s="174">
        <v>0</v>
      </c>
      <c r="G211" s="174">
        <v>221.60000000000002</v>
      </c>
      <c r="H211" s="174">
        <v>0</v>
      </c>
      <c r="I211" s="174">
        <v>239.10000000000002</v>
      </c>
      <c r="J211" s="174">
        <v>0</v>
      </c>
      <c r="K211" s="176">
        <v>132.6</v>
      </c>
      <c r="L211" s="176">
        <v>0</v>
      </c>
      <c r="M211" s="183"/>
    </row>
    <row r="212" spans="1:13" ht="13.5" customHeight="1">
      <c r="B212" s="179" t="s">
        <v>13</v>
      </c>
      <c r="C212" s="174">
        <v>274.5</v>
      </c>
      <c r="D212" s="174">
        <v>0</v>
      </c>
      <c r="E212" s="174">
        <v>293.10000000000002</v>
      </c>
      <c r="F212" s="174">
        <v>-2.2204460492503131E-14</v>
      </c>
      <c r="G212" s="174">
        <v>221.6</v>
      </c>
      <c r="H212" s="174">
        <v>-1.1102230246251565E-14</v>
      </c>
      <c r="I212" s="174">
        <v>239.1</v>
      </c>
      <c r="J212" s="174">
        <v>-1.1102230246251565E-14</v>
      </c>
      <c r="K212" s="176">
        <v>132.6</v>
      </c>
      <c r="L212" s="176">
        <v>0</v>
      </c>
      <c r="M212" s="183"/>
    </row>
    <row r="213" spans="1:13" ht="13.5" customHeight="1">
      <c r="B213" s="168" t="s">
        <v>14</v>
      </c>
      <c r="C213" s="174">
        <v>273.46774193548384</v>
      </c>
      <c r="D213" s="174">
        <v>-0.37605029672719281</v>
      </c>
      <c r="E213" s="174">
        <v>291.55161290322587</v>
      </c>
      <c r="F213" s="174">
        <v>-0.52827945983423552</v>
      </c>
      <c r="G213" s="174">
        <v>221.6</v>
      </c>
      <c r="H213" s="174">
        <v>0</v>
      </c>
      <c r="I213" s="174">
        <v>239.1</v>
      </c>
      <c r="J213" s="174">
        <v>0</v>
      </c>
      <c r="K213" s="176">
        <v>132.6</v>
      </c>
      <c r="L213" s="176">
        <v>0</v>
      </c>
      <c r="M213" s="183"/>
    </row>
    <row r="214" spans="1:13" ht="13.5" customHeight="1">
      <c r="C214" s="174"/>
      <c r="D214" s="174"/>
      <c r="E214" s="174"/>
      <c r="F214" s="174"/>
      <c r="G214" s="174"/>
      <c r="H214" s="174"/>
      <c r="I214" s="174"/>
      <c r="J214" s="174"/>
      <c r="K214" s="176"/>
      <c r="L214" s="176"/>
      <c r="M214" s="183"/>
    </row>
    <row r="215" spans="1:13" ht="13.5" customHeight="1">
      <c r="A215" s="175">
        <v>2024</v>
      </c>
      <c r="B215" s="179" t="s">
        <v>3</v>
      </c>
      <c r="C215" s="174">
        <v>272.5</v>
      </c>
      <c r="D215" s="174">
        <v>-0.35387791212030395</v>
      </c>
      <c r="E215" s="174">
        <v>290.10000000000002</v>
      </c>
      <c r="F215" s="174">
        <v>-0.49789225611579502</v>
      </c>
      <c r="G215" s="174">
        <v>221.6</v>
      </c>
      <c r="H215" s="174">
        <v>0</v>
      </c>
      <c r="I215" s="174">
        <v>239.1</v>
      </c>
      <c r="J215" s="174">
        <v>0</v>
      </c>
      <c r="K215" s="176">
        <v>132.6</v>
      </c>
      <c r="L215" s="176">
        <v>0</v>
      </c>
      <c r="M215" s="183"/>
    </row>
    <row r="216" spans="1:13" ht="13.5" customHeight="1">
      <c r="B216" s="179" t="s">
        <v>4</v>
      </c>
      <c r="C216" s="174">
        <v>272.5</v>
      </c>
      <c r="D216" s="174">
        <v>0</v>
      </c>
      <c r="E216" s="174">
        <v>290.10000000000002</v>
      </c>
      <c r="F216" s="174">
        <v>0</v>
      </c>
      <c r="G216" s="174">
        <v>221.6</v>
      </c>
      <c r="H216" s="174">
        <v>0</v>
      </c>
      <c r="I216" s="174">
        <v>239.1</v>
      </c>
      <c r="J216" s="174">
        <v>0</v>
      </c>
      <c r="K216" s="176">
        <v>132.6</v>
      </c>
      <c r="L216" s="176">
        <v>0</v>
      </c>
      <c r="M216" s="183"/>
    </row>
    <row r="217" spans="1:13" ht="13.5" customHeight="1">
      <c r="B217" s="179" t="s">
        <v>5</v>
      </c>
      <c r="C217" s="174">
        <v>272.5</v>
      </c>
      <c r="D217" s="174">
        <v>0</v>
      </c>
      <c r="E217" s="174">
        <v>290.10000000000002</v>
      </c>
      <c r="F217" s="174">
        <v>0</v>
      </c>
      <c r="G217" s="174">
        <v>221.6</v>
      </c>
      <c r="H217" s="174">
        <v>0</v>
      </c>
      <c r="I217" s="174">
        <v>239.1</v>
      </c>
      <c r="J217" s="174">
        <v>0</v>
      </c>
      <c r="K217" s="176">
        <v>132.6</v>
      </c>
      <c r="L217" s="176">
        <v>0</v>
      </c>
      <c r="M217" s="183"/>
    </row>
    <row r="218" spans="1:13" ht="13.5" customHeight="1">
      <c r="A218" s="184"/>
      <c r="B218" s="179" t="s">
        <v>6</v>
      </c>
      <c r="C218" s="174">
        <v>272.5</v>
      </c>
      <c r="D218" s="174">
        <v>0</v>
      </c>
      <c r="E218" s="174">
        <v>290.10000000000002</v>
      </c>
      <c r="F218" s="174">
        <v>0</v>
      </c>
      <c r="G218" s="174">
        <v>221.6</v>
      </c>
      <c r="H218" s="174">
        <v>0</v>
      </c>
      <c r="I218" s="174">
        <v>239.1</v>
      </c>
      <c r="J218" s="174">
        <v>0</v>
      </c>
      <c r="K218" s="176">
        <v>132.6</v>
      </c>
      <c r="L218" s="176">
        <v>0</v>
      </c>
      <c r="M218" s="183"/>
    </row>
    <row r="219" spans="1:13" ht="13.5" customHeight="1">
      <c r="B219" s="179" t="s">
        <v>7</v>
      </c>
      <c r="C219" s="174">
        <v>272.5</v>
      </c>
      <c r="D219" s="174">
        <v>0</v>
      </c>
      <c r="E219" s="174">
        <v>290.10000000000002</v>
      </c>
      <c r="F219" s="174">
        <v>0</v>
      </c>
      <c r="G219" s="174">
        <v>221.6</v>
      </c>
      <c r="H219" s="174">
        <v>0</v>
      </c>
      <c r="I219" s="174">
        <v>239.1</v>
      </c>
      <c r="J219" s="174">
        <v>0</v>
      </c>
      <c r="K219" s="176">
        <v>132.6</v>
      </c>
      <c r="L219" s="176">
        <v>0</v>
      </c>
      <c r="M219" s="183"/>
    </row>
    <row r="220" spans="1:13" ht="13.5" customHeight="1">
      <c r="B220" s="179" t="s">
        <v>8</v>
      </c>
      <c r="C220" s="174">
        <v>272.5</v>
      </c>
      <c r="D220" s="174">
        <v>0</v>
      </c>
      <c r="E220" s="174">
        <v>290.10000000000002</v>
      </c>
      <c r="F220" s="174">
        <v>0</v>
      </c>
      <c r="G220" s="174">
        <v>221.6</v>
      </c>
      <c r="H220" s="174">
        <v>0</v>
      </c>
      <c r="I220" s="174">
        <v>239.1</v>
      </c>
      <c r="J220" s="174">
        <v>0</v>
      </c>
      <c r="K220" s="176">
        <v>132.6</v>
      </c>
      <c r="L220" s="176">
        <v>0</v>
      </c>
      <c r="M220" s="183"/>
    </row>
    <row r="221" spans="1:13" ht="13.5" customHeight="1">
      <c r="B221" s="179" t="s">
        <v>9</v>
      </c>
      <c r="C221" s="174">
        <v>272.5</v>
      </c>
      <c r="D221" s="174">
        <v>0</v>
      </c>
      <c r="E221" s="174">
        <v>290.10000000000002</v>
      </c>
      <c r="F221" s="174">
        <v>0</v>
      </c>
      <c r="G221" s="174">
        <v>221.6</v>
      </c>
      <c r="H221" s="174">
        <v>0</v>
      </c>
      <c r="I221" s="174">
        <v>239.1</v>
      </c>
      <c r="J221" s="174">
        <v>0</v>
      </c>
      <c r="K221" s="176">
        <v>132.6</v>
      </c>
      <c r="L221" s="176">
        <v>0</v>
      </c>
      <c r="M221" s="183"/>
    </row>
    <row r="222" spans="1:13" ht="13.5" customHeight="1">
      <c r="B222" s="179" t="s">
        <v>10</v>
      </c>
      <c r="C222" s="174">
        <v>272.5</v>
      </c>
      <c r="D222" s="174">
        <v>0</v>
      </c>
      <c r="E222" s="174">
        <v>290.10000000000002</v>
      </c>
      <c r="F222" s="174">
        <v>0</v>
      </c>
      <c r="G222" s="174">
        <v>221.6</v>
      </c>
      <c r="H222" s="174">
        <v>0</v>
      </c>
      <c r="I222" s="174">
        <v>239.1</v>
      </c>
      <c r="J222" s="174">
        <v>0</v>
      </c>
      <c r="K222" s="176">
        <v>132.6</v>
      </c>
      <c r="L222" s="176">
        <v>0</v>
      </c>
      <c r="M222" s="183"/>
    </row>
    <row r="223" spans="1:13" ht="13.5" customHeight="1">
      <c r="B223" s="179" t="s">
        <v>11</v>
      </c>
      <c r="C223" s="174">
        <v>272.5</v>
      </c>
      <c r="D223" s="174">
        <v>0</v>
      </c>
      <c r="E223" s="174">
        <v>290.10000000000002</v>
      </c>
      <c r="F223" s="174">
        <v>0</v>
      </c>
      <c r="G223" s="174">
        <v>221.6</v>
      </c>
      <c r="H223" s="174">
        <v>0</v>
      </c>
      <c r="I223" s="174">
        <v>239.1</v>
      </c>
      <c r="J223" s="174">
        <v>0</v>
      </c>
      <c r="K223" s="176">
        <v>132.6</v>
      </c>
      <c r="L223" s="176">
        <v>0</v>
      </c>
      <c r="M223" s="183"/>
    </row>
    <row r="224" spans="1:13" ht="13.5" customHeight="1">
      <c r="B224" s="179" t="s">
        <v>12</v>
      </c>
      <c r="C224" s="174">
        <v>272.5</v>
      </c>
      <c r="D224" s="174">
        <v>0</v>
      </c>
      <c r="E224" s="174">
        <v>290.10000000000002</v>
      </c>
      <c r="F224" s="174">
        <v>0</v>
      </c>
      <c r="G224" s="174">
        <v>221.6</v>
      </c>
      <c r="H224" s="174">
        <v>0</v>
      </c>
      <c r="I224" s="174">
        <v>239.1</v>
      </c>
      <c r="J224" s="174">
        <v>0</v>
      </c>
      <c r="K224" s="176">
        <v>132.6</v>
      </c>
      <c r="L224" s="176">
        <v>0</v>
      </c>
      <c r="M224" s="183"/>
    </row>
    <row r="225" spans="1:13" ht="13.5" customHeight="1">
      <c r="B225" s="179" t="s">
        <v>13</v>
      </c>
      <c r="C225" s="174">
        <v>272.5</v>
      </c>
      <c r="D225" s="174">
        <v>0</v>
      </c>
      <c r="E225" s="174">
        <v>290.10000000000002</v>
      </c>
      <c r="F225" s="174">
        <v>0</v>
      </c>
      <c r="G225" s="174">
        <v>221.6</v>
      </c>
      <c r="H225" s="174">
        <v>0</v>
      </c>
      <c r="I225" s="174">
        <v>239.1</v>
      </c>
      <c r="J225" s="174">
        <v>0</v>
      </c>
      <c r="K225" s="176">
        <v>132.6</v>
      </c>
      <c r="L225" s="176">
        <v>0</v>
      </c>
      <c r="M225" s="183"/>
    </row>
    <row r="226" spans="1:13" ht="13.5" customHeight="1">
      <c r="B226" s="168" t="s">
        <v>14</v>
      </c>
      <c r="C226" s="174">
        <v>272.5</v>
      </c>
      <c r="D226" s="174">
        <v>0</v>
      </c>
      <c r="E226" s="174">
        <v>290.10000000000002</v>
      </c>
      <c r="F226" s="174">
        <v>0</v>
      </c>
      <c r="G226" s="174">
        <v>221.6</v>
      </c>
      <c r="H226" s="174">
        <v>0</v>
      </c>
      <c r="I226" s="174">
        <v>239.1</v>
      </c>
      <c r="J226" s="174">
        <v>0</v>
      </c>
      <c r="K226" s="176">
        <v>132.6</v>
      </c>
      <c r="L226" s="176">
        <v>0</v>
      </c>
      <c r="M226" s="183"/>
    </row>
    <row r="227" spans="1:13" ht="13.5" customHeight="1">
      <c r="C227" s="174"/>
      <c r="D227" s="174"/>
      <c r="E227" s="174"/>
      <c r="F227" s="174"/>
      <c r="G227" s="174"/>
      <c r="H227" s="174"/>
      <c r="I227" s="174"/>
      <c r="J227" s="174"/>
      <c r="K227" s="176"/>
      <c r="L227" s="176"/>
      <c r="M227" s="183"/>
    </row>
    <row r="228" spans="1:13" ht="13.5" customHeight="1">
      <c r="A228" s="175">
        <v>2025</v>
      </c>
      <c r="B228" s="179" t="s">
        <v>3</v>
      </c>
      <c r="C228" s="174">
        <v>272.5</v>
      </c>
      <c r="D228" s="174">
        <v>0</v>
      </c>
      <c r="E228" s="174">
        <v>290.10000000000002</v>
      </c>
      <c r="F228" s="174">
        <v>0</v>
      </c>
      <c r="G228" s="174">
        <v>221.6</v>
      </c>
      <c r="H228" s="174">
        <v>0</v>
      </c>
      <c r="I228" s="174">
        <v>239.1</v>
      </c>
      <c r="J228" s="174">
        <v>0</v>
      </c>
      <c r="K228" s="176">
        <v>132.6</v>
      </c>
      <c r="L228" s="176">
        <v>0</v>
      </c>
      <c r="M228" s="183"/>
    </row>
    <row r="229" spans="1:13" ht="13.5" customHeight="1">
      <c r="B229" s="179" t="s">
        <v>4</v>
      </c>
      <c r="C229" s="174">
        <v>272.5</v>
      </c>
      <c r="D229" s="174">
        <v>0</v>
      </c>
      <c r="E229" s="174">
        <v>290.10000000000002</v>
      </c>
      <c r="F229" s="174">
        <v>0</v>
      </c>
      <c r="G229" s="174">
        <v>221.6</v>
      </c>
      <c r="H229" s="174">
        <v>0</v>
      </c>
      <c r="I229" s="174">
        <v>239.1</v>
      </c>
      <c r="J229" s="174">
        <v>0</v>
      </c>
      <c r="K229" s="176">
        <v>132.6</v>
      </c>
      <c r="L229" s="176">
        <v>0</v>
      </c>
      <c r="M229" s="183"/>
    </row>
    <row r="230" spans="1:13" ht="13.5" customHeight="1">
      <c r="B230" s="179" t="s">
        <v>5</v>
      </c>
      <c r="C230" s="174">
        <v>272.5</v>
      </c>
      <c r="D230" s="174">
        <v>0</v>
      </c>
      <c r="E230" s="174">
        <v>290.10000000000002</v>
      </c>
      <c r="F230" s="174">
        <v>0</v>
      </c>
      <c r="G230" s="174">
        <v>221.6</v>
      </c>
      <c r="H230" s="174">
        <v>0</v>
      </c>
      <c r="I230" s="174">
        <v>239.1</v>
      </c>
      <c r="J230" s="174">
        <v>0</v>
      </c>
      <c r="K230" s="176">
        <v>132.6</v>
      </c>
      <c r="L230" s="176">
        <v>0</v>
      </c>
      <c r="M230" s="183"/>
    </row>
    <row r="231" spans="1:13" ht="13.5" customHeight="1">
      <c r="A231" s="184"/>
      <c r="B231" s="179" t="s">
        <v>6</v>
      </c>
      <c r="C231" s="174">
        <v>272.5</v>
      </c>
      <c r="D231" s="174">
        <v>0</v>
      </c>
      <c r="E231" s="174">
        <v>290.10000000000002</v>
      </c>
      <c r="F231" s="174">
        <v>0</v>
      </c>
      <c r="G231" s="174">
        <v>221.6</v>
      </c>
      <c r="H231" s="174">
        <v>0</v>
      </c>
      <c r="I231" s="174">
        <v>239.1</v>
      </c>
      <c r="J231" s="174">
        <v>0</v>
      </c>
      <c r="K231" s="176">
        <v>132.6</v>
      </c>
      <c r="L231" s="176">
        <v>0</v>
      </c>
      <c r="M231" s="183"/>
    </row>
    <row r="232" spans="1:13" ht="13.5" customHeight="1">
      <c r="B232" s="179" t="s">
        <v>7</v>
      </c>
      <c r="C232" s="174">
        <v>272.5</v>
      </c>
      <c r="D232" s="174">
        <v>0</v>
      </c>
      <c r="E232" s="174">
        <v>290.10000000000002</v>
      </c>
      <c r="F232" s="174">
        <v>0</v>
      </c>
      <c r="G232" s="174">
        <v>221.6</v>
      </c>
      <c r="H232" s="174">
        <v>0</v>
      </c>
      <c r="I232" s="174">
        <v>239.1</v>
      </c>
      <c r="J232" s="174">
        <v>0</v>
      </c>
      <c r="K232" s="176">
        <v>132.6</v>
      </c>
      <c r="L232" s="176">
        <v>0</v>
      </c>
      <c r="M232" s="183"/>
    </row>
    <row r="233" spans="1:13" ht="13.5" customHeight="1">
      <c r="B233" s="179" t="s">
        <v>8</v>
      </c>
      <c r="C233" s="174">
        <v>272.5</v>
      </c>
      <c r="D233" s="174">
        <v>0</v>
      </c>
      <c r="E233" s="174">
        <v>290.10000000000002</v>
      </c>
      <c r="F233" s="174">
        <v>0</v>
      </c>
      <c r="G233" s="174">
        <v>221.6</v>
      </c>
      <c r="H233" s="174">
        <v>0</v>
      </c>
      <c r="I233" s="174">
        <v>239.1</v>
      </c>
      <c r="J233" s="174">
        <v>0</v>
      </c>
      <c r="K233" s="176">
        <v>133.06</v>
      </c>
      <c r="L233" s="176">
        <v>0.34690799396681626</v>
      </c>
      <c r="M233" s="183"/>
    </row>
    <row r="234" spans="1:13" ht="13.5" customHeight="1">
      <c r="B234" s="179" t="s">
        <v>9</v>
      </c>
      <c r="C234" s="174">
        <v>272.5</v>
      </c>
      <c r="D234" s="174">
        <v>0</v>
      </c>
      <c r="E234" s="174">
        <v>290.10000000000002</v>
      </c>
      <c r="F234" s="174">
        <v>0</v>
      </c>
      <c r="G234" s="174">
        <v>224.8</v>
      </c>
      <c r="H234" s="174">
        <v>1.4440433212996373</v>
      </c>
      <c r="I234" s="174">
        <v>242.1</v>
      </c>
      <c r="J234" s="174">
        <v>1.2547051442910906</v>
      </c>
      <c r="K234" s="176">
        <v>137.19999999999999</v>
      </c>
      <c r="L234" s="176">
        <v>3.1113783255674043</v>
      </c>
      <c r="M234" s="183"/>
    </row>
    <row r="235" spans="1:13" ht="13.5" customHeight="1">
      <c r="B235" s="179" t="s">
        <v>10</v>
      </c>
      <c r="C235" s="174">
        <v>272.5</v>
      </c>
      <c r="D235" s="174">
        <v>0</v>
      </c>
      <c r="E235" s="174">
        <v>290.10000000000002</v>
      </c>
      <c r="F235" s="174">
        <v>0</v>
      </c>
      <c r="G235" s="174">
        <v>224.8</v>
      </c>
      <c r="H235" s="174">
        <v>0</v>
      </c>
      <c r="I235" s="174">
        <v>242.1</v>
      </c>
      <c r="J235" s="174">
        <v>0</v>
      </c>
      <c r="K235" s="176">
        <v>137.19999999999999</v>
      </c>
      <c r="L235" s="176">
        <v>0</v>
      </c>
      <c r="M235" s="183"/>
    </row>
    <row r="236" spans="1:13" ht="13.5" customHeight="1">
      <c r="B236" s="179" t="s">
        <v>11</v>
      </c>
      <c r="C236" s="174">
        <v>272.5</v>
      </c>
      <c r="D236" s="174">
        <v>0</v>
      </c>
      <c r="E236" s="174">
        <v>290.10000000000002</v>
      </c>
      <c r="F236" s="174">
        <v>0</v>
      </c>
      <c r="G236" s="174">
        <v>224.8</v>
      </c>
      <c r="H236" s="174">
        <v>0</v>
      </c>
      <c r="I236" s="174">
        <v>242.1</v>
      </c>
      <c r="J236" s="174">
        <v>0</v>
      </c>
      <c r="K236" s="176">
        <v>137.19999999999999</v>
      </c>
      <c r="L236" s="176">
        <v>0</v>
      </c>
      <c r="M236" s="183"/>
    </row>
    <row r="237" spans="1:13" ht="13.5" customHeight="1">
      <c r="B237" s="179" t="s">
        <v>12</v>
      </c>
      <c r="C237" s="174">
        <v>272.5</v>
      </c>
      <c r="D237" s="174">
        <v>0</v>
      </c>
      <c r="E237" s="174">
        <v>290.10000000000002</v>
      </c>
      <c r="F237" s="174">
        <v>0</v>
      </c>
      <c r="G237" s="174">
        <v>224.8</v>
      </c>
      <c r="H237" s="174">
        <v>0</v>
      </c>
      <c r="I237" s="174">
        <v>242.1</v>
      </c>
      <c r="J237" s="174">
        <v>0</v>
      </c>
      <c r="K237" s="176">
        <v>137.19999999999999</v>
      </c>
      <c r="L237" s="176">
        <v>0</v>
      </c>
      <c r="M237" s="183"/>
    </row>
    <row r="238" spans="1:13" ht="13.5" customHeight="1">
      <c r="B238" s="179" t="s">
        <v>13</v>
      </c>
      <c r="C238" s="174">
        <v>272.5</v>
      </c>
      <c r="D238" s="174">
        <v>0</v>
      </c>
      <c r="E238" s="174">
        <v>290.10000000000002</v>
      </c>
      <c r="F238" s="174">
        <v>0</v>
      </c>
      <c r="G238" s="174">
        <v>224.8</v>
      </c>
      <c r="H238" s="174">
        <v>0</v>
      </c>
      <c r="I238" s="174">
        <v>242.1</v>
      </c>
      <c r="J238" s="174">
        <v>0</v>
      </c>
      <c r="K238" s="176">
        <v>137.19999999999999</v>
      </c>
      <c r="L238" s="176">
        <v>0</v>
      </c>
      <c r="M238" s="183"/>
    </row>
    <row r="239" spans="1:13" ht="13.5" customHeight="1">
      <c r="B239" s="168" t="s">
        <v>14</v>
      </c>
      <c r="C239" s="174">
        <v>272.5</v>
      </c>
      <c r="D239" s="174">
        <v>0</v>
      </c>
      <c r="E239" s="174">
        <v>290.10000000000002</v>
      </c>
      <c r="F239" s="174">
        <v>0</v>
      </c>
      <c r="G239" s="174">
        <v>224.8</v>
      </c>
      <c r="H239" s="174">
        <v>0</v>
      </c>
      <c r="I239" s="174">
        <v>242.1</v>
      </c>
      <c r="J239" s="174">
        <v>0</v>
      </c>
      <c r="K239" s="176">
        <v>137.19999999999999</v>
      </c>
      <c r="L239" s="176">
        <v>0</v>
      </c>
      <c r="M239" s="183"/>
    </row>
    <row r="240" spans="1:13" ht="5.2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</row>
    <row r="241" spans="1:5" ht="16.5" customHeight="1">
      <c r="A241" s="224" t="s">
        <v>307</v>
      </c>
      <c r="C241" s="168"/>
      <c r="E241" s="168"/>
    </row>
    <row r="242" spans="1:5">
      <c r="C242" s="168"/>
      <c r="E242" s="168"/>
    </row>
    <row r="243" spans="1:5">
      <c r="C243" s="168"/>
      <c r="E243" s="168"/>
    </row>
    <row r="244" spans="1:5">
      <c r="C244" s="168"/>
      <c r="E244" s="168"/>
    </row>
    <row r="245" spans="1:5">
      <c r="C245" s="168"/>
      <c r="E245" s="168"/>
    </row>
    <row r="246" spans="1:5">
      <c r="C246" s="168"/>
      <c r="E246" s="168"/>
    </row>
    <row r="247" spans="1:5">
      <c r="C247" s="168"/>
      <c r="E247" s="168"/>
    </row>
    <row r="248" spans="1:5">
      <c r="C248" s="168"/>
      <c r="E248" s="168"/>
    </row>
    <row r="249" spans="1:5">
      <c r="C249" s="168"/>
      <c r="E249" s="168"/>
    </row>
    <row r="250" spans="1:5">
      <c r="C250" s="168"/>
      <c r="E250" s="168"/>
    </row>
    <row r="251" spans="1:5">
      <c r="C251" s="168"/>
      <c r="E251" s="168"/>
    </row>
    <row r="252" spans="1:5">
      <c r="C252" s="168"/>
      <c r="E252" s="168"/>
    </row>
    <row r="253" spans="1:5">
      <c r="C253" s="168"/>
      <c r="E253" s="168"/>
    </row>
    <row r="254" spans="1:5">
      <c r="C254" s="168"/>
      <c r="E254" s="168"/>
    </row>
    <row r="255" spans="1:5">
      <c r="C255" s="168"/>
      <c r="E255" s="168"/>
    </row>
    <row r="256" spans="1:5">
      <c r="C256" s="168"/>
      <c r="E256" s="168"/>
    </row>
    <row r="257" s="168" customFormat="1"/>
    <row r="258" s="168" customFormat="1"/>
    <row r="259" s="168" customFormat="1"/>
    <row r="260" s="168" customFormat="1"/>
    <row r="261" s="168" customFormat="1"/>
    <row r="262" s="168" customFormat="1"/>
    <row r="263" s="168" customFormat="1"/>
    <row r="264" s="168" customFormat="1"/>
    <row r="265" s="168" customFormat="1"/>
    <row r="266" s="168" customFormat="1"/>
    <row r="267" s="168" customFormat="1"/>
    <row r="268" s="168" customFormat="1"/>
    <row r="269" s="168" customFormat="1"/>
    <row r="270" s="168" customFormat="1"/>
    <row r="271" s="168" customFormat="1"/>
    <row r="272" s="168" customFormat="1"/>
    <row r="273" s="168" customFormat="1"/>
    <row r="274" s="168" customFormat="1"/>
    <row r="275" s="168" customFormat="1"/>
    <row r="276" s="168" customFormat="1"/>
    <row r="277" s="168" customFormat="1"/>
    <row r="278" s="168" customFormat="1"/>
    <row r="279" s="168" customFormat="1"/>
    <row r="280" s="168" customFormat="1"/>
    <row r="281" s="168" customFormat="1"/>
    <row r="282" s="168" customFormat="1"/>
    <row r="283" s="168" customFormat="1"/>
    <row r="284" s="168" customFormat="1"/>
    <row r="285" s="168" customFormat="1"/>
    <row r="286" s="168" customFormat="1"/>
    <row r="287" s="168" customFormat="1"/>
    <row r="288" s="168" customFormat="1"/>
    <row r="289" s="168" customFormat="1"/>
    <row r="290" s="168" customFormat="1"/>
    <row r="291" s="168" customFormat="1"/>
    <row r="292" s="168" customFormat="1"/>
    <row r="293" s="168" customFormat="1"/>
    <row r="294" s="168" customFormat="1"/>
    <row r="295" s="168" customFormat="1"/>
    <row r="296" s="168" customFormat="1"/>
    <row r="297" s="168" customFormat="1"/>
    <row r="298" s="168" customFormat="1"/>
    <row r="299" s="168" customFormat="1"/>
    <row r="300" s="168" customFormat="1"/>
    <row r="301" s="168" customFormat="1"/>
    <row r="302" s="168" customFormat="1"/>
    <row r="303" s="168" customFormat="1"/>
    <row r="304" s="168" customFormat="1"/>
    <row r="305" s="168" customFormat="1"/>
    <row r="306" s="168" customFormat="1"/>
    <row r="307" s="168" customFormat="1"/>
    <row r="308" s="168" customFormat="1"/>
    <row r="309" s="168" customFormat="1"/>
    <row r="310" s="168" customFormat="1"/>
    <row r="311" s="168" customFormat="1"/>
    <row r="312" s="168" customFormat="1"/>
    <row r="313" s="168" customFormat="1"/>
    <row r="314" s="168" customFormat="1"/>
    <row r="315" s="168" customFormat="1"/>
    <row r="316" s="168" customFormat="1"/>
    <row r="317" s="168" customFormat="1"/>
    <row r="318" s="168" customFormat="1"/>
    <row r="319" s="168" customFormat="1"/>
    <row r="320" s="168" customFormat="1"/>
    <row r="321" s="168" customFormat="1"/>
    <row r="322" s="168" customFormat="1"/>
    <row r="323" s="168" customFormat="1"/>
    <row r="324" s="168" customFormat="1"/>
    <row r="325" s="168" customFormat="1"/>
    <row r="326" s="168" customFormat="1"/>
    <row r="327" s="168" customFormat="1"/>
    <row r="328" s="168" customFormat="1"/>
    <row r="329" s="168" customFormat="1"/>
    <row r="330" s="168" customFormat="1"/>
    <row r="331" s="168" customFormat="1"/>
    <row r="332" s="168" customFormat="1"/>
    <row r="333" s="168" customFormat="1"/>
    <row r="334" s="168" customFormat="1"/>
    <row r="335" s="168" customFormat="1"/>
    <row r="336" s="168" customFormat="1"/>
    <row r="337" s="168" customFormat="1"/>
    <row r="338" s="168" customFormat="1"/>
    <row r="339" s="168" customFormat="1"/>
    <row r="340" s="168" customFormat="1"/>
    <row r="341" s="168" customFormat="1"/>
    <row r="342" s="168" customFormat="1"/>
    <row r="343" s="168" customFormat="1"/>
    <row r="344" s="168" customFormat="1"/>
    <row r="345" s="168" customFormat="1"/>
    <row r="346" s="168" customFormat="1"/>
    <row r="347" s="168" customFormat="1"/>
    <row r="348" s="168" customFormat="1"/>
    <row r="349" s="168" customFormat="1"/>
    <row r="350" s="168" customFormat="1"/>
    <row r="351" s="168" customFormat="1"/>
    <row r="352" s="168" customFormat="1"/>
    <row r="353" s="168" customFormat="1"/>
    <row r="354" s="168" customFormat="1"/>
    <row r="355" s="168" customFormat="1"/>
    <row r="356" s="168" customFormat="1"/>
    <row r="357" s="168" customFormat="1"/>
    <row r="358" s="168" customFormat="1"/>
    <row r="359" s="168" customFormat="1"/>
    <row r="360" s="168" customFormat="1"/>
    <row r="361" s="168" customFormat="1"/>
    <row r="362" s="168" customFormat="1"/>
    <row r="363" s="168" customFormat="1"/>
    <row r="364" s="168" customFormat="1"/>
    <row r="365" s="168" customFormat="1"/>
    <row r="366" s="168" customFormat="1"/>
    <row r="367" s="168" customFormat="1"/>
    <row r="368" s="168" customFormat="1"/>
    <row r="369" s="168" customFormat="1"/>
    <row r="370" s="168" customFormat="1"/>
    <row r="371" s="168" customFormat="1"/>
    <row r="372" s="168" customFormat="1"/>
    <row r="373" s="168" customFormat="1"/>
    <row r="374" s="168" customFormat="1"/>
    <row r="375" s="168" customFormat="1"/>
    <row r="376" s="168" customFormat="1"/>
    <row r="377" s="168" customFormat="1"/>
    <row r="378" s="168" customFormat="1"/>
    <row r="379" s="168" customFormat="1"/>
    <row r="380" s="168" customFormat="1"/>
    <row r="381" s="168" customFormat="1"/>
    <row r="382" s="168" customFormat="1"/>
    <row r="383" s="168" customFormat="1"/>
    <row r="384" s="168" customFormat="1"/>
    <row r="385" s="168" customFormat="1"/>
    <row r="386" s="168" customFormat="1"/>
    <row r="387" s="168" customFormat="1"/>
    <row r="388" s="168" customFormat="1"/>
    <row r="389" s="168" customFormat="1"/>
    <row r="390" s="168" customFormat="1"/>
    <row r="391" s="168" customFormat="1"/>
    <row r="392" s="168" customFormat="1"/>
    <row r="393" s="168" customFormat="1"/>
    <row r="394" s="168" customFormat="1"/>
    <row r="395" s="168" customFormat="1"/>
    <row r="396" s="168" customFormat="1"/>
    <row r="397" s="168" customFormat="1"/>
    <row r="398" s="168" customFormat="1"/>
    <row r="399" s="168" customFormat="1"/>
    <row r="400" s="168" customFormat="1"/>
    <row r="401" s="168" customFormat="1"/>
    <row r="402" s="168" customFormat="1"/>
    <row r="403" s="168" customFormat="1"/>
    <row r="404" s="168" customFormat="1"/>
    <row r="405" s="168" customFormat="1"/>
    <row r="406" s="168" customFormat="1"/>
    <row r="407" s="168" customFormat="1"/>
    <row r="408" s="168" customFormat="1"/>
    <row r="409" s="168" customFormat="1"/>
    <row r="410" s="168" customFormat="1"/>
    <row r="411" s="168" customFormat="1"/>
    <row r="412" s="168" customFormat="1"/>
    <row r="413" s="168" customFormat="1"/>
    <row r="414" s="168" customFormat="1"/>
    <row r="415" s="168" customFormat="1"/>
    <row r="416" s="168" customFormat="1"/>
    <row r="417" s="168" customFormat="1"/>
    <row r="418" s="168" customFormat="1"/>
    <row r="419" s="168" customFormat="1"/>
    <row r="420" s="168" customFormat="1"/>
    <row r="421" s="168" customFormat="1"/>
    <row r="422" s="168" customFormat="1"/>
    <row r="423" s="168" customFormat="1"/>
    <row r="424" s="168" customFormat="1"/>
    <row r="425" s="168" customFormat="1"/>
    <row r="426" s="168" customFormat="1"/>
    <row r="427" s="168" customFormat="1"/>
    <row r="428" s="168" customFormat="1"/>
    <row r="429" s="168" customFormat="1"/>
    <row r="430" s="168" customFormat="1"/>
    <row r="431" s="168" customFormat="1"/>
    <row r="432" s="168" customFormat="1"/>
    <row r="433" s="168" customFormat="1"/>
    <row r="434" s="168" customFormat="1"/>
    <row r="435" s="168" customFormat="1"/>
    <row r="436" s="168" customFormat="1"/>
    <row r="437" s="168" customFormat="1"/>
    <row r="438" s="168" customFormat="1"/>
    <row r="439" s="168" customFormat="1"/>
    <row r="440" s="168" customFormat="1"/>
    <row r="441" s="168" customFormat="1"/>
    <row r="442" s="168" customFormat="1"/>
    <row r="443" s="168" customFormat="1"/>
    <row r="444" s="168" customFormat="1"/>
    <row r="445" s="168" customFormat="1"/>
    <row r="446" s="168" customFormat="1"/>
    <row r="447" s="168" customFormat="1"/>
    <row r="448" s="168" customFormat="1"/>
    <row r="449" s="168" customFormat="1"/>
    <row r="450" s="168" customFormat="1"/>
    <row r="451" s="168" customFormat="1"/>
    <row r="452" s="168" customFormat="1"/>
    <row r="453" s="168" customFormat="1"/>
    <row r="454" s="168" customFormat="1"/>
    <row r="455" s="168" customFormat="1"/>
    <row r="456" s="168" customFormat="1"/>
    <row r="457" s="168" customFormat="1"/>
    <row r="458" s="168" customFormat="1"/>
    <row r="459" s="168" customFormat="1"/>
    <row r="460" s="168" customFormat="1"/>
    <row r="461" s="168" customFormat="1"/>
    <row r="462" s="168" customFormat="1"/>
    <row r="463" s="168" customFormat="1"/>
    <row r="464" s="168" customFormat="1"/>
    <row r="465" s="168" customFormat="1"/>
    <row r="466" s="168" customFormat="1"/>
    <row r="467" s="168" customFormat="1"/>
    <row r="468" s="168" customFormat="1"/>
    <row r="469" s="168" customFormat="1"/>
    <row r="470" s="168" customFormat="1"/>
    <row r="471" s="168" customFormat="1"/>
    <row r="472" s="168" customFormat="1"/>
    <row r="473" s="168" customFormat="1"/>
    <row r="474" s="168" customFormat="1"/>
    <row r="475" s="168" customFormat="1"/>
    <row r="476" s="168" customFormat="1"/>
    <row r="477" s="168" customFormat="1"/>
    <row r="478" s="168" customFormat="1"/>
    <row r="479" s="168" customFormat="1"/>
    <row r="480" s="168" customFormat="1"/>
    <row r="481" s="168" customFormat="1"/>
    <row r="482" s="168" customFormat="1"/>
    <row r="483" s="168" customFormat="1"/>
    <row r="484" s="168" customFormat="1"/>
    <row r="485" s="168" customFormat="1"/>
    <row r="486" s="168" customFormat="1"/>
    <row r="487" s="168" customFormat="1"/>
    <row r="488" s="168" customFormat="1"/>
    <row r="489" s="168" customFormat="1"/>
    <row r="490" s="168" customFormat="1"/>
    <row r="491" s="168" customFormat="1"/>
    <row r="492" s="168" customFormat="1"/>
    <row r="493" s="168" customFormat="1"/>
    <row r="494" s="168" customFormat="1"/>
    <row r="495" s="168" customFormat="1"/>
    <row r="496" s="168" customFormat="1"/>
    <row r="497" s="168" customFormat="1"/>
    <row r="498" s="168" customFormat="1"/>
    <row r="499" s="168" customFormat="1"/>
    <row r="500" s="168" customFormat="1"/>
    <row r="501" s="168" customFormat="1"/>
    <row r="502" s="168" customFormat="1"/>
    <row r="503" s="168" customFormat="1"/>
    <row r="504" s="168" customFormat="1"/>
    <row r="505" s="168" customFormat="1"/>
    <row r="506" s="168" customFormat="1"/>
    <row r="507" s="168" customFormat="1"/>
    <row r="508" s="168" customFormat="1"/>
    <row r="509" s="168" customFormat="1"/>
    <row r="510" s="168" customFormat="1"/>
    <row r="511" s="168" customFormat="1"/>
    <row r="512" s="168" customFormat="1"/>
    <row r="513" s="168" customFormat="1"/>
    <row r="514" s="168" customFormat="1"/>
    <row r="515" s="168" customFormat="1"/>
    <row r="516" s="168" customFormat="1"/>
    <row r="517" s="168" customFormat="1"/>
    <row r="518" s="168" customFormat="1"/>
    <row r="519" s="168" customFormat="1"/>
    <row r="520" s="168" customFormat="1"/>
    <row r="521" s="168" customFormat="1"/>
    <row r="522" s="168" customFormat="1"/>
    <row r="523" s="168" customFormat="1"/>
    <row r="524" s="168" customFormat="1"/>
    <row r="525" s="168" customFormat="1"/>
    <row r="526" s="168" customFormat="1"/>
    <row r="527" s="168" customFormat="1"/>
    <row r="528" s="168" customFormat="1"/>
    <row r="529" s="168" customFormat="1"/>
    <row r="530" s="168" customFormat="1"/>
    <row r="531" s="168" customFormat="1"/>
    <row r="532" s="168" customFormat="1"/>
    <row r="533" s="168" customFormat="1"/>
    <row r="534" s="168" customFormat="1"/>
    <row r="535" s="168" customFormat="1"/>
    <row r="536" s="168" customFormat="1"/>
    <row r="537" s="168" customFormat="1"/>
    <row r="538" s="168" customFormat="1"/>
    <row r="539" s="168" customFormat="1"/>
    <row r="540" s="168" customFormat="1"/>
    <row r="541" s="168" customFormat="1"/>
    <row r="542" s="168" customFormat="1"/>
    <row r="543" s="168" customFormat="1"/>
    <row r="544" s="168" customFormat="1"/>
    <row r="545" s="168" customFormat="1"/>
    <row r="546" s="168" customFormat="1"/>
    <row r="547" s="168" customFormat="1"/>
    <row r="548" s="168" customFormat="1"/>
    <row r="549" s="168" customFormat="1"/>
    <row r="550" s="168" customFormat="1"/>
    <row r="551" s="168" customFormat="1"/>
    <row r="552" s="168" customFormat="1"/>
    <row r="553" s="168" customFormat="1"/>
    <row r="554" s="168" customFormat="1"/>
    <row r="555" s="168" customFormat="1"/>
    <row r="556" s="168" customFormat="1"/>
    <row r="557" s="168" customFormat="1"/>
    <row r="558" s="168" customFormat="1"/>
    <row r="559" s="168" customFormat="1"/>
    <row r="560" s="168" customFormat="1"/>
    <row r="561" s="168" customFormat="1"/>
    <row r="562" s="168" customFormat="1"/>
    <row r="563" s="168" customFormat="1"/>
    <row r="564" s="168" customFormat="1"/>
    <row r="565" s="168" customFormat="1"/>
    <row r="566" s="168" customFormat="1"/>
    <row r="567" s="168" customFormat="1"/>
    <row r="568" s="168" customFormat="1"/>
    <row r="569" s="168" customFormat="1"/>
    <row r="570" s="168" customFormat="1"/>
    <row r="571" s="168" customFormat="1"/>
    <row r="572" s="168" customFormat="1"/>
    <row r="573" s="168" customFormat="1"/>
    <row r="574" s="168" customFormat="1"/>
    <row r="575" s="168" customFormat="1"/>
    <row r="576" s="168" customFormat="1"/>
    <row r="577" s="168" customFormat="1"/>
    <row r="578" s="168" customFormat="1"/>
    <row r="579" s="168" customFormat="1"/>
    <row r="580" s="168" customFormat="1"/>
    <row r="581" s="168" customFormat="1"/>
    <row r="582" s="168" customFormat="1"/>
    <row r="583" s="168" customFormat="1"/>
    <row r="584" s="168" customFormat="1"/>
    <row r="585" s="168" customFormat="1"/>
    <row r="586" s="168" customFormat="1"/>
    <row r="587" s="168" customFormat="1"/>
    <row r="588" s="168" customFormat="1"/>
    <row r="589" s="168" customFormat="1"/>
    <row r="590" s="168" customFormat="1"/>
    <row r="591" s="168" customFormat="1"/>
    <row r="592" s="168" customFormat="1"/>
    <row r="593" s="168" customFormat="1"/>
    <row r="594" s="168" customFormat="1"/>
    <row r="595" s="168" customFormat="1"/>
    <row r="596" s="168" customFormat="1"/>
    <row r="597" s="168" customFormat="1"/>
    <row r="598" s="168" customFormat="1"/>
    <row r="599" s="168" customFormat="1"/>
    <row r="600" s="168" customFormat="1"/>
    <row r="601" s="168" customFormat="1"/>
    <row r="602" s="168" customFormat="1"/>
    <row r="603" s="168" customFormat="1"/>
    <row r="604" s="168" customFormat="1"/>
    <row r="605" s="168" customFormat="1"/>
    <row r="606" s="168" customFormat="1"/>
    <row r="607" s="168" customFormat="1"/>
    <row r="608" s="168" customFormat="1"/>
    <row r="609" s="168" customFormat="1"/>
    <row r="610" s="168" customFormat="1"/>
    <row r="611" s="168" customFormat="1"/>
    <row r="612" s="168" customFormat="1"/>
    <row r="613" s="168" customFormat="1"/>
    <row r="614" s="168" customFormat="1"/>
    <row r="615" s="168" customFormat="1"/>
    <row r="616" s="168" customFormat="1"/>
    <row r="617" s="168" customFormat="1"/>
    <row r="618" s="168" customFormat="1"/>
    <row r="619" s="168" customFormat="1"/>
    <row r="620" s="168" customFormat="1"/>
    <row r="621" s="168" customFormat="1"/>
    <row r="622" s="168" customFormat="1"/>
    <row r="623" s="168" customFormat="1"/>
    <row r="624" s="168" customFormat="1"/>
    <row r="625" s="168" customFormat="1"/>
    <row r="626" s="168" customFormat="1"/>
    <row r="627" s="168" customFormat="1"/>
    <row r="628" s="168" customFormat="1"/>
    <row r="629" s="168" customFormat="1"/>
    <row r="630" s="168" customFormat="1"/>
    <row r="631" s="168" customFormat="1"/>
    <row r="632" s="168" customFormat="1"/>
    <row r="633" s="168" customFormat="1"/>
    <row r="634" s="168" customFormat="1"/>
    <row r="635" s="168" customFormat="1"/>
    <row r="636" s="168" customFormat="1"/>
    <row r="637" s="168" customFormat="1"/>
    <row r="638" s="168" customFormat="1"/>
    <row r="639" s="168" customFormat="1"/>
    <row r="640" s="168" customFormat="1"/>
    <row r="641" s="168" customFormat="1"/>
    <row r="642" s="168" customFormat="1"/>
    <row r="643" s="168" customFormat="1"/>
    <row r="644" s="168" customFormat="1"/>
    <row r="645" s="168" customFormat="1"/>
    <row r="646" s="168" customFormat="1"/>
    <row r="647" s="168" customFormat="1"/>
    <row r="648" s="168" customFormat="1"/>
    <row r="649" s="168" customFormat="1"/>
    <row r="650" s="168" customFormat="1"/>
    <row r="651" s="168" customFormat="1"/>
    <row r="652" s="168" customFormat="1"/>
    <row r="653" s="168" customFormat="1"/>
    <row r="654" s="168" customFormat="1"/>
    <row r="655" s="168" customFormat="1"/>
    <row r="656" s="168" customFormat="1"/>
    <row r="657" s="168" customFormat="1"/>
    <row r="658" s="168" customFormat="1"/>
    <row r="659" s="168" customFormat="1"/>
    <row r="660" s="168" customFormat="1"/>
    <row r="661" s="168" customFormat="1"/>
    <row r="662" s="168" customFormat="1"/>
    <row r="663" s="168" customFormat="1"/>
    <row r="664" s="168" customFormat="1"/>
    <row r="665" s="168" customFormat="1"/>
    <row r="666" s="168" customFormat="1"/>
    <row r="667" s="168" customFormat="1"/>
    <row r="668" s="168" customFormat="1"/>
    <row r="669" s="168" customFormat="1"/>
    <row r="670" s="168" customFormat="1"/>
    <row r="671" s="168" customFormat="1"/>
    <row r="672" s="168" customFormat="1"/>
    <row r="673" s="168" customFormat="1"/>
    <row r="674" s="168" customFormat="1"/>
    <row r="675" s="168" customFormat="1"/>
    <row r="676" s="168" customFormat="1"/>
    <row r="677" s="168" customFormat="1"/>
    <row r="678" s="168" customFormat="1"/>
    <row r="679" s="168" customFormat="1"/>
    <row r="680" s="168" customFormat="1"/>
    <row r="681" s="168" customFormat="1"/>
    <row r="682" s="168" customFormat="1"/>
    <row r="683" s="168" customFormat="1"/>
    <row r="684" s="168" customFormat="1"/>
    <row r="685" s="168" customFormat="1"/>
    <row r="686" s="168" customFormat="1"/>
    <row r="687" s="168" customFormat="1"/>
    <row r="688" s="168" customFormat="1"/>
    <row r="689" s="168" customFormat="1"/>
    <row r="690" s="168" customFormat="1"/>
    <row r="691" s="168" customFormat="1"/>
    <row r="692" s="168" customFormat="1"/>
    <row r="693" s="168" customFormat="1"/>
    <row r="694" s="168" customFormat="1"/>
    <row r="695" s="168" customFormat="1"/>
    <row r="696" s="168" customFormat="1"/>
    <row r="697" s="168" customFormat="1"/>
    <row r="698" s="168" customFormat="1"/>
    <row r="699" s="168" customFormat="1"/>
    <row r="700" s="168" customFormat="1"/>
    <row r="701" s="168" customFormat="1"/>
    <row r="702" s="168" customFormat="1"/>
    <row r="703" s="168" customFormat="1"/>
    <row r="704" s="168" customFormat="1"/>
    <row r="705" s="168" customFormat="1"/>
    <row r="706" s="168" customFormat="1"/>
    <row r="707" s="168" customFormat="1"/>
    <row r="708" s="168" customFormat="1"/>
    <row r="709" s="168" customFormat="1"/>
    <row r="710" s="168" customFormat="1"/>
    <row r="711" s="168" customFormat="1"/>
    <row r="712" s="168" customFormat="1"/>
    <row r="713" s="168" customFormat="1"/>
    <row r="714" s="168" customFormat="1"/>
    <row r="715" s="168" customFormat="1"/>
    <row r="716" s="168" customFormat="1"/>
    <row r="717" s="168" customFormat="1"/>
    <row r="718" s="168" customFormat="1"/>
    <row r="719" s="168" customFormat="1"/>
    <row r="720" s="168" customFormat="1"/>
    <row r="721" s="168" customFormat="1"/>
    <row r="722" s="168" customFormat="1"/>
    <row r="723" s="168" customFormat="1"/>
    <row r="724" s="168" customFormat="1"/>
    <row r="725" s="168" customFormat="1"/>
    <row r="726" s="168" customFormat="1"/>
    <row r="727" s="168" customFormat="1"/>
    <row r="728" s="168" customFormat="1"/>
    <row r="729" s="168" customFormat="1"/>
    <row r="730" s="168" customFormat="1"/>
    <row r="731" s="168" customFormat="1"/>
    <row r="732" s="168" customFormat="1"/>
    <row r="733" s="168" customFormat="1"/>
    <row r="734" s="168" customFormat="1"/>
    <row r="735" s="168" customFormat="1"/>
    <row r="736" s="168" customFormat="1"/>
    <row r="737" s="168" customFormat="1"/>
    <row r="738" s="168" customFormat="1"/>
    <row r="739" s="168" customFormat="1"/>
    <row r="740" s="168" customFormat="1"/>
    <row r="741" s="168" customFormat="1"/>
    <row r="742" s="168" customFormat="1"/>
    <row r="743" s="168" customFormat="1"/>
    <row r="744" s="168" customFormat="1"/>
    <row r="745" s="168" customFormat="1"/>
    <row r="746" s="168" customFormat="1"/>
    <row r="747" s="168" customFormat="1"/>
    <row r="748" s="168" customFormat="1"/>
    <row r="749" s="168" customFormat="1"/>
    <row r="750" s="168" customFormat="1"/>
    <row r="751" s="168" customFormat="1"/>
    <row r="752" s="168" customFormat="1"/>
    <row r="753" s="168" customFormat="1"/>
    <row r="754" s="168" customFormat="1"/>
    <row r="755" s="168" customFormat="1"/>
    <row r="756" s="168" customFormat="1"/>
    <row r="757" s="168" customFormat="1"/>
    <row r="758" s="168" customFormat="1"/>
    <row r="759" s="168" customFormat="1"/>
    <row r="760" s="168" customFormat="1"/>
    <row r="761" s="168" customFormat="1"/>
    <row r="762" s="168" customFormat="1"/>
    <row r="763" s="168" customFormat="1"/>
    <row r="764" s="168" customFormat="1"/>
    <row r="765" s="168" customFormat="1"/>
    <row r="766" s="168" customFormat="1"/>
    <row r="767" s="168" customFormat="1"/>
    <row r="768" s="168" customFormat="1"/>
    <row r="769" s="168" customFormat="1"/>
    <row r="770" s="168" customFormat="1"/>
    <row r="771" s="168" customFormat="1"/>
    <row r="772" s="168" customFormat="1"/>
    <row r="773" s="168" customFormat="1"/>
    <row r="774" s="168" customFormat="1"/>
    <row r="775" s="168" customFormat="1"/>
    <row r="776" s="168" customFormat="1"/>
    <row r="777" s="168" customFormat="1"/>
    <row r="778" s="168" customFormat="1"/>
    <row r="779" s="168" customFormat="1"/>
    <row r="780" s="168" customFormat="1"/>
    <row r="781" s="168" customFormat="1"/>
    <row r="782" s="168" customFormat="1"/>
    <row r="783" s="168" customFormat="1"/>
    <row r="784" s="168" customFormat="1"/>
    <row r="785" s="168" customFormat="1"/>
    <row r="786" s="168" customFormat="1"/>
    <row r="787" s="168" customFormat="1"/>
    <row r="788" s="168" customFormat="1"/>
    <row r="789" s="168" customFormat="1"/>
    <row r="790" s="168" customFormat="1"/>
    <row r="791" s="168" customFormat="1"/>
    <row r="792" s="168" customFormat="1"/>
    <row r="793" s="168" customFormat="1"/>
    <row r="794" s="168" customFormat="1"/>
    <row r="795" s="168" customFormat="1"/>
    <row r="796" s="168" customFormat="1"/>
    <row r="797" s="168" customFormat="1"/>
    <row r="798" s="168" customFormat="1"/>
    <row r="799" s="168" customFormat="1"/>
    <row r="800" s="168" customFormat="1"/>
    <row r="801" s="168" customFormat="1"/>
    <row r="802" s="168" customFormat="1"/>
    <row r="803" s="168" customFormat="1"/>
    <row r="804" s="168" customFormat="1"/>
    <row r="805" s="168" customFormat="1"/>
    <row r="806" s="168" customFormat="1"/>
    <row r="807" s="168" customFormat="1"/>
    <row r="808" s="168" customFormat="1"/>
    <row r="809" s="168" customFormat="1"/>
    <row r="810" s="168" customFormat="1"/>
    <row r="811" s="168" customFormat="1"/>
    <row r="812" s="168" customFormat="1"/>
    <row r="813" s="168" customFormat="1"/>
    <row r="814" s="168" customFormat="1"/>
    <row r="815" s="168" customFormat="1"/>
    <row r="816" s="168" customFormat="1"/>
    <row r="817" s="168" customFormat="1"/>
    <row r="818" s="168" customFormat="1"/>
    <row r="819" s="168" customFormat="1"/>
    <row r="820" s="168" customFormat="1"/>
    <row r="821" s="168" customFormat="1"/>
    <row r="822" s="168" customFormat="1"/>
    <row r="823" s="168" customFormat="1"/>
    <row r="824" s="168" customFormat="1"/>
    <row r="825" s="168" customFormat="1"/>
    <row r="826" s="168" customFormat="1"/>
    <row r="827" s="168" customFormat="1"/>
    <row r="828" s="168" customFormat="1"/>
    <row r="829" s="168" customFormat="1"/>
    <row r="830" s="168" customFormat="1"/>
    <row r="831" s="168" customFormat="1"/>
    <row r="832" s="168" customFormat="1"/>
    <row r="833" s="168" customFormat="1"/>
    <row r="834" s="168" customFormat="1"/>
    <row r="835" s="168" customFormat="1"/>
    <row r="836" s="168" customFormat="1"/>
    <row r="837" s="168" customFormat="1"/>
    <row r="838" s="168" customFormat="1"/>
    <row r="839" s="168" customFormat="1"/>
    <row r="840" s="168" customFormat="1"/>
    <row r="841" s="168" customFormat="1"/>
    <row r="842" s="168" customFormat="1"/>
    <row r="843" s="168" customFormat="1"/>
    <row r="844" s="168" customFormat="1"/>
    <row r="845" s="168" customFormat="1"/>
    <row r="846" s="168" customFormat="1"/>
    <row r="847" s="168" customFormat="1"/>
    <row r="848" s="168" customFormat="1"/>
    <row r="849" s="168" customFormat="1"/>
    <row r="850" s="168" customFormat="1"/>
    <row r="851" s="168" customFormat="1"/>
    <row r="852" s="168" customFormat="1"/>
    <row r="853" s="168" customFormat="1"/>
    <row r="854" s="168" customFormat="1"/>
    <row r="855" s="168" customFormat="1"/>
    <row r="856" s="168" customFormat="1"/>
    <row r="857" s="168" customFormat="1"/>
    <row r="858" s="168" customFormat="1"/>
    <row r="859" s="168" customFormat="1"/>
    <row r="860" s="168" customFormat="1"/>
    <row r="861" s="168" customFormat="1"/>
    <row r="862" s="168" customFormat="1"/>
    <row r="863" s="168" customFormat="1"/>
    <row r="864" s="168" customFormat="1"/>
    <row r="865" s="168" customFormat="1"/>
    <row r="866" s="168" customFormat="1"/>
    <row r="867" s="168" customFormat="1"/>
    <row r="868" s="168" customFormat="1"/>
    <row r="869" s="168" customFormat="1"/>
    <row r="870" s="168" customFormat="1"/>
    <row r="871" s="168" customFormat="1"/>
    <row r="872" s="168" customFormat="1"/>
    <row r="873" s="168" customFormat="1"/>
    <row r="874" s="168" customFormat="1"/>
    <row r="875" s="168" customFormat="1"/>
    <row r="876" s="168" customFormat="1"/>
    <row r="877" s="168" customFormat="1"/>
    <row r="878" s="168" customFormat="1"/>
    <row r="879" s="168" customFormat="1"/>
    <row r="880" s="168" customFormat="1"/>
    <row r="881" s="168" customFormat="1"/>
    <row r="882" s="168" customFormat="1"/>
    <row r="883" s="168" customFormat="1"/>
    <row r="884" s="168" customFormat="1"/>
    <row r="885" s="168" customFormat="1"/>
    <row r="886" s="168" customFormat="1"/>
    <row r="887" s="168" customFormat="1"/>
    <row r="888" s="168" customFormat="1"/>
    <row r="889" s="168" customFormat="1"/>
    <row r="890" s="168" customFormat="1"/>
    <row r="891" s="168" customFormat="1"/>
    <row r="892" s="168" customFormat="1"/>
    <row r="893" s="168" customFormat="1"/>
    <row r="894" s="168" customFormat="1"/>
    <row r="895" s="168" customFormat="1"/>
    <row r="896" s="168" customFormat="1"/>
    <row r="897" s="168" customFormat="1"/>
    <row r="898" s="168" customFormat="1"/>
    <row r="899" s="168" customFormat="1"/>
    <row r="900" s="168" customFormat="1"/>
    <row r="901" s="168" customFormat="1"/>
    <row r="902" s="168" customFormat="1"/>
    <row r="903" s="168" customFormat="1"/>
    <row r="904" s="168" customFormat="1"/>
    <row r="905" s="168" customFormat="1"/>
    <row r="906" s="168" customFormat="1"/>
    <row r="907" s="168" customFormat="1"/>
    <row r="908" s="168" customFormat="1"/>
    <row r="909" s="168" customFormat="1"/>
    <row r="910" s="168" customFormat="1"/>
    <row r="911" s="168" customFormat="1"/>
    <row r="912" s="168" customFormat="1"/>
    <row r="913" s="168" customFormat="1"/>
    <row r="914" s="168" customFormat="1"/>
    <row r="915" s="168" customFormat="1"/>
    <row r="916" s="168" customFormat="1"/>
    <row r="917" s="168" customFormat="1"/>
    <row r="918" s="168" customFormat="1"/>
    <row r="919" s="168" customFormat="1"/>
    <row r="920" s="168" customFormat="1"/>
    <row r="921" s="168" customFormat="1"/>
    <row r="922" s="168" customFormat="1"/>
    <row r="923" s="168" customFormat="1"/>
    <row r="924" s="168" customFormat="1"/>
    <row r="925" s="168" customFormat="1"/>
    <row r="926" s="168" customFormat="1"/>
    <row r="927" s="168" customFormat="1"/>
    <row r="928" s="168" customFormat="1"/>
    <row r="929" s="168" customFormat="1"/>
    <row r="930" s="168" customFormat="1"/>
    <row r="931" s="168" customFormat="1"/>
    <row r="932" s="168" customFormat="1"/>
    <row r="933" s="168" customFormat="1"/>
    <row r="934" s="168" customFormat="1"/>
    <row r="935" s="168" customFormat="1"/>
    <row r="936" s="168" customFormat="1"/>
    <row r="937" s="168" customFormat="1"/>
    <row r="938" s="168" customFormat="1"/>
    <row r="939" s="168" customFormat="1"/>
    <row r="940" s="168" customFormat="1"/>
    <row r="941" s="168" customFormat="1"/>
    <row r="942" s="168" customFormat="1"/>
    <row r="943" s="168" customFormat="1"/>
    <row r="944" s="168" customFormat="1"/>
    <row r="945" s="168" customFormat="1"/>
    <row r="946" s="168" customFormat="1"/>
    <row r="947" s="168" customFormat="1"/>
    <row r="948" s="168" customFormat="1"/>
    <row r="949" s="168" customFormat="1"/>
    <row r="950" s="168" customFormat="1"/>
    <row r="951" s="168" customFormat="1"/>
    <row r="952" s="168" customFormat="1"/>
    <row r="953" s="168" customFormat="1"/>
    <row r="954" s="168" customFormat="1"/>
    <row r="955" s="168" customFormat="1"/>
    <row r="956" s="168" customFormat="1"/>
    <row r="957" s="168" customFormat="1"/>
    <row r="958" s="168" customFormat="1"/>
    <row r="959" s="168" customFormat="1"/>
    <row r="960" s="168" customFormat="1"/>
    <row r="961" s="168" customFormat="1"/>
    <row r="962" s="168" customFormat="1"/>
    <row r="963" s="168" customFormat="1"/>
    <row r="964" s="168" customFormat="1"/>
    <row r="965" s="168" customFormat="1"/>
    <row r="966" s="168" customFormat="1"/>
    <row r="967" s="168" customFormat="1"/>
    <row r="968" s="168" customFormat="1"/>
    <row r="969" s="168" customFormat="1"/>
    <row r="970" s="168" customFormat="1"/>
    <row r="971" s="168" customFormat="1"/>
    <row r="972" s="168" customFormat="1"/>
    <row r="973" s="168" customFormat="1"/>
    <row r="974" s="168" customFormat="1"/>
    <row r="975" s="168" customFormat="1"/>
    <row r="976" s="168" customFormat="1"/>
    <row r="977" s="168" customFormat="1"/>
    <row r="978" s="168" customFormat="1"/>
    <row r="979" s="168" customFormat="1"/>
    <row r="980" s="168" customFormat="1"/>
    <row r="981" s="168" customFormat="1"/>
    <row r="982" s="168" customFormat="1"/>
    <row r="983" s="168" customFormat="1"/>
    <row r="984" s="168" customFormat="1"/>
    <row r="985" s="168" customFormat="1"/>
    <row r="986" s="168" customFormat="1"/>
    <row r="987" s="168" customFormat="1"/>
    <row r="988" s="168" customFormat="1"/>
    <row r="989" s="168" customFormat="1"/>
    <row r="990" s="168" customFormat="1"/>
    <row r="991" s="168" customFormat="1"/>
    <row r="992" s="168" customFormat="1"/>
    <row r="993" s="168" customFormat="1"/>
    <row r="994" s="168" customFormat="1"/>
    <row r="995" s="168" customFormat="1"/>
    <row r="996" s="168" customFormat="1"/>
    <row r="997" s="168" customFormat="1"/>
    <row r="998" s="168" customFormat="1"/>
    <row r="999" s="168" customFormat="1"/>
    <row r="1000" s="168" customFormat="1"/>
    <row r="1001" s="168" customFormat="1"/>
    <row r="1002" s="168" customFormat="1"/>
    <row r="1003" s="168" customFormat="1"/>
    <row r="1004" s="168" customFormat="1"/>
    <row r="1005" s="168" customFormat="1"/>
    <row r="1006" s="168" customFormat="1"/>
    <row r="1007" s="168" customFormat="1"/>
    <row r="1008" s="168" customFormat="1"/>
    <row r="1009" s="168" customFormat="1"/>
    <row r="1010" s="168" customFormat="1"/>
    <row r="1011" s="168" customFormat="1"/>
    <row r="1012" s="168" customFormat="1"/>
    <row r="1013" s="168" customFormat="1"/>
    <row r="1014" s="168" customFormat="1"/>
    <row r="1015" s="168" customFormat="1"/>
    <row r="1016" s="168" customFormat="1"/>
    <row r="1017" s="168" customFormat="1"/>
  </sheetData>
  <mergeCells count="5">
    <mergeCell ref="A4:E4"/>
    <mergeCell ref="A5:B5"/>
    <mergeCell ref="A1:L1"/>
    <mergeCell ref="A2:L2"/>
    <mergeCell ref="A3:L3"/>
  </mergeCells>
  <printOptions horizontalCentered="1"/>
  <pageMargins left="0.74803149606299202" right="0.74803149606299202" top="0.55118110236220497" bottom="0" header="0.196850393700787" footer="0.118110236220472"/>
  <pageSetup scale="49" orientation="portrait" r:id="rId1"/>
  <headerFooter alignWithMargins="0"/>
  <rowBreaks count="2" manualBreakCount="2">
    <brk id="70" max="11" man="1"/>
    <brk id="135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transitionEvaluation="1" codeName="Sheet19"/>
  <dimension ref="A1:H278"/>
  <sheetViews>
    <sheetView showGridLines="0" view="pageBreakPreview" zoomScaleNormal="100" zoomScaleSheetLayoutView="100" workbookViewId="0">
      <pane ySplit="5" topLeftCell="A255" activePane="bottomLeft" state="frozen"/>
      <selection activeCell="B31" sqref="B31"/>
      <selection pane="bottomLeft" activeCell="K278" sqref="K278"/>
    </sheetView>
  </sheetViews>
  <sheetFormatPr defaultColWidth="12" defaultRowHeight="14.25"/>
  <cols>
    <col min="1" max="1" width="10.5703125" style="1" customWidth="1"/>
    <col min="2" max="2" width="16.28515625" style="1" customWidth="1"/>
    <col min="3" max="3" width="30.28515625" style="1" customWidth="1"/>
    <col min="4" max="4" width="33.42578125" style="1" customWidth="1"/>
    <col min="5" max="16384" width="12" style="1"/>
  </cols>
  <sheetData>
    <row r="1" spans="1:4" s="44" customFormat="1" ht="15">
      <c r="A1" s="376" t="s">
        <v>170</v>
      </c>
      <c r="B1" s="376"/>
      <c r="C1" s="376"/>
      <c r="D1" s="376"/>
    </row>
    <row r="2" spans="1:4" s="44" customFormat="1" ht="15">
      <c r="A2" s="376" t="s">
        <v>985</v>
      </c>
      <c r="B2" s="376"/>
      <c r="C2" s="376"/>
      <c r="D2" s="376"/>
    </row>
    <row r="3" spans="1:4" s="44" customFormat="1" ht="15" thickBot="1">
      <c r="A3" s="379"/>
      <c r="B3" s="379"/>
      <c r="C3" s="379"/>
      <c r="D3" s="187"/>
    </row>
    <row r="4" spans="1:4" s="44" customFormat="1" ht="15" thickTop="1">
      <c r="A4" s="380" t="s">
        <v>22</v>
      </c>
      <c r="B4" s="380"/>
      <c r="C4" s="113" t="s">
        <v>140</v>
      </c>
      <c r="D4" s="377" t="s">
        <v>172</v>
      </c>
    </row>
    <row r="5" spans="1:4" s="44" customFormat="1" ht="17.25" customHeight="1" thickBot="1">
      <c r="A5" s="381"/>
      <c r="B5" s="381"/>
      <c r="C5" s="114" t="s">
        <v>141</v>
      </c>
      <c r="D5" s="378"/>
    </row>
    <row r="6" spans="1:4" s="188" customFormat="1" ht="6.75" customHeight="1" thickTop="1">
      <c r="A6" s="18"/>
      <c r="B6" s="15"/>
      <c r="C6" s="21"/>
      <c r="D6" s="21"/>
    </row>
    <row r="7" spans="1:4" s="188" customFormat="1" ht="14.1" customHeight="1">
      <c r="A7" s="18">
        <v>2007</v>
      </c>
      <c r="B7" s="15" t="s">
        <v>3</v>
      </c>
      <c r="C7" s="21">
        <v>54.51</v>
      </c>
      <c r="D7" s="21">
        <v>-12.023886378308591</v>
      </c>
    </row>
    <row r="8" spans="1:4" s="188" customFormat="1" ht="14.1" customHeight="1">
      <c r="A8" s="18"/>
      <c r="B8" s="15" t="s">
        <v>4</v>
      </c>
      <c r="C8" s="21">
        <v>59.28</v>
      </c>
      <c r="D8" s="21">
        <v>8.7506879471656696</v>
      </c>
    </row>
    <row r="9" spans="1:4" s="188" customFormat="1" ht="14.1" customHeight="1">
      <c r="A9" s="18"/>
      <c r="B9" s="15" t="s">
        <v>5</v>
      </c>
      <c r="C9" s="21">
        <v>60.44</v>
      </c>
      <c r="D9" s="21">
        <v>1.9568151147098423</v>
      </c>
    </row>
    <row r="10" spans="1:4" s="188" customFormat="1" ht="14.1" customHeight="1">
      <c r="A10" s="18"/>
      <c r="B10" s="15" t="s">
        <v>6</v>
      </c>
      <c r="C10" s="21">
        <v>63.98</v>
      </c>
      <c r="D10" s="21">
        <v>5.857048312375901</v>
      </c>
    </row>
    <row r="11" spans="1:4" s="188" customFormat="1" ht="14.1" customHeight="1">
      <c r="A11" s="18"/>
      <c r="B11" s="15" t="s">
        <v>7</v>
      </c>
      <c r="C11" s="21">
        <v>63.45</v>
      </c>
      <c r="D11" s="21">
        <v>-0.82838386995934821</v>
      </c>
    </row>
    <row r="12" spans="1:4" s="188" customFormat="1" ht="14.1" customHeight="1">
      <c r="A12" s="18"/>
      <c r="B12" s="15" t="s">
        <v>8</v>
      </c>
      <c r="C12" s="21">
        <v>67.489999999999995</v>
      </c>
      <c r="D12" s="21">
        <v>6.3672182821118861</v>
      </c>
    </row>
    <row r="13" spans="1:4" s="188" customFormat="1" ht="14.1" customHeight="1">
      <c r="A13" s="18"/>
      <c r="B13" s="15" t="s">
        <v>9</v>
      </c>
      <c r="C13" s="21">
        <v>74.12</v>
      </c>
      <c r="D13" s="21">
        <v>9.8236775818639988</v>
      </c>
    </row>
    <row r="14" spans="1:4" s="188" customFormat="1" ht="14.1" customHeight="1">
      <c r="A14" s="18"/>
      <c r="B14" s="15" t="s">
        <v>10</v>
      </c>
      <c r="C14" s="21">
        <v>72.36</v>
      </c>
      <c r="D14" s="21">
        <v>-2.3745277927684882</v>
      </c>
    </row>
    <row r="15" spans="1:4" s="188" customFormat="1" ht="14.1" customHeight="1">
      <c r="A15" s="18"/>
      <c r="B15" s="15" t="s">
        <v>11</v>
      </c>
      <c r="C15" s="21">
        <v>79.91</v>
      </c>
      <c r="D15" s="21">
        <v>10.433941404090664</v>
      </c>
    </row>
    <row r="16" spans="1:4" s="188" customFormat="1" ht="14.1" customHeight="1">
      <c r="A16" s="18"/>
      <c r="B16" s="15" t="s">
        <v>12</v>
      </c>
      <c r="C16" s="21">
        <v>85.8</v>
      </c>
      <c r="D16" s="21">
        <v>7.3707921411588107</v>
      </c>
    </row>
    <row r="17" spans="1:4" s="188" customFormat="1" ht="14.1" customHeight="1">
      <c r="A17" s="18"/>
      <c r="B17" s="15" t="s">
        <v>13</v>
      </c>
      <c r="C17" s="21">
        <v>94.77</v>
      </c>
      <c r="D17" s="21">
        <v>10.45454545454545</v>
      </c>
    </row>
    <row r="18" spans="1:4" s="188" customFormat="1" ht="14.1" customHeight="1">
      <c r="A18" s="18"/>
      <c r="B18" s="15" t="s">
        <v>14</v>
      </c>
      <c r="C18" s="21">
        <v>91.69</v>
      </c>
      <c r="D18" s="21">
        <v>-3.2499736203439933</v>
      </c>
    </row>
    <row r="19" spans="1:4" s="188" customFormat="1" ht="14.1" customHeight="1">
      <c r="A19" s="18"/>
      <c r="B19" s="15" t="s">
        <v>1</v>
      </c>
      <c r="C19" s="21">
        <v>72.316666666666663</v>
      </c>
      <c r="D19" s="21" t="s">
        <v>2</v>
      </c>
    </row>
    <row r="20" spans="1:4" s="188" customFormat="1" ht="9" customHeight="1">
      <c r="A20" s="18"/>
      <c r="B20" s="15"/>
      <c r="C20" s="21"/>
      <c r="D20" s="21"/>
    </row>
    <row r="21" spans="1:4" s="188" customFormat="1" ht="14.1" customHeight="1">
      <c r="A21" s="18">
        <v>2008</v>
      </c>
      <c r="B21" s="15" t="s">
        <v>3</v>
      </c>
      <c r="C21" s="21">
        <v>92.97</v>
      </c>
      <c r="D21" s="21">
        <v>1.396008288799222</v>
      </c>
    </row>
    <row r="22" spans="1:4" s="188" customFormat="1" ht="14.1" customHeight="1">
      <c r="A22" s="18"/>
      <c r="B22" s="15" t="s">
        <v>4</v>
      </c>
      <c r="C22" s="21">
        <v>95.39</v>
      </c>
      <c r="D22" s="21">
        <v>2.6029902118963166</v>
      </c>
    </row>
    <row r="23" spans="1:4" s="188" customFormat="1" ht="14.1" customHeight="1">
      <c r="A23" s="18"/>
      <c r="B23" s="36" t="s">
        <v>5</v>
      </c>
      <c r="C23" s="21">
        <v>105.45</v>
      </c>
      <c r="D23" s="21">
        <v>10.546178844742649</v>
      </c>
    </row>
    <row r="24" spans="1:4" s="188" customFormat="1" ht="14.1" customHeight="1">
      <c r="A24" s="18"/>
      <c r="B24" s="15" t="s">
        <v>6</v>
      </c>
      <c r="C24" s="21">
        <v>112.58</v>
      </c>
      <c r="D24" s="21">
        <v>6.7614983404457041</v>
      </c>
    </row>
    <row r="25" spans="1:4" s="188" customFormat="1" ht="14.1" customHeight="1">
      <c r="A25" s="18"/>
      <c r="B25" s="15" t="s">
        <v>7</v>
      </c>
      <c r="C25" s="21">
        <v>125.4</v>
      </c>
      <c r="D25" s="21">
        <v>11.387457807781143</v>
      </c>
    </row>
    <row r="26" spans="1:4" s="188" customFormat="1" ht="14.1" customHeight="1">
      <c r="A26" s="18"/>
      <c r="B26" s="15" t="s">
        <v>8</v>
      </c>
      <c r="C26" s="21">
        <v>133.88</v>
      </c>
      <c r="D26" s="21">
        <v>6.7623604465709697</v>
      </c>
    </row>
    <row r="27" spans="1:4" s="188" customFormat="1" ht="14.1" customHeight="1">
      <c r="A27" s="18"/>
      <c r="B27" s="15" t="s">
        <v>9</v>
      </c>
      <c r="C27" s="21">
        <v>133.37</v>
      </c>
      <c r="D27" s="21">
        <v>-0.38093815357035377</v>
      </c>
    </row>
    <row r="28" spans="1:4" s="188" customFormat="1" ht="14.1" customHeight="1">
      <c r="A28" s="18"/>
      <c r="B28" s="15" t="s">
        <v>10</v>
      </c>
      <c r="C28" s="21">
        <v>116.67</v>
      </c>
      <c r="D28" s="21">
        <v>-12.521556571942716</v>
      </c>
    </row>
    <row r="29" spans="1:4" s="188" customFormat="1" ht="14.1" customHeight="1">
      <c r="A29" s="18"/>
      <c r="B29" s="15" t="s">
        <v>11</v>
      </c>
      <c r="C29" s="21">
        <v>104.11</v>
      </c>
      <c r="D29" s="21">
        <v>-10.765406702665636</v>
      </c>
    </row>
    <row r="30" spans="1:4" s="188" customFormat="1" ht="14.1" customHeight="1">
      <c r="A30" s="18"/>
      <c r="B30" s="15" t="s">
        <v>12</v>
      </c>
      <c r="C30" s="189">
        <v>76.61</v>
      </c>
      <c r="D30" s="21">
        <v>-26.414369416962824</v>
      </c>
    </row>
    <row r="31" spans="1:4" s="188" customFormat="1" ht="14.1" customHeight="1">
      <c r="A31" s="18"/>
      <c r="B31" s="15" t="s">
        <v>13</v>
      </c>
      <c r="C31" s="21">
        <v>57.31</v>
      </c>
      <c r="D31" s="21">
        <v>-25.192533611800027</v>
      </c>
    </row>
    <row r="32" spans="1:4" s="188" customFormat="1" ht="14.1" customHeight="1">
      <c r="A32" s="18"/>
      <c r="B32" s="15" t="s">
        <v>14</v>
      </c>
      <c r="C32" s="21">
        <v>41.12</v>
      </c>
      <c r="D32" s="21">
        <v>-28.24986913278661</v>
      </c>
    </row>
    <row r="33" spans="1:4" s="188" customFormat="1" ht="14.1" customHeight="1">
      <c r="A33" s="18"/>
      <c r="B33" s="15" t="s">
        <v>1</v>
      </c>
      <c r="C33" s="21">
        <v>99.571666666666644</v>
      </c>
      <c r="D33" s="21" t="s">
        <v>2</v>
      </c>
    </row>
    <row r="34" spans="1:4" s="188" customFormat="1" ht="8.25" customHeight="1">
      <c r="A34" s="18"/>
      <c r="B34" s="15"/>
      <c r="C34" s="21"/>
      <c r="D34" s="21"/>
    </row>
    <row r="35" spans="1:4" s="188" customFormat="1" ht="14.1" customHeight="1">
      <c r="A35" s="18">
        <v>2009</v>
      </c>
      <c r="B35" s="15" t="s">
        <v>3</v>
      </c>
      <c r="C35" s="21">
        <v>41.71</v>
      </c>
      <c r="D35" s="21">
        <v>1.4348249027237525</v>
      </c>
    </row>
    <row r="36" spans="1:4" s="188" customFormat="1" ht="14.1" customHeight="1">
      <c r="A36" s="18"/>
      <c r="B36" s="15" t="s">
        <v>55</v>
      </c>
      <c r="C36" s="21">
        <v>39.090000000000003</v>
      </c>
      <c r="D36" s="21">
        <v>-6.2814672740350019</v>
      </c>
    </row>
    <row r="37" spans="1:4" s="188" customFormat="1" ht="14.1" customHeight="1">
      <c r="A37" s="18"/>
      <c r="B37" s="36" t="s">
        <v>5</v>
      </c>
      <c r="C37" s="21">
        <v>47.94</v>
      </c>
      <c r="D37" s="21">
        <v>22.640061396776655</v>
      </c>
    </row>
    <row r="38" spans="1:4" s="188" customFormat="1" ht="14.1" customHeight="1">
      <c r="A38" s="18"/>
      <c r="B38" s="15" t="s">
        <v>6</v>
      </c>
      <c r="C38" s="21">
        <v>49.65</v>
      </c>
      <c r="D38" s="21">
        <v>3.5669586983729573</v>
      </c>
    </row>
    <row r="39" spans="1:4" s="188" customFormat="1" ht="14.1" customHeight="1">
      <c r="A39" s="18"/>
      <c r="B39" s="15" t="s">
        <v>57</v>
      </c>
      <c r="C39" s="21">
        <v>59.03</v>
      </c>
      <c r="D39" s="21">
        <v>18.89224572004029</v>
      </c>
    </row>
    <row r="40" spans="1:4" s="188" customFormat="1" ht="14.1" customHeight="1">
      <c r="A40" s="18"/>
      <c r="B40" s="15" t="s">
        <v>58</v>
      </c>
      <c r="C40" s="21">
        <v>69.64</v>
      </c>
      <c r="D40" s="21">
        <v>17.973911570387948</v>
      </c>
    </row>
    <row r="41" spans="1:4" s="188" customFormat="1" ht="14.1" customHeight="1">
      <c r="A41" s="18"/>
      <c r="B41" s="15" t="s">
        <v>52</v>
      </c>
      <c r="C41" s="21">
        <v>64.150000000000006</v>
      </c>
      <c r="D41" s="21">
        <v>-7.8834003446295213</v>
      </c>
    </row>
    <row r="42" spans="1:4" s="188" customFormat="1" ht="14.1" customHeight="1">
      <c r="A42" s="18"/>
      <c r="B42" s="15" t="s">
        <v>10</v>
      </c>
      <c r="C42" s="21">
        <v>71.040000000000006</v>
      </c>
      <c r="D42" s="21">
        <v>10.740452065471562</v>
      </c>
    </row>
    <row r="43" spans="1:4" s="188" customFormat="1" ht="14.1" customHeight="1">
      <c r="A43" s="18"/>
      <c r="B43" s="15" t="s">
        <v>11</v>
      </c>
      <c r="C43" s="21">
        <v>69.41</v>
      </c>
      <c r="D43" s="21">
        <v>-2.2944819819819995</v>
      </c>
    </row>
    <row r="44" spans="1:4" s="188" customFormat="1" ht="14.1" customHeight="1">
      <c r="A44" s="18"/>
      <c r="B44" s="15" t="s">
        <v>12</v>
      </c>
      <c r="C44" s="21">
        <v>75.72</v>
      </c>
      <c r="D44" s="21">
        <v>9.0909090909091042</v>
      </c>
    </row>
    <row r="45" spans="1:4" s="188" customFormat="1" ht="14.1" customHeight="1">
      <c r="A45" s="18"/>
      <c r="B45" s="15" t="s">
        <v>13</v>
      </c>
      <c r="C45" s="21">
        <v>77.989999999999995</v>
      </c>
      <c r="D45" s="21">
        <v>2.9978869519281526</v>
      </c>
    </row>
    <row r="46" spans="1:4" s="188" customFormat="1" ht="14.1" customHeight="1">
      <c r="A46" s="18"/>
      <c r="B46" s="15" t="s">
        <v>14</v>
      </c>
      <c r="C46" s="21">
        <v>74.47</v>
      </c>
      <c r="D46" s="21">
        <v>-4.5133991537376517</v>
      </c>
    </row>
    <row r="47" spans="1:4" s="188" customFormat="1" ht="14.1" customHeight="1">
      <c r="A47" s="18"/>
      <c r="B47" s="15" t="s">
        <v>1</v>
      </c>
      <c r="C47" s="21">
        <v>61.653333333333343</v>
      </c>
      <c r="D47" s="21" t="s">
        <v>2</v>
      </c>
    </row>
    <row r="48" spans="1:4" s="188" customFormat="1" ht="14.1" customHeight="1">
      <c r="A48" s="18"/>
      <c r="B48" s="15"/>
      <c r="C48" s="21"/>
      <c r="D48" s="21"/>
    </row>
    <row r="49" spans="1:4" s="188" customFormat="1" ht="14.1" customHeight="1">
      <c r="A49" s="18">
        <v>2010</v>
      </c>
      <c r="B49" s="15" t="s">
        <v>50</v>
      </c>
      <c r="C49" s="21">
        <v>78.33</v>
      </c>
      <c r="D49" s="21">
        <v>5.1832952866926352</v>
      </c>
    </row>
    <row r="50" spans="1:4" s="188" customFormat="1" ht="14.1" customHeight="1">
      <c r="A50" s="18"/>
      <c r="B50" s="15" t="s">
        <v>55</v>
      </c>
      <c r="C50" s="21">
        <v>76.39</v>
      </c>
      <c r="D50" s="21">
        <v>-2.476701136218562</v>
      </c>
    </row>
    <row r="51" spans="1:4" s="188" customFormat="1" ht="14.1" customHeight="1">
      <c r="A51" s="18"/>
      <c r="B51" s="36" t="s">
        <v>5</v>
      </c>
      <c r="C51" s="21">
        <v>81.2</v>
      </c>
      <c r="D51" s="21">
        <v>6.2966356852991234</v>
      </c>
    </row>
    <row r="52" spans="1:4" s="188" customFormat="1" ht="14.1" customHeight="1">
      <c r="A52" s="18"/>
      <c r="B52" s="15" t="s">
        <v>56</v>
      </c>
      <c r="C52" s="21">
        <v>84.29</v>
      </c>
      <c r="D52" s="21">
        <v>3.8054187192118283</v>
      </c>
    </row>
    <row r="53" spans="1:4" s="188" customFormat="1" ht="14.1" customHeight="1">
      <c r="A53" s="18"/>
      <c r="B53" s="15" t="s">
        <v>7</v>
      </c>
      <c r="C53" s="21">
        <v>73.739999999999995</v>
      </c>
      <c r="D53" s="21">
        <v>-12.516312729861202</v>
      </c>
    </row>
    <row r="54" spans="1:4" s="188" customFormat="1" ht="14.1" customHeight="1">
      <c r="A54" s="18"/>
      <c r="B54" s="31" t="s">
        <v>58</v>
      </c>
      <c r="C54" s="21">
        <v>75.34</v>
      </c>
      <c r="D54" s="21">
        <v>2.1697857336588022</v>
      </c>
    </row>
    <row r="55" spans="1:4" s="188" customFormat="1" ht="14.1" customHeight="1">
      <c r="A55" s="18"/>
      <c r="B55" s="15" t="s">
        <v>132</v>
      </c>
      <c r="C55" s="21">
        <v>76.930000000000007</v>
      </c>
      <c r="D55" s="21">
        <v>2.110432705070342</v>
      </c>
    </row>
    <row r="56" spans="1:4" s="188" customFormat="1" ht="14.1" customHeight="1">
      <c r="A56" s="18"/>
      <c r="B56" s="15" t="s">
        <v>49</v>
      </c>
      <c r="C56" s="21">
        <v>76.599999999999994</v>
      </c>
      <c r="D56" s="21">
        <v>-0.42896139347460283</v>
      </c>
    </row>
    <row r="57" spans="1:4" s="188" customFormat="1" ht="14.1" customHeight="1">
      <c r="A57" s="18"/>
      <c r="B57" s="15" t="s">
        <v>11</v>
      </c>
      <c r="C57" s="21">
        <v>75.239999999999995</v>
      </c>
      <c r="D57" s="21">
        <v>-1.7754569190600478</v>
      </c>
    </row>
    <row r="58" spans="1:4" s="188" customFormat="1" ht="14.1" customHeight="1">
      <c r="A58" s="18"/>
      <c r="B58" s="15" t="s">
        <v>12</v>
      </c>
      <c r="C58" s="21">
        <v>81.89</v>
      </c>
      <c r="D58" s="21">
        <v>8.8383838383838444</v>
      </c>
    </row>
    <row r="59" spans="1:4" s="188" customFormat="1" ht="14.1" customHeight="1">
      <c r="A59" s="18"/>
      <c r="B59" s="15" t="s">
        <v>13</v>
      </c>
      <c r="C59" s="21">
        <v>84.25</v>
      </c>
      <c r="D59" s="21">
        <v>2.881914763707405</v>
      </c>
    </row>
    <row r="60" spans="1:4" s="188" customFormat="1" ht="14.1" customHeight="1">
      <c r="A60" s="18"/>
      <c r="B60" s="15" t="s">
        <v>14</v>
      </c>
      <c r="C60" s="21">
        <v>89.15</v>
      </c>
      <c r="D60" s="21">
        <v>5.8160237388724001</v>
      </c>
    </row>
    <row r="61" spans="1:4" s="188" customFormat="1" ht="14.1" customHeight="1">
      <c r="A61" s="18"/>
      <c r="B61" s="15" t="s">
        <v>1</v>
      </c>
      <c r="C61" s="21">
        <v>79.44583333333334</v>
      </c>
      <c r="D61" s="21" t="s">
        <v>2</v>
      </c>
    </row>
    <row r="62" spans="1:4" s="188" customFormat="1" ht="8.25" customHeight="1">
      <c r="A62" s="24"/>
      <c r="B62" s="23"/>
      <c r="C62" s="26"/>
      <c r="D62" s="26"/>
    </row>
    <row r="63" spans="1:4" s="188" customFormat="1" ht="14.1" customHeight="1">
      <c r="A63" s="18">
        <v>2011</v>
      </c>
      <c r="B63" s="15" t="s">
        <v>3</v>
      </c>
      <c r="C63" s="21">
        <v>89.17</v>
      </c>
      <c r="D63" s="21">
        <v>2.2434099831736276E-2</v>
      </c>
    </row>
    <row r="64" spans="1:4" s="188" customFormat="1" ht="14.1" customHeight="1">
      <c r="A64" s="18"/>
      <c r="B64" s="15" t="s">
        <v>4</v>
      </c>
      <c r="C64" s="21">
        <v>88.58</v>
      </c>
      <c r="D64" s="21">
        <v>-0.66165750813054203</v>
      </c>
    </row>
    <row r="65" spans="1:4" s="188" customFormat="1" ht="14.1" customHeight="1">
      <c r="A65" s="18"/>
      <c r="B65" s="15" t="s">
        <v>5</v>
      </c>
      <c r="C65" s="21">
        <v>102.86</v>
      </c>
      <c r="D65" s="21">
        <v>16.121020546398746</v>
      </c>
    </row>
    <row r="66" spans="1:4" s="188" customFormat="1" ht="14.1" customHeight="1">
      <c r="A66" s="18"/>
      <c r="B66" s="15" t="s">
        <v>6</v>
      </c>
      <c r="C66" s="21">
        <v>109.53</v>
      </c>
      <c r="D66" s="21">
        <v>6.4845420960528921</v>
      </c>
    </row>
    <row r="67" spans="1:4" s="188" customFormat="1" ht="14.1" customHeight="1">
      <c r="A67" s="18"/>
      <c r="B67" s="15" t="s">
        <v>7</v>
      </c>
      <c r="C67" s="21">
        <v>100.9</v>
      </c>
      <c r="D67" s="21">
        <v>-7.879119875833096</v>
      </c>
    </row>
    <row r="68" spans="1:4" s="188" customFormat="1" ht="14.1" customHeight="1">
      <c r="A68" s="18"/>
      <c r="B68" s="31" t="s">
        <v>8</v>
      </c>
      <c r="C68" s="21">
        <v>96.263999999999996</v>
      </c>
      <c r="D68" s="21">
        <v>-4.5946481665014911</v>
      </c>
    </row>
    <row r="69" spans="1:4" s="188" customFormat="1" ht="14.1" customHeight="1">
      <c r="A69" s="18"/>
      <c r="B69" s="31" t="s">
        <v>9</v>
      </c>
      <c r="C69" s="21">
        <v>97.3035</v>
      </c>
      <c r="D69" s="21">
        <v>1.0798429319371694</v>
      </c>
    </row>
    <row r="70" spans="1:4" s="188" customFormat="1" ht="14.1" customHeight="1">
      <c r="A70" s="18"/>
      <c r="B70" s="15" t="s">
        <v>49</v>
      </c>
      <c r="C70" s="21">
        <v>86.33</v>
      </c>
      <c r="D70" s="21">
        <v>-11.277600497412731</v>
      </c>
    </row>
    <row r="71" spans="1:4" s="188" customFormat="1" ht="14.1" customHeight="1">
      <c r="A71" s="18"/>
      <c r="B71" s="15" t="s">
        <v>11</v>
      </c>
      <c r="C71" s="21">
        <v>85.52</v>
      </c>
      <c r="D71" s="21">
        <v>-0.93826016448511629</v>
      </c>
    </row>
    <row r="72" spans="1:4" s="188" customFormat="1" ht="14.1" customHeight="1">
      <c r="A72" s="18"/>
      <c r="B72" s="15" t="s">
        <v>12</v>
      </c>
      <c r="C72" s="21">
        <v>86.32</v>
      </c>
      <c r="D72" s="21">
        <v>0.93545369504208775</v>
      </c>
    </row>
    <row r="73" spans="1:4" s="188" customFormat="1" ht="14.1" customHeight="1">
      <c r="A73" s="18"/>
      <c r="B73" s="15" t="s">
        <v>13</v>
      </c>
      <c r="C73" s="21">
        <v>97.16</v>
      </c>
      <c r="D73" s="21">
        <v>12.557924003707143</v>
      </c>
    </row>
    <row r="74" spans="1:4" s="188" customFormat="1" ht="14.1" customHeight="1">
      <c r="A74" s="18"/>
      <c r="B74" s="15" t="s">
        <v>14</v>
      </c>
      <c r="C74" s="21">
        <v>98.56</v>
      </c>
      <c r="D74" s="21">
        <v>1.4409221902017322</v>
      </c>
    </row>
    <row r="75" spans="1:4" s="188" customFormat="1" ht="14.1" customHeight="1">
      <c r="A75" s="18"/>
      <c r="B75" s="15" t="s">
        <v>1</v>
      </c>
      <c r="C75" s="21">
        <v>94.874791666666667</v>
      </c>
      <c r="D75" s="21">
        <v>19.420726910368693</v>
      </c>
    </row>
    <row r="76" spans="1:4" s="188" customFormat="1" ht="8.25" customHeight="1">
      <c r="A76" s="18"/>
      <c r="B76" s="15"/>
      <c r="C76" s="21"/>
      <c r="D76" s="21"/>
    </row>
    <row r="77" spans="1:4" s="188" customFormat="1" ht="14.1" customHeight="1">
      <c r="A77" s="18">
        <v>2012</v>
      </c>
      <c r="B77" s="15" t="s">
        <v>3</v>
      </c>
      <c r="C77" s="21">
        <v>100.27</v>
      </c>
      <c r="D77" s="21">
        <v>1.7349837662337553</v>
      </c>
    </row>
    <row r="78" spans="1:4" s="188" customFormat="1" ht="14.1" customHeight="1">
      <c r="A78" s="18"/>
      <c r="B78" s="38" t="s">
        <v>4</v>
      </c>
      <c r="C78" s="52">
        <v>102.20399999999999</v>
      </c>
      <c r="D78" s="52">
        <v>1.9287922608955732</v>
      </c>
    </row>
    <row r="79" spans="1:4" s="188" customFormat="1" ht="14.1" customHeight="1">
      <c r="A79" s="18"/>
      <c r="B79" s="15" t="s">
        <v>5</v>
      </c>
      <c r="C79" s="21">
        <v>106.16</v>
      </c>
      <c r="D79" s="52">
        <v>3.8706899925639027</v>
      </c>
    </row>
    <row r="80" spans="1:4" s="188" customFormat="1" ht="14.1" customHeight="1">
      <c r="A80" s="18"/>
      <c r="B80" s="15" t="s">
        <v>6</v>
      </c>
      <c r="C80" s="21">
        <v>103.32</v>
      </c>
      <c r="D80" s="52">
        <v>-2.6752072343632305</v>
      </c>
    </row>
    <row r="81" spans="1:4" s="188" customFormat="1" ht="14.1" customHeight="1">
      <c r="A81" s="18"/>
      <c r="B81" s="15" t="s">
        <v>7</v>
      </c>
      <c r="C81" s="21">
        <v>94.66</v>
      </c>
      <c r="D81" s="52">
        <v>-8.3817266744095953</v>
      </c>
    </row>
    <row r="82" spans="1:4" s="188" customFormat="1" ht="14.1" customHeight="1">
      <c r="A82" s="18"/>
      <c r="B82" s="31" t="s">
        <v>8</v>
      </c>
      <c r="C82" s="21">
        <v>82.3</v>
      </c>
      <c r="D82" s="52">
        <v>-13.057257553348823</v>
      </c>
    </row>
    <row r="83" spans="1:4" s="188" customFormat="1" ht="14.1" customHeight="1">
      <c r="A83" s="18"/>
      <c r="B83" s="31" t="s">
        <v>9</v>
      </c>
      <c r="C83" s="21">
        <v>87.895238095238071</v>
      </c>
      <c r="D83" s="52">
        <v>6.7985882080656923</v>
      </c>
    </row>
    <row r="84" spans="1:4" s="188" customFormat="1" ht="14.1" customHeight="1">
      <c r="A84" s="18"/>
      <c r="B84" s="15" t="s">
        <v>10</v>
      </c>
      <c r="C84" s="21">
        <v>94.13</v>
      </c>
      <c r="D84" s="52">
        <v>7.0934012352367848</v>
      </c>
    </row>
    <row r="85" spans="1:4" s="188" customFormat="1" ht="14.1" customHeight="1">
      <c r="A85" s="18"/>
      <c r="B85" s="15" t="s">
        <v>11</v>
      </c>
      <c r="C85" s="21">
        <v>94.51</v>
      </c>
      <c r="D85" s="52">
        <v>0.40369701476681286</v>
      </c>
    </row>
    <row r="86" spans="1:4" s="188" customFormat="1" ht="14.1" customHeight="1">
      <c r="A86" s="190"/>
      <c r="B86" s="15" t="s">
        <v>12</v>
      </c>
      <c r="C86" s="21">
        <v>89.49</v>
      </c>
      <c r="D86" s="52">
        <v>-5.3116072373293965</v>
      </c>
    </row>
    <row r="87" spans="1:4" s="188" customFormat="1" ht="14.1" customHeight="1">
      <c r="A87" s="190"/>
      <c r="B87" s="15" t="s">
        <v>13</v>
      </c>
      <c r="C87" s="191">
        <v>86.53</v>
      </c>
      <c r="D87" s="52">
        <v>-3.3076321376690032</v>
      </c>
    </row>
    <row r="88" spans="1:4" s="188" customFormat="1" ht="14.1" customHeight="1">
      <c r="A88" s="190"/>
      <c r="B88" s="15" t="s">
        <v>14</v>
      </c>
      <c r="C88" s="191">
        <v>87.86</v>
      </c>
      <c r="D88" s="52">
        <v>1.5370391771639902</v>
      </c>
    </row>
    <row r="89" spans="1:4" s="188" customFormat="1" ht="14.1" customHeight="1">
      <c r="A89" s="190"/>
      <c r="B89" s="15" t="s">
        <v>1</v>
      </c>
      <c r="C89" s="192">
        <v>94.110769841269828</v>
      </c>
      <c r="D89" s="52">
        <v>-0.80529486492171287</v>
      </c>
    </row>
    <row r="90" spans="1:4" s="188" customFormat="1" ht="8.25" customHeight="1">
      <c r="A90" s="190"/>
      <c r="B90" s="15"/>
      <c r="C90" s="192"/>
      <c r="D90" s="52"/>
    </row>
    <row r="91" spans="1:4" s="188" customFormat="1" ht="14.1" customHeight="1">
      <c r="A91" s="18">
        <v>2013</v>
      </c>
      <c r="B91" s="15" t="s">
        <v>3</v>
      </c>
      <c r="C91" s="21">
        <v>94.76</v>
      </c>
      <c r="D91" s="21">
        <v>7.8534031413612704</v>
      </c>
    </row>
    <row r="92" spans="1:4" s="188" customFormat="1" ht="14.1" customHeight="1">
      <c r="A92" s="18"/>
      <c r="B92" s="38" t="s">
        <v>4</v>
      </c>
      <c r="C92" s="52">
        <v>95.31</v>
      </c>
      <c r="D92" s="52">
        <v>0.58041367665682131</v>
      </c>
    </row>
    <row r="93" spans="1:4" s="188" customFormat="1" ht="14.1" customHeight="1">
      <c r="A93" s="18"/>
      <c r="B93" s="15" t="s">
        <v>5</v>
      </c>
      <c r="C93" s="21">
        <v>92.94</v>
      </c>
      <c r="D93" s="52">
        <v>-2.4866225999370495</v>
      </c>
    </row>
    <row r="94" spans="1:4" s="188" customFormat="1" ht="14.1" customHeight="1">
      <c r="A94" s="18"/>
      <c r="B94" s="15" t="s">
        <v>6</v>
      </c>
      <c r="C94" s="21">
        <v>92.02</v>
      </c>
      <c r="D94" s="52">
        <v>-0.98988594792339679</v>
      </c>
    </row>
    <row r="95" spans="1:4" s="188" customFormat="1" ht="14.1" customHeight="1">
      <c r="A95" s="18"/>
      <c r="B95" s="15" t="s">
        <v>7</v>
      </c>
      <c r="C95" s="21">
        <v>94.50954545454546</v>
      </c>
      <c r="D95" s="52">
        <v>2.7054395289561661</v>
      </c>
    </row>
    <row r="96" spans="1:4" s="188" customFormat="1" ht="14.1" customHeight="1">
      <c r="A96" s="18"/>
      <c r="B96" s="31" t="s">
        <v>58</v>
      </c>
      <c r="C96" s="21">
        <v>95.772999999999996</v>
      </c>
      <c r="D96" s="52">
        <v>1.3368539012413194</v>
      </c>
    </row>
    <row r="97" spans="1:4" s="188" customFormat="1" ht="14.1" customHeight="1">
      <c r="A97" s="18"/>
      <c r="B97" s="31" t="s">
        <v>9</v>
      </c>
      <c r="C97" s="21">
        <v>104.67</v>
      </c>
      <c r="D97" s="52">
        <v>9.2896745429296388</v>
      </c>
    </row>
    <row r="98" spans="1:4" s="188" customFormat="1" ht="14.1" customHeight="1">
      <c r="A98" s="18"/>
      <c r="B98" s="15" t="s">
        <v>10</v>
      </c>
      <c r="C98" s="21">
        <v>106.57</v>
      </c>
      <c r="D98" s="52">
        <v>1.8152288143689521</v>
      </c>
    </row>
    <row r="99" spans="1:4" s="188" customFormat="1" ht="14.1" customHeight="1">
      <c r="A99" s="18"/>
      <c r="B99" s="15" t="s">
        <v>11</v>
      </c>
      <c r="C99" s="21">
        <v>106.29</v>
      </c>
      <c r="D99" s="52">
        <v>-0.26273810640892181</v>
      </c>
    </row>
    <row r="100" spans="1:4" s="188" customFormat="1" ht="14.1" customHeight="1">
      <c r="A100" s="190"/>
      <c r="B100" s="15" t="s">
        <v>12</v>
      </c>
      <c r="C100" s="21">
        <v>100.54</v>
      </c>
      <c r="D100" s="52">
        <v>-5.4097281023614663</v>
      </c>
    </row>
    <row r="101" spans="1:4" s="15" customFormat="1" ht="14.25" customHeight="1">
      <c r="A101" s="190"/>
      <c r="B101" s="15" t="s">
        <v>13</v>
      </c>
      <c r="C101" s="191">
        <v>93.86</v>
      </c>
      <c r="D101" s="52">
        <v>-6.6441217425900252</v>
      </c>
    </row>
    <row r="102" spans="1:4" s="15" customFormat="1" ht="14.25" customHeight="1">
      <c r="A102" s="190"/>
      <c r="B102" s="15" t="s">
        <v>14</v>
      </c>
      <c r="C102" s="191">
        <v>97.63</v>
      </c>
      <c r="D102" s="52">
        <v>4.0166204986149534</v>
      </c>
    </row>
    <row r="103" spans="1:4" s="15" customFormat="1" ht="14.25" customHeight="1">
      <c r="A103" s="190"/>
      <c r="B103" s="15" t="s">
        <v>1</v>
      </c>
      <c r="C103" s="192">
        <v>97.906045454545435</v>
      </c>
      <c r="D103" s="52">
        <v>4.0327750157360676</v>
      </c>
    </row>
    <row r="104" spans="1:4" s="15" customFormat="1" ht="8.25" customHeight="1">
      <c r="A104" s="190"/>
      <c r="C104" s="192"/>
      <c r="D104" s="52"/>
    </row>
    <row r="105" spans="1:4" s="15" customFormat="1" ht="14.25" customHeight="1">
      <c r="A105" s="18">
        <v>2014</v>
      </c>
      <c r="B105" s="15" t="s">
        <v>3</v>
      </c>
      <c r="C105" s="192">
        <v>94.62</v>
      </c>
      <c r="D105" s="52">
        <v>-3.0830687288743164</v>
      </c>
    </row>
    <row r="106" spans="1:4" s="15" customFormat="1" ht="13.5" customHeight="1">
      <c r="A106" s="190"/>
      <c r="B106" s="15" t="s">
        <v>4</v>
      </c>
      <c r="C106" s="192">
        <v>100.81699999999999</v>
      </c>
      <c r="D106" s="52">
        <v>6.5493553160008267</v>
      </c>
    </row>
    <row r="107" spans="1:4" s="15" customFormat="1" ht="12" customHeight="1">
      <c r="A107" s="190"/>
      <c r="B107" s="15" t="s">
        <v>5</v>
      </c>
      <c r="C107" s="192">
        <v>100.804</v>
      </c>
      <c r="D107" s="52">
        <v>-1.2894650703743071E-2</v>
      </c>
    </row>
    <row r="108" spans="1:4" s="15" customFormat="1" ht="12.75" customHeight="1">
      <c r="A108" s="190"/>
      <c r="B108" s="15" t="s">
        <v>6</v>
      </c>
      <c r="C108" s="192">
        <v>102.069</v>
      </c>
      <c r="D108" s="52">
        <v>1.2549105194238352</v>
      </c>
    </row>
    <row r="109" spans="1:4" s="15" customFormat="1" ht="14.25" customHeight="1">
      <c r="A109" s="190"/>
      <c r="B109" s="15" t="s">
        <v>7</v>
      </c>
      <c r="C109" s="192">
        <v>102.17714285714285</v>
      </c>
      <c r="D109" s="52">
        <v>0.10595073640660146</v>
      </c>
    </row>
    <row r="110" spans="1:4" s="15" customFormat="1" ht="14.25" customHeight="1">
      <c r="A110" s="190"/>
      <c r="B110" s="15" t="s">
        <v>8</v>
      </c>
      <c r="C110" s="192">
        <v>105.794</v>
      </c>
      <c r="D110" s="52">
        <v>3.5397908394385169</v>
      </c>
    </row>
    <row r="111" spans="1:4" s="15" customFormat="1" ht="14.25" customHeight="1">
      <c r="A111" s="190"/>
      <c r="B111" s="15" t="s">
        <v>9</v>
      </c>
      <c r="C111" s="192">
        <v>103.589</v>
      </c>
      <c r="D111" s="52">
        <v>-2.0842391818061468</v>
      </c>
    </row>
    <row r="112" spans="1:4" s="15" customFormat="1" ht="14.25" customHeight="1">
      <c r="A112" s="190"/>
      <c r="B112" s="15" t="s">
        <v>10</v>
      </c>
      <c r="C112" s="192">
        <v>96.536000000000001</v>
      </c>
      <c r="D112" s="52">
        <v>-6.8086379827973946</v>
      </c>
    </row>
    <row r="113" spans="1:4" s="15" customFormat="1" ht="14.25" customHeight="1">
      <c r="A113" s="190"/>
      <c r="B113" s="15" t="s">
        <v>11</v>
      </c>
      <c r="C113" s="192">
        <v>93.212000000000003</v>
      </c>
      <c r="D113" s="52">
        <v>-3.443275047650618</v>
      </c>
    </row>
    <row r="114" spans="1:4" s="15" customFormat="1" ht="14.25" customHeight="1">
      <c r="A114" s="190"/>
      <c r="B114" s="15" t="s">
        <v>12</v>
      </c>
      <c r="C114" s="192">
        <v>84.397000000000006</v>
      </c>
      <c r="D114" s="52">
        <v>-9.4569368750804568</v>
      </c>
    </row>
    <row r="115" spans="1:4" s="15" customFormat="1" ht="14.25" customHeight="1">
      <c r="A115" s="190"/>
      <c r="B115" s="15" t="s">
        <v>13</v>
      </c>
      <c r="C115" s="192">
        <v>75.78947368421052</v>
      </c>
      <c r="D115" s="52">
        <v>-10.198853413971454</v>
      </c>
    </row>
    <row r="116" spans="1:4" s="15" customFormat="1" ht="14.25" customHeight="1">
      <c r="A116" s="190"/>
      <c r="B116" s="15" t="s">
        <v>14</v>
      </c>
      <c r="C116" s="192">
        <v>59.29</v>
      </c>
      <c r="D116" s="52">
        <v>-21.77013888888888</v>
      </c>
    </row>
    <row r="117" spans="1:4" s="15" customFormat="1" ht="14.25" customHeight="1">
      <c r="A117" s="190"/>
      <c r="B117" s="15" t="s">
        <v>1</v>
      </c>
      <c r="C117" s="192">
        <v>93.257884711779454</v>
      </c>
      <c r="D117" s="52">
        <v>-4.4782498086864075</v>
      </c>
    </row>
    <row r="118" spans="1:4" s="15" customFormat="1" ht="8.25" customHeight="1">
      <c r="A118" s="193"/>
      <c r="B118" s="23"/>
      <c r="C118" s="23"/>
      <c r="D118" s="23"/>
    </row>
    <row r="119" spans="1:4" s="15" customFormat="1" ht="14.25" customHeight="1">
      <c r="A119" s="18">
        <v>2015</v>
      </c>
      <c r="B119" s="15" t="s">
        <v>3</v>
      </c>
      <c r="C119" s="192">
        <v>47.22</v>
      </c>
      <c r="D119" s="52">
        <v>-20.357564513408665</v>
      </c>
    </row>
    <row r="120" spans="1:4" s="15" customFormat="1" ht="14.25" customHeight="1">
      <c r="A120" s="190"/>
      <c r="B120" s="15" t="s">
        <v>4</v>
      </c>
      <c r="C120" s="192">
        <v>50.58</v>
      </c>
      <c r="D120" s="52">
        <v>7.1156289707750897</v>
      </c>
    </row>
    <row r="121" spans="1:4" s="15" customFormat="1" ht="14.25" customHeight="1">
      <c r="A121" s="190"/>
      <c r="B121" s="15" t="s">
        <v>5</v>
      </c>
      <c r="C121" s="192">
        <v>47.82</v>
      </c>
      <c r="D121" s="52">
        <v>-5.4567022538552727</v>
      </c>
    </row>
    <row r="122" spans="1:4" s="15" customFormat="1" ht="14.25" customHeight="1">
      <c r="A122" s="190"/>
      <c r="B122" s="15" t="s">
        <v>6</v>
      </c>
      <c r="C122" s="192">
        <v>54.453000000000003</v>
      </c>
      <c r="D122" s="52">
        <v>13.870765370138027</v>
      </c>
    </row>
    <row r="123" spans="1:4" s="15" customFormat="1" ht="14.25" customHeight="1">
      <c r="A123" s="190"/>
      <c r="B123" s="15" t="s">
        <v>7</v>
      </c>
      <c r="C123" s="192">
        <v>59.27</v>
      </c>
      <c r="D123" s="52">
        <v>8.8461609094081073</v>
      </c>
    </row>
    <row r="124" spans="1:4" s="15" customFormat="1" ht="14.25" customHeight="1">
      <c r="A124" s="190"/>
      <c r="B124" s="15" t="s">
        <v>8</v>
      </c>
      <c r="C124" s="192">
        <v>59.82</v>
      </c>
      <c r="D124" s="52">
        <v>0.92795680782857826</v>
      </c>
    </row>
    <row r="125" spans="1:4" s="15" customFormat="1" ht="14.25" customHeight="1">
      <c r="A125" s="190"/>
      <c r="B125" s="15" t="s">
        <v>9</v>
      </c>
      <c r="C125" s="192">
        <v>50.9</v>
      </c>
      <c r="D125" s="52">
        <v>-14.911400869274495</v>
      </c>
    </row>
    <row r="126" spans="1:4" s="15" customFormat="1" ht="14.25" customHeight="1">
      <c r="A126" s="190"/>
      <c r="B126" s="15" t="s">
        <v>10</v>
      </c>
      <c r="C126" s="192">
        <v>42.868000000000002</v>
      </c>
      <c r="D126" s="52">
        <v>-15.779960707269147</v>
      </c>
    </row>
    <row r="127" spans="1:4" s="15" customFormat="1" ht="14.25" customHeight="1">
      <c r="A127" s="190"/>
      <c r="B127" s="15" t="s">
        <v>11</v>
      </c>
      <c r="C127" s="192">
        <v>45.48</v>
      </c>
      <c r="D127" s="52">
        <v>6.0931230754875276</v>
      </c>
    </row>
    <row r="128" spans="1:4" s="15" customFormat="1" ht="14.25" customHeight="1">
      <c r="A128" s="190"/>
      <c r="B128" s="15" t="s">
        <v>12</v>
      </c>
      <c r="C128" s="192">
        <v>46.223999999999997</v>
      </c>
      <c r="D128" s="52">
        <v>1.6358839050131913</v>
      </c>
    </row>
    <row r="129" spans="1:4" s="15" customFormat="1" ht="14.25" customHeight="1">
      <c r="A129" s="190"/>
      <c r="B129" s="15" t="s">
        <v>13</v>
      </c>
      <c r="C129" s="192">
        <v>42.44</v>
      </c>
      <c r="D129" s="52">
        <v>-8.186223606784349</v>
      </c>
    </row>
    <row r="130" spans="1:4" s="15" customFormat="1" ht="14.25" customHeight="1">
      <c r="A130" s="190"/>
      <c r="B130" s="15" t="s">
        <v>14</v>
      </c>
      <c r="C130" s="192">
        <v>37.189</v>
      </c>
      <c r="D130" s="52">
        <v>-12.372761545711587</v>
      </c>
    </row>
    <row r="131" spans="1:4" s="15" customFormat="1" ht="14.25" customHeight="1">
      <c r="A131" s="190"/>
      <c r="B131" s="15" t="s">
        <v>1</v>
      </c>
      <c r="C131" s="192">
        <v>48.68866666666667</v>
      </c>
      <c r="D131" s="52">
        <v>-47.791367113737707</v>
      </c>
    </row>
    <row r="132" spans="1:4" s="15" customFormat="1" ht="8.25" customHeight="1">
      <c r="A132" s="190"/>
      <c r="C132" s="192"/>
      <c r="D132" s="52"/>
    </row>
    <row r="133" spans="1:4" s="15" customFormat="1" ht="14.25" customHeight="1">
      <c r="A133" s="18">
        <v>2016</v>
      </c>
      <c r="B133" s="15" t="s">
        <v>3</v>
      </c>
      <c r="C133" s="192">
        <v>31.683</v>
      </c>
      <c r="D133" s="52">
        <v>-14.805453225416121</v>
      </c>
    </row>
    <row r="134" spans="1:4" s="15" customFormat="1" ht="14.25" customHeight="1">
      <c r="A134" s="190"/>
      <c r="B134" s="15" t="s">
        <v>4</v>
      </c>
      <c r="C134" s="192">
        <v>30.323</v>
      </c>
      <c r="D134" s="52">
        <v>-4.2925228040273993</v>
      </c>
    </row>
    <row r="135" spans="1:4" s="15" customFormat="1" ht="14.25" customHeight="1">
      <c r="A135" s="190"/>
      <c r="B135" s="15" t="s">
        <v>5</v>
      </c>
      <c r="C135" s="192">
        <v>37.545999999999999</v>
      </c>
      <c r="D135" s="52">
        <v>23.82020248656136</v>
      </c>
    </row>
    <row r="136" spans="1:4" s="15" customFormat="1" ht="14.25" customHeight="1">
      <c r="A136" s="190"/>
      <c r="B136" s="15" t="s">
        <v>6</v>
      </c>
      <c r="C136" s="192">
        <v>40.755000000000003</v>
      </c>
      <c r="D136" s="52">
        <v>8.5468491983167425</v>
      </c>
    </row>
    <row r="137" spans="1:4" s="15" customFormat="1" ht="14.25" customHeight="1">
      <c r="A137" s="190"/>
      <c r="B137" s="15" t="s">
        <v>7</v>
      </c>
      <c r="C137" s="192">
        <v>46.712000000000003</v>
      </c>
      <c r="D137" s="52">
        <v>14.616611458716733</v>
      </c>
    </row>
    <row r="138" spans="1:4" s="15" customFormat="1" ht="14.25" customHeight="1">
      <c r="A138" s="190"/>
      <c r="B138" s="15" t="s">
        <v>8</v>
      </c>
      <c r="C138" s="192">
        <v>48.756999999999998</v>
      </c>
      <c r="D138" s="52">
        <v>4.3778900496660222</v>
      </c>
    </row>
    <row r="139" spans="1:4" s="15" customFormat="1" ht="14.25" customHeight="1">
      <c r="A139" s="190"/>
      <c r="B139" s="15" t="s">
        <v>9</v>
      </c>
      <c r="C139" s="192">
        <v>44.652000000000001</v>
      </c>
      <c r="D139" s="52">
        <v>-8.4193038948253474</v>
      </c>
    </row>
    <row r="140" spans="1:4" s="15" customFormat="1" ht="14.25" customHeight="1">
      <c r="A140" s="190"/>
      <c r="B140" s="15" t="s">
        <v>10</v>
      </c>
      <c r="C140" s="192">
        <v>44.724347826086962</v>
      </c>
      <c r="D140" s="52">
        <v>0.16202594752074972</v>
      </c>
    </row>
    <row r="141" spans="1:4" s="15" customFormat="1" ht="14.25" customHeight="1">
      <c r="A141" s="190"/>
      <c r="B141" s="15" t="s">
        <v>11</v>
      </c>
      <c r="C141" s="192">
        <v>45.146000000000001</v>
      </c>
      <c r="D141" s="52">
        <v>0.94277992728402094</v>
      </c>
    </row>
    <row r="142" spans="1:4" s="15" customFormat="1" ht="14.25" customHeight="1">
      <c r="A142" s="190"/>
      <c r="B142" s="15" t="s">
        <v>12</v>
      </c>
      <c r="C142" s="192">
        <v>49.774999999999999</v>
      </c>
      <c r="D142" s="52">
        <v>10.253400079741271</v>
      </c>
    </row>
    <row r="143" spans="1:4" s="15" customFormat="1" ht="14.25" customHeight="1">
      <c r="A143" s="190"/>
      <c r="B143" s="15" t="s">
        <v>13</v>
      </c>
      <c r="C143" s="192">
        <v>45.661000000000001</v>
      </c>
      <c r="D143" s="52">
        <v>-8.2651933701657363</v>
      </c>
    </row>
    <row r="144" spans="1:4" s="15" customFormat="1" ht="14.25" customHeight="1">
      <c r="A144" s="190"/>
      <c r="B144" s="15" t="s">
        <v>14</v>
      </c>
      <c r="C144" s="192">
        <v>51.97</v>
      </c>
      <c r="D144" s="52">
        <v>13.817042990736073</v>
      </c>
    </row>
    <row r="145" spans="1:8" s="15" customFormat="1" ht="14.25" customHeight="1">
      <c r="A145" s="190"/>
      <c r="B145" s="15" t="s">
        <v>1</v>
      </c>
      <c r="C145" s="192">
        <v>43.142028985507245</v>
      </c>
      <c r="D145" s="52">
        <v>-11.392050883489846</v>
      </c>
    </row>
    <row r="146" spans="1:8" s="15" customFormat="1" ht="8.25" customHeight="1">
      <c r="A146" s="190"/>
      <c r="C146" s="192"/>
      <c r="D146" s="52"/>
    </row>
    <row r="147" spans="1:8" s="15" customFormat="1" ht="14.25" customHeight="1">
      <c r="A147" s="18">
        <v>2017</v>
      </c>
      <c r="B147" s="15" t="s">
        <v>3</v>
      </c>
      <c r="C147" s="192">
        <v>52.503999999999998</v>
      </c>
      <c r="D147" s="52">
        <v>1.0275158745429946</v>
      </c>
    </row>
    <row r="148" spans="1:8" s="15" customFormat="1" ht="14.25" customHeight="1">
      <c r="A148" s="190"/>
      <c r="B148" s="15" t="s">
        <v>4</v>
      </c>
      <c r="C148" s="192">
        <v>53.439</v>
      </c>
      <c r="D148" s="52">
        <v>1.7808166996800212</v>
      </c>
    </row>
    <row r="149" spans="1:8" s="15" customFormat="1" ht="14.25" customHeight="1">
      <c r="A149" s="190"/>
      <c r="B149" s="15" t="s">
        <v>5</v>
      </c>
      <c r="C149" s="192">
        <v>49.328000000000003</v>
      </c>
      <c r="D149" s="52">
        <v>-7.6928834746159076</v>
      </c>
    </row>
    <row r="150" spans="1:8" s="15" customFormat="1" ht="14.25" customHeight="1">
      <c r="A150" s="190"/>
      <c r="B150" s="15" t="s">
        <v>6</v>
      </c>
      <c r="C150" s="192">
        <v>51.061</v>
      </c>
      <c r="D150" s="52">
        <v>3.5132176451508235</v>
      </c>
    </row>
    <row r="151" spans="1:8" s="15" customFormat="1" ht="14.25" customHeight="1">
      <c r="A151" s="190"/>
      <c r="B151" s="15" t="s">
        <v>7</v>
      </c>
      <c r="C151" s="192">
        <v>48.484999999999999</v>
      </c>
      <c r="D151" s="52">
        <v>-5.0449462407708427</v>
      </c>
    </row>
    <row r="152" spans="1:8" s="15" customFormat="1" ht="14.25" customHeight="1">
      <c r="A152" s="190"/>
      <c r="B152" s="15" t="s">
        <v>8</v>
      </c>
      <c r="C152" s="192">
        <v>45.177999999999997</v>
      </c>
      <c r="D152" s="52">
        <v>-6.8206661854181778</v>
      </c>
    </row>
    <row r="153" spans="1:8" s="15" customFormat="1" ht="14.25" customHeight="1">
      <c r="A153" s="190"/>
      <c r="B153" s="15" t="s">
        <v>9</v>
      </c>
      <c r="C153" s="192">
        <v>46.6</v>
      </c>
      <c r="D153" s="52">
        <v>3.1475496923281332</v>
      </c>
    </row>
    <row r="154" spans="1:8" s="15" customFormat="1" ht="14.25" customHeight="1">
      <c r="A154" s="190"/>
      <c r="B154" s="15" t="s">
        <v>10</v>
      </c>
      <c r="C154" s="192">
        <v>48.036999999999999</v>
      </c>
      <c r="D154" s="52">
        <v>3.0836909871244655</v>
      </c>
    </row>
    <row r="155" spans="1:8" s="15" customFormat="1" ht="14.25" customHeight="1">
      <c r="A155" s="190"/>
      <c r="B155" s="15" t="s">
        <v>11</v>
      </c>
      <c r="C155" s="192">
        <v>49.822000000000003</v>
      </c>
      <c r="D155" s="52">
        <v>3.715885671461594</v>
      </c>
    </row>
    <row r="156" spans="1:8" s="15" customFormat="1" ht="14.25" customHeight="1">
      <c r="A156" s="190"/>
      <c r="B156" s="15" t="s">
        <v>12</v>
      </c>
      <c r="C156" s="192">
        <v>51.445</v>
      </c>
      <c r="D156" s="52">
        <v>3.2575970454819192</v>
      </c>
    </row>
    <row r="157" spans="1:8" s="15" customFormat="1" ht="14.25" customHeight="1">
      <c r="A157" s="190"/>
      <c r="B157" s="15" t="s">
        <v>13</v>
      </c>
      <c r="C157" s="192">
        <v>56.639000000000003</v>
      </c>
      <c r="D157" s="52">
        <v>10.096219263290894</v>
      </c>
    </row>
    <row r="158" spans="1:8" s="15" customFormat="1" ht="14.25" customHeight="1">
      <c r="A158" s="190"/>
      <c r="B158" s="15" t="s">
        <v>14</v>
      </c>
      <c r="C158" s="192">
        <v>57.881999999999998</v>
      </c>
      <c r="D158" s="21">
        <v>2.194600893377352</v>
      </c>
      <c r="F158" s="194"/>
      <c r="G158" s="194"/>
      <c r="H158" s="194"/>
    </row>
    <row r="159" spans="1:8" s="15" customFormat="1" ht="14.25" customHeight="1">
      <c r="A159" s="190"/>
      <c r="B159" s="15" t="s">
        <v>1</v>
      </c>
      <c r="C159" s="192">
        <v>50.868333333333332</v>
      </c>
      <c r="D159" s="21">
        <v>17.908996237570541</v>
      </c>
      <c r="F159" s="194"/>
      <c r="G159" s="194"/>
      <c r="H159" s="194"/>
    </row>
    <row r="160" spans="1:8" s="15" customFormat="1" ht="8.25" customHeight="1">
      <c r="A160" s="190"/>
      <c r="C160" s="192"/>
      <c r="D160" s="21"/>
      <c r="F160" s="194"/>
      <c r="G160" s="194"/>
      <c r="H160" s="194"/>
    </row>
    <row r="161" spans="1:8" s="15" customFormat="1" ht="14.25" customHeight="1">
      <c r="A161" s="18">
        <v>2018</v>
      </c>
      <c r="B161" s="15" t="s">
        <v>3</v>
      </c>
      <c r="C161" s="192">
        <v>63.698999999999998</v>
      </c>
      <c r="D161" s="21">
        <v>10.049756400953669</v>
      </c>
      <c r="F161" s="194"/>
      <c r="G161" s="194"/>
      <c r="H161" s="194"/>
    </row>
    <row r="162" spans="1:8" s="15" customFormat="1" ht="14.25" customHeight="1">
      <c r="A162" s="190"/>
      <c r="B162" s="15" t="s">
        <v>4</v>
      </c>
      <c r="C162" s="192">
        <v>62.228999999999999</v>
      </c>
      <c r="D162" s="21">
        <v>-2.307728535769793</v>
      </c>
      <c r="F162" s="194"/>
      <c r="G162" s="194"/>
      <c r="H162" s="194"/>
    </row>
    <row r="163" spans="1:8" s="15" customFormat="1" ht="14.25" customHeight="1">
      <c r="A163" s="190"/>
      <c r="B163" s="15" t="s">
        <v>5</v>
      </c>
      <c r="C163" s="192">
        <v>62.725000000000001</v>
      </c>
      <c r="D163" s="21">
        <v>0.79705603496762478</v>
      </c>
      <c r="F163" s="194"/>
      <c r="G163" s="194"/>
      <c r="H163" s="194"/>
    </row>
    <row r="164" spans="1:8" s="15" customFormat="1" ht="14.25" customHeight="1">
      <c r="A164" s="190"/>
      <c r="B164" s="15" t="s">
        <v>6</v>
      </c>
      <c r="C164" s="192">
        <v>66.254000000000005</v>
      </c>
      <c r="D164" s="21">
        <v>5.6261458748505522</v>
      </c>
      <c r="F164" s="194"/>
      <c r="G164" s="194"/>
      <c r="H164" s="194"/>
    </row>
    <row r="165" spans="1:8" s="15" customFormat="1" ht="14.25" customHeight="1">
      <c r="A165" s="190"/>
      <c r="B165" s="15" t="s">
        <v>7</v>
      </c>
      <c r="C165" s="192">
        <v>69.977999999999994</v>
      </c>
      <c r="D165" s="21">
        <v>5.6207927068554264</v>
      </c>
      <c r="F165" s="194"/>
      <c r="G165" s="194"/>
      <c r="H165" s="194"/>
    </row>
    <row r="166" spans="1:8" s="15" customFormat="1" ht="14.25" customHeight="1">
      <c r="A166" s="190"/>
      <c r="B166" s="15" t="s">
        <v>8</v>
      </c>
      <c r="C166" s="192">
        <v>67.873000000000005</v>
      </c>
      <c r="D166" s="21">
        <v>-3.008088256309116</v>
      </c>
      <c r="F166" s="194"/>
      <c r="G166" s="194"/>
      <c r="H166" s="194"/>
    </row>
    <row r="167" spans="1:8" s="15" customFormat="1" ht="14.25" customHeight="1">
      <c r="A167" s="190"/>
      <c r="B167" s="15" t="s">
        <v>9</v>
      </c>
      <c r="C167" s="192">
        <v>70.980999999999995</v>
      </c>
      <c r="D167" s="21">
        <v>4.5791404534940128</v>
      </c>
      <c r="F167" s="194"/>
      <c r="G167" s="194"/>
      <c r="H167" s="194"/>
    </row>
    <row r="168" spans="1:8" s="15" customFormat="1" ht="14.25" customHeight="1">
      <c r="A168" s="190"/>
      <c r="B168" s="15" t="s">
        <v>10</v>
      </c>
      <c r="C168" s="192">
        <v>68.055999999999997</v>
      </c>
      <c r="D168" s="21">
        <v>-4.1208210647919792</v>
      </c>
      <c r="F168" s="194"/>
      <c r="G168" s="194"/>
      <c r="H168" s="194"/>
    </row>
    <row r="169" spans="1:8" s="15" customFormat="1" ht="14.25" customHeight="1">
      <c r="A169" s="190"/>
      <c r="B169" s="15" t="s">
        <v>11</v>
      </c>
      <c r="C169" s="192">
        <v>70.231999999999999</v>
      </c>
      <c r="D169" s="21">
        <v>3.1973668743387806</v>
      </c>
      <c r="F169" s="194"/>
      <c r="G169" s="194"/>
      <c r="H169" s="194"/>
    </row>
    <row r="170" spans="1:8" s="15" customFormat="1" ht="14.25" customHeight="1">
      <c r="A170" s="190"/>
      <c r="B170" s="15" t="s">
        <v>12</v>
      </c>
      <c r="C170" s="192">
        <v>70.748999999999995</v>
      </c>
      <c r="D170" s="21">
        <v>0.73613167786763523</v>
      </c>
      <c r="F170" s="194"/>
      <c r="G170" s="194"/>
      <c r="H170" s="194"/>
    </row>
    <row r="171" spans="1:8" s="15" customFormat="1" ht="14.25" customHeight="1">
      <c r="A171" s="190"/>
      <c r="B171" s="15" t="s">
        <v>13</v>
      </c>
      <c r="C171" s="192">
        <v>56.963999999999999</v>
      </c>
      <c r="D171" s="21">
        <v>-19.484374337446464</v>
      </c>
      <c r="F171" s="194"/>
      <c r="G171" s="194"/>
      <c r="H171" s="194"/>
    </row>
    <row r="172" spans="1:8" s="15" customFormat="1" ht="14.25" customHeight="1">
      <c r="A172" s="190"/>
      <c r="B172" s="15" t="s">
        <v>14</v>
      </c>
      <c r="C172" s="192">
        <v>49.523000000000003</v>
      </c>
      <c r="D172" s="21">
        <v>-13.062636050839115</v>
      </c>
      <c r="F172" s="194"/>
      <c r="G172" s="194"/>
      <c r="H172" s="194"/>
    </row>
    <row r="173" spans="1:8" s="15" customFormat="1" ht="14.25" customHeight="1">
      <c r="A173" s="190"/>
      <c r="B173" s="15" t="s">
        <v>1</v>
      </c>
      <c r="C173" s="192">
        <v>64.938583333333341</v>
      </c>
      <c r="D173" s="21">
        <v>27.66013564431049</v>
      </c>
      <c r="F173" s="194"/>
      <c r="G173" s="194"/>
      <c r="H173" s="194"/>
    </row>
    <row r="174" spans="1:8" s="15" customFormat="1" ht="8.25" customHeight="1">
      <c r="A174" s="193"/>
      <c r="B174" s="23"/>
      <c r="C174" s="195"/>
      <c r="D174" s="26"/>
      <c r="F174" s="194"/>
      <c r="G174" s="194"/>
      <c r="H174" s="194"/>
    </row>
    <row r="175" spans="1:8" s="15" customFormat="1" ht="14.25" customHeight="1">
      <c r="A175" s="196">
        <v>2019</v>
      </c>
      <c r="B175" s="15" t="s">
        <v>3</v>
      </c>
      <c r="C175" s="192">
        <v>51.375700000000002</v>
      </c>
      <c r="D175" s="21">
        <v>3.7410899985865109</v>
      </c>
      <c r="F175" s="194"/>
      <c r="G175" s="194"/>
      <c r="H175" s="194"/>
    </row>
    <row r="176" spans="1:8" s="15" customFormat="1" ht="14.25" customHeight="1">
      <c r="A176" s="190"/>
      <c r="B176" s="15" t="s">
        <v>4</v>
      </c>
      <c r="C176" s="192">
        <v>54.985999999999997</v>
      </c>
      <c r="D176" s="21">
        <v>7.0272521834252366</v>
      </c>
      <c r="F176" s="194"/>
      <c r="G176" s="194"/>
      <c r="H176" s="194"/>
    </row>
    <row r="177" spans="1:8" s="15" customFormat="1" ht="14.25" customHeight="1">
      <c r="A177" s="190"/>
      <c r="B177" s="15" t="s">
        <v>5</v>
      </c>
      <c r="C177" s="192">
        <v>58.151400000000002</v>
      </c>
      <c r="D177" s="21">
        <v>5.7567380787836964</v>
      </c>
      <c r="F177" s="194"/>
      <c r="G177" s="194"/>
      <c r="H177" s="194"/>
    </row>
    <row r="178" spans="1:8" s="15" customFormat="1" ht="14.25" customHeight="1">
      <c r="A178" s="190"/>
      <c r="B178" s="15" t="s">
        <v>6</v>
      </c>
      <c r="C178" s="192">
        <v>63.862400000000001</v>
      </c>
      <c r="D178" s="21">
        <v>9.8209157475142472</v>
      </c>
      <c r="F178" s="194"/>
      <c r="G178" s="194"/>
      <c r="H178" s="194"/>
    </row>
    <row r="179" spans="1:8" s="15" customFormat="1" ht="14.25" customHeight="1">
      <c r="A179" s="190"/>
      <c r="B179" s="15" t="s">
        <v>7</v>
      </c>
      <c r="C179" s="192">
        <v>60.826799999999999</v>
      </c>
      <c r="D179" s="21">
        <v>-4.7533446910858368</v>
      </c>
      <c r="F179" s="194"/>
      <c r="G179" s="194"/>
      <c r="H179" s="194"/>
    </row>
    <row r="180" spans="1:8" s="15" customFormat="1" ht="14.25" customHeight="1">
      <c r="A180" s="190"/>
      <c r="B180" s="15" t="s">
        <v>8</v>
      </c>
      <c r="C180" s="192">
        <v>54.657499999999999</v>
      </c>
      <c r="D180" s="21">
        <v>-10.14240433493131</v>
      </c>
      <c r="F180" s="194"/>
      <c r="G180" s="194"/>
      <c r="H180" s="194"/>
    </row>
    <row r="181" spans="1:8" s="15" customFormat="1" ht="14.25" customHeight="1">
      <c r="A181" s="190"/>
      <c r="B181" s="15" t="s">
        <v>9</v>
      </c>
      <c r="C181" s="192">
        <v>57.3581</v>
      </c>
      <c r="D181" s="21">
        <v>4.9409504642546898</v>
      </c>
      <c r="F181" s="194"/>
      <c r="G181" s="194"/>
      <c r="H181" s="194"/>
    </row>
    <row r="182" spans="1:8" s="15" customFormat="1" ht="14.25" customHeight="1">
      <c r="A182" s="190"/>
      <c r="B182" s="15" t="s">
        <v>10</v>
      </c>
      <c r="C182" s="192">
        <v>54.805900000000001</v>
      </c>
      <c r="D182" s="21">
        <v>-4.4495895087180326</v>
      </c>
      <c r="F182" s="194"/>
      <c r="G182" s="194"/>
      <c r="H182" s="194"/>
    </row>
    <row r="183" spans="1:8" s="15" customFormat="1" ht="14.25" customHeight="1">
      <c r="A183" s="190"/>
      <c r="B183" s="15" t="s">
        <v>11</v>
      </c>
      <c r="C183" s="192">
        <v>56.947000000000003</v>
      </c>
      <c r="D183" s="21">
        <v>3.9066961768714714</v>
      </c>
      <c r="F183" s="194"/>
      <c r="G183" s="194"/>
      <c r="H183" s="194"/>
    </row>
    <row r="184" spans="1:8" s="15" customFormat="1" ht="14.25" customHeight="1">
      <c r="A184" s="190"/>
      <c r="B184" s="15" t="s">
        <v>12</v>
      </c>
      <c r="C184" s="192">
        <v>53.963000000000001</v>
      </c>
      <c r="D184" s="21">
        <v>-5.2399599627724003</v>
      </c>
      <c r="F184" s="194"/>
      <c r="G184" s="194"/>
      <c r="H184" s="194"/>
    </row>
    <row r="185" spans="1:8" s="15" customFormat="1" ht="14.25" customHeight="1">
      <c r="A185" s="190"/>
      <c r="B185" s="15" t="s">
        <v>13</v>
      </c>
      <c r="C185" s="192">
        <v>56.969499999999996</v>
      </c>
      <c r="D185" s="21">
        <v>5.571410040212732</v>
      </c>
      <c r="F185" s="194"/>
      <c r="G185" s="194"/>
      <c r="H185" s="194"/>
    </row>
    <row r="186" spans="1:8" s="15" customFormat="1" ht="14.25" customHeight="1">
      <c r="A186" s="190"/>
      <c r="B186" s="15" t="s">
        <v>14</v>
      </c>
      <c r="C186" s="192">
        <v>59.816699999999997</v>
      </c>
      <c r="D186" s="21">
        <v>4.9977619603472023</v>
      </c>
      <c r="F186" s="194"/>
      <c r="G186" s="194"/>
      <c r="H186" s="194"/>
    </row>
    <row r="187" spans="1:8" s="15" customFormat="1" ht="14.25" customHeight="1">
      <c r="A187" s="190"/>
      <c r="B187" s="15" t="s">
        <v>1</v>
      </c>
      <c r="C187" s="192">
        <v>56.976666666666667</v>
      </c>
      <c r="D187" s="21">
        <v>-12.260687341757547</v>
      </c>
      <c r="F187" s="194"/>
      <c r="G187" s="194"/>
      <c r="H187" s="194"/>
    </row>
    <row r="188" spans="1:8" s="15" customFormat="1" ht="8.25" customHeight="1">
      <c r="A188" s="190"/>
      <c r="C188" s="192"/>
      <c r="D188" s="21"/>
      <c r="F188" s="194"/>
      <c r="G188" s="194"/>
      <c r="H188" s="194"/>
    </row>
    <row r="189" spans="1:8" s="15" customFormat="1" ht="14.25" customHeight="1">
      <c r="A189" s="196">
        <v>2020</v>
      </c>
      <c r="B189" s="15" t="s">
        <v>3</v>
      </c>
      <c r="C189" s="192">
        <v>57.518999999999998</v>
      </c>
      <c r="D189" s="21">
        <v>-3.8412349728420336</v>
      </c>
      <c r="F189" s="194"/>
      <c r="G189" s="194"/>
      <c r="H189" s="194"/>
    </row>
    <row r="190" spans="1:8" s="15" customFormat="1" ht="14.25" customHeight="1">
      <c r="A190" s="190"/>
      <c r="B190" s="15" t="s">
        <v>4</v>
      </c>
      <c r="C190" s="192">
        <v>50.5426</v>
      </c>
      <c r="D190" s="21">
        <v>-12.128861767415977</v>
      </c>
      <c r="F190" s="194"/>
      <c r="G190" s="194"/>
      <c r="H190" s="194"/>
    </row>
    <row r="191" spans="1:8" s="15" customFormat="1" ht="14.25" customHeight="1">
      <c r="A191" s="190"/>
      <c r="B191" s="15" t="s">
        <v>5</v>
      </c>
      <c r="C191" s="192">
        <v>29.207699999999999</v>
      </c>
      <c r="D191" s="21">
        <v>-42.211718431580493</v>
      </c>
      <c r="F191" s="194"/>
      <c r="G191" s="194"/>
      <c r="H191" s="194"/>
    </row>
    <row r="192" spans="1:8" s="15" customFormat="1" ht="14.25" customHeight="1">
      <c r="A192" s="190"/>
      <c r="B192" s="15" t="s">
        <v>6</v>
      </c>
      <c r="C192" s="192">
        <v>16.547599999999999</v>
      </c>
      <c r="D192" s="21">
        <v>-43.345076811936579</v>
      </c>
      <c r="F192" s="194"/>
      <c r="G192" s="194"/>
      <c r="H192" s="194"/>
    </row>
    <row r="193" spans="1:8" s="15" customFormat="1" ht="14.25" customHeight="1">
      <c r="A193" s="190"/>
      <c r="B193" s="15" t="s">
        <v>7</v>
      </c>
      <c r="C193" s="192">
        <v>28.5625</v>
      </c>
      <c r="D193" s="21">
        <v>72.608112354661714</v>
      </c>
      <c r="F193" s="194"/>
      <c r="G193" s="194"/>
      <c r="H193" s="194"/>
    </row>
    <row r="194" spans="1:8" s="15" customFormat="1" ht="14.25" customHeight="1">
      <c r="A194" s="190"/>
      <c r="B194" s="15" t="s">
        <v>8</v>
      </c>
      <c r="C194" s="192">
        <v>38.307299999999998</v>
      </c>
      <c r="D194" s="21">
        <v>34.117461706783359</v>
      </c>
      <c r="F194" s="194"/>
      <c r="G194" s="194"/>
      <c r="H194" s="194"/>
    </row>
    <row r="195" spans="1:8" s="15" customFormat="1" ht="14.25" customHeight="1">
      <c r="A195" s="190"/>
      <c r="B195" s="15" t="s">
        <v>9</v>
      </c>
      <c r="C195" s="192">
        <v>40.710500000000003</v>
      </c>
      <c r="D195" s="21">
        <v>6.2734779010789277</v>
      </c>
      <c r="F195" s="194"/>
      <c r="G195" s="194"/>
      <c r="H195" s="194"/>
    </row>
    <row r="196" spans="1:8" s="15" customFormat="1" ht="14.25" customHeight="1">
      <c r="A196" s="190"/>
      <c r="B196" s="15" t="s">
        <v>10</v>
      </c>
      <c r="C196" s="192">
        <v>42.338999999999999</v>
      </c>
      <c r="D196" s="21">
        <v>4.000196509499987</v>
      </c>
      <c r="F196" s="194"/>
      <c r="G196" s="194"/>
      <c r="H196" s="194"/>
    </row>
    <row r="197" spans="1:8" s="15" customFormat="1" ht="14.25" customHeight="1">
      <c r="A197" s="190"/>
      <c r="B197" s="15" t="s">
        <v>11</v>
      </c>
      <c r="C197" s="192">
        <v>39.634300000000003</v>
      </c>
      <c r="D197" s="21">
        <v>-6.3882000047237657</v>
      </c>
      <c r="F197" s="194"/>
      <c r="G197" s="194"/>
      <c r="H197" s="194"/>
    </row>
    <row r="198" spans="1:8" s="15" customFormat="1" ht="14.25" customHeight="1">
      <c r="A198" s="190"/>
      <c r="B198" s="15" t="s">
        <v>12</v>
      </c>
      <c r="C198" s="192">
        <v>39.395899999999997</v>
      </c>
      <c r="D198" s="21">
        <v>-0.60149920649540389</v>
      </c>
      <c r="F198" s="194"/>
      <c r="G198" s="194"/>
      <c r="H198" s="194"/>
    </row>
    <row r="199" spans="1:8" s="15" customFormat="1" ht="14.25" customHeight="1">
      <c r="A199" s="190"/>
      <c r="B199" s="15" t="s">
        <v>13</v>
      </c>
      <c r="C199" s="192">
        <v>40.937399999999997</v>
      </c>
      <c r="D199" s="21">
        <v>3.9128437223162837</v>
      </c>
      <c r="F199" s="194"/>
      <c r="G199" s="194"/>
      <c r="H199" s="194"/>
    </row>
    <row r="200" spans="1:8" s="15" customFormat="1" ht="14.25" customHeight="1">
      <c r="A200" s="190"/>
      <c r="B200" s="15" t="s">
        <v>14</v>
      </c>
      <c r="C200" s="192">
        <v>47.024999999999999</v>
      </c>
      <c r="D200" s="21">
        <v>14.870509607351723</v>
      </c>
      <c r="F200" s="194"/>
      <c r="G200" s="194"/>
      <c r="H200" s="194"/>
    </row>
    <row r="201" spans="1:8" s="15" customFormat="1" ht="14.25" customHeight="1">
      <c r="A201" s="190"/>
      <c r="B201" s="15" t="s">
        <v>1</v>
      </c>
      <c r="C201" s="192">
        <v>39.227399999999996</v>
      </c>
      <c r="D201" s="21">
        <v>-31.151816533083721</v>
      </c>
      <c r="F201" s="194"/>
      <c r="G201" s="194"/>
      <c r="H201" s="194"/>
    </row>
    <row r="202" spans="1:8" s="15" customFormat="1" ht="14.25" customHeight="1">
      <c r="A202" s="190"/>
      <c r="C202" s="192"/>
      <c r="D202" s="21"/>
      <c r="F202" s="194"/>
      <c r="G202" s="194"/>
      <c r="H202" s="194"/>
    </row>
    <row r="203" spans="1:8" s="15" customFormat="1" ht="14.25" customHeight="1">
      <c r="A203" s="196">
        <v>2021</v>
      </c>
      <c r="B203" s="15" t="s">
        <v>3</v>
      </c>
      <c r="C203" s="192">
        <v>52.008400000000002</v>
      </c>
      <c r="D203" s="192">
        <v>10.597341839447116</v>
      </c>
      <c r="F203" s="194"/>
      <c r="G203" s="194"/>
      <c r="H203" s="194"/>
    </row>
    <row r="204" spans="1:8" s="15" customFormat="1" ht="14.25" customHeight="1">
      <c r="A204" s="190"/>
      <c r="B204" s="15" t="s">
        <v>4</v>
      </c>
      <c r="C204" s="192">
        <v>59.046300000000002</v>
      </c>
      <c r="D204" s="192">
        <v>13.532237100160739</v>
      </c>
      <c r="F204" s="194"/>
      <c r="G204" s="194"/>
      <c r="H204" s="194"/>
    </row>
    <row r="205" spans="1:8" s="15" customFormat="1" ht="14.25" customHeight="1">
      <c r="A205" s="190"/>
      <c r="B205" s="15" t="s">
        <v>5</v>
      </c>
      <c r="C205" s="192">
        <v>62.332999999999998</v>
      </c>
      <c r="D205" s="192">
        <v>5.5663098280501755</v>
      </c>
      <c r="F205" s="194"/>
      <c r="G205" s="194"/>
      <c r="H205" s="194"/>
    </row>
    <row r="206" spans="1:8" s="15" customFormat="1" ht="14.25" customHeight="1">
      <c r="A206" s="190"/>
      <c r="B206" s="15" t="s">
        <v>6</v>
      </c>
      <c r="C206" s="192">
        <v>61.716700000000003</v>
      </c>
      <c r="D206" s="192">
        <v>-0.98872186482279467</v>
      </c>
      <c r="F206" s="194"/>
      <c r="G206" s="194"/>
      <c r="H206" s="194"/>
    </row>
    <row r="207" spans="1:8" s="15" customFormat="1" ht="14.25" customHeight="1">
      <c r="A207" s="190"/>
      <c r="B207" s="15" t="s">
        <v>7</v>
      </c>
      <c r="C207" s="192">
        <v>65.169499999999999</v>
      </c>
      <c r="D207" s="192">
        <v>5.594595952149084</v>
      </c>
      <c r="F207" s="194"/>
      <c r="G207" s="194"/>
      <c r="H207" s="194"/>
    </row>
    <row r="208" spans="1:8" s="15" customFormat="1" ht="14.25" customHeight="1">
      <c r="A208" s="190"/>
      <c r="B208" s="15" t="s">
        <v>8</v>
      </c>
      <c r="C208" s="192">
        <v>71.378200000000007</v>
      </c>
      <c r="D208" s="192">
        <v>9.5270026622883428</v>
      </c>
      <c r="F208" s="194"/>
      <c r="G208" s="194"/>
      <c r="H208" s="194"/>
    </row>
    <row r="209" spans="1:8" s="15" customFormat="1" ht="14.25" customHeight="1">
      <c r="A209" s="190"/>
      <c r="B209" s="15" t="s">
        <v>9</v>
      </c>
      <c r="C209" s="192">
        <v>72.485200000000006</v>
      </c>
      <c r="D209" s="192">
        <v>1.5508936902303594</v>
      </c>
      <c r="F209" s="194"/>
      <c r="G209" s="194"/>
      <c r="H209" s="194"/>
    </row>
    <row r="210" spans="1:8" s="15" customFormat="1" ht="14.25" customHeight="1">
      <c r="A210" s="190"/>
      <c r="B210" s="15" t="s">
        <v>10</v>
      </c>
      <c r="C210" s="192">
        <v>67.730500000000006</v>
      </c>
      <c r="D210" s="192">
        <v>-6.5595459486902152</v>
      </c>
      <c r="F210" s="194"/>
      <c r="G210" s="194"/>
      <c r="H210" s="194"/>
    </row>
    <row r="211" spans="1:8" s="15" customFormat="1" ht="14.25" customHeight="1">
      <c r="A211" s="190"/>
      <c r="B211" s="15" t="s">
        <v>11</v>
      </c>
      <c r="C211" s="192">
        <v>71.646199999999993</v>
      </c>
      <c r="D211" s="192">
        <v>5.7812949852724893</v>
      </c>
      <c r="F211" s="194"/>
      <c r="G211" s="194"/>
      <c r="H211" s="194"/>
    </row>
    <row r="212" spans="1:8" s="15" customFormat="1" ht="14.25" customHeight="1">
      <c r="A212" s="190"/>
      <c r="B212" s="15" t="s">
        <v>12</v>
      </c>
      <c r="C212" s="192">
        <v>81.476699999999994</v>
      </c>
      <c r="D212" s="192">
        <v>13.72089517657602</v>
      </c>
      <c r="F212" s="194"/>
      <c r="G212" s="194"/>
      <c r="H212" s="194"/>
    </row>
    <row r="213" spans="1:8" s="15" customFormat="1" ht="14.25" customHeight="1">
      <c r="A213" s="190"/>
      <c r="B213" s="15" t="s">
        <v>13</v>
      </c>
      <c r="C213" s="192">
        <v>79.147499999999994</v>
      </c>
      <c r="D213" s="192">
        <v>-2.8587313919194113</v>
      </c>
      <c r="F213" s="194"/>
      <c r="G213" s="194"/>
      <c r="H213" s="194"/>
    </row>
    <row r="214" spans="1:8" s="15" customFormat="1" ht="14.25" customHeight="1">
      <c r="A214" s="190"/>
      <c r="B214" s="15" t="s">
        <v>14</v>
      </c>
      <c r="C214" s="192">
        <v>71.711799999999997</v>
      </c>
      <c r="D214" s="192">
        <v>-9.3947376733314325</v>
      </c>
      <c r="F214" s="194"/>
      <c r="G214" s="194"/>
      <c r="H214" s="194"/>
    </row>
    <row r="215" spans="1:8" s="15" customFormat="1" ht="14.25" customHeight="1">
      <c r="A215" s="190"/>
      <c r="B215" s="15" t="s">
        <v>1</v>
      </c>
      <c r="C215" s="192">
        <v>67.987500000000011</v>
      </c>
      <c r="D215" s="192">
        <v>73.316355404640674</v>
      </c>
      <c r="F215" s="194"/>
      <c r="G215" s="194"/>
      <c r="H215" s="194"/>
    </row>
    <row r="216" spans="1:8" s="15" customFormat="1" ht="14.25" customHeight="1">
      <c r="A216" s="190"/>
      <c r="C216" s="192"/>
      <c r="D216" s="192"/>
      <c r="F216" s="194"/>
      <c r="G216" s="194"/>
      <c r="H216" s="194"/>
    </row>
    <row r="217" spans="1:8" s="15" customFormat="1" ht="14.25" customHeight="1">
      <c r="A217" s="196">
        <v>2022</v>
      </c>
      <c r="B217" s="15" t="s">
        <v>3</v>
      </c>
      <c r="C217" s="192">
        <v>83.221999999999994</v>
      </c>
      <c r="D217" s="192">
        <v>16.050636018061184</v>
      </c>
      <c r="F217" s="194"/>
      <c r="G217" s="194"/>
      <c r="H217" s="194"/>
    </row>
    <row r="218" spans="1:8" s="15" customFormat="1" ht="14.25" customHeight="1">
      <c r="A218" s="190"/>
      <c r="B218" s="15" t="s">
        <v>4</v>
      </c>
      <c r="C218" s="192">
        <v>91.641099999999994</v>
      </c>
      <c r="D218" s="192">
        <v>10.116435557905357</v>
      </c>
      <c r="F218" s="194"/>
      <c r="G218" s="194"/>
      <c r="H218" s="194"/>
    </row>
    <row r="219" spans="1:8" s="15" customFormat="1" ht="14.25" customHeight="1">
      <c r="A219" s="190"/>
      <c r="B219" s="15" t="s">
        <v>5</v>
      </c>
      <c r="C219" s="192">
        <v>108.5026</v>
      </c>
      <c r="D219" s="192">
        <v>18.399495422905243</v>
      </c>
      <c r="F219" s="194"/>
      <c r="G219" s="194"/>
      <c r="H219" s="194"/>
    </row>
    <row r="220" spans="1:8" s="15" customFormat="1" ht="14.25" customHeight="1">
      <c r="A220" s="190"/>
      <c r="B220" s="15" t="s">
        <v>6</v>
      </c>
      <c r="C220" s="192">
        <v>101.7775</v>
      </c>
      <c r="D220" s="192">
        <v>-6.1981003220199282</v>
      </c>
      <c r="F220" s="194"/>
      <c r="G220" s="194"/>
      <c r="H220" s="194"/>
    </row>
    <row r="221" spans="1:8" s="15" customFormat="1" ht="14.25" customHeight="1">
      <c r="A221" s="190"/>
      <c r="B221" s="15" t="s">
        <v>7</v>
      </c>
      <c r="C221" s="192">
        <v>109.55240000000001</v>
      </c>
      <c r="D221" s="192">
        <v>7.6391147355751476</v>
      </c>
      <c r="F221" s="194"/>
      <c r="G221" s="194"/>
      <c r="H221" s="194"/>
    </row>
    <row r="222" spans="1:8" s="15" customFormat="1" ht="14.25" customHeight="1">
      <c r="A222" s="190"/>
      <c r="B222" s="15" t="s">
        <v>8</v>
      </c>
      <c r="C222" s="192">
        <v>114.83710000000001</v>
      </c>
      <c r="D222" s="192">
        <v>4.8239016215071429</v>
      </c>
      <c r="F222" s="194"/>
      <c r="G222" s="194"/>
      <c r="H222" s="194"/>
    </row>
    <row r="223" spans="1:8" s="15" customFormat="1" ht="14.25" customHeight="1">
      <c r="A223" s="190"/>
      <c r="B223" s="15" t="s">
        <v>9</v>
      </c>
      <c r="C223" s="192">
        <v>101.619</v>
      </c>
      <c r="D223" s="192">
        <v>-11.510304596685227</v>
      </c>
      <c r="F223" s="194"/>
      <c r="G223" s="194"/>
      <c r="H223" s="194"/>
    </row>
    <row r="224" spans="1:8" s="15" customFormat="1" ht="14.25" customHeight="1">
      <c r="A224" s="190"/>
      <c r="B224" s="15" t="s">
        <v>10</v>
      </c>
      <c r="C224" s="192">
        <v>93.665199999999999</v>
      </c>
      <c r="D224" s="192">
        <v>-7.8270795815743144</v>
      </c>
      <c r="F224" s="194"/>
      <c r="G224" s="194"/>
      <c r="H224" s="194"/>
    </row>
    <row r="225" spans="1:8" s="15" customFormat="1" ht="14.25" customHeight="1">
      <c r="A225" s="190"/>
      <c r="B225" s="15" t="s">
        <v>11</v>
      </c>
      <c r="C225" s="192">
        <v>84.258099999999999</v>
      </c>
      <c r="D225" s="192">
        <v>-10.043324521807461</v>
      </c>
      <c r="F225" s="194"/>
      <c r="G225" s="194"/>
      <c r="H225" s="194"/>
    </row>
    <row r="226" spans="1:8" s="15" customFormat="1" ht="14.25" customHeight="1">
      <c r="A226" s="190"/>
      <c r="B226" s="15" t="s">
        <v>12</v>
      </c>
      <c r="C226" s="192">
        <v>87.5548</v>
      </c>
      <c r="D226" s="192">
        <v>3.9126208637507931</v>
      </c>
      <c r="F226" s="194"/>
      <c r="G226" s="194"/>
      <c r="H226" s="194"/>
    </row>
    <row r="227" spans="1:8" s="15" customFormat="1" ht="14.25" customHeight="1">
      <c r="A227" s="190"/>
      <c r="B227" s="15" t="s">
        <v>13</v>
      </c>
      <c r="C227" s="192">
        <v>84.370500000000007</v>
      </c>
      <c r="D227" s="192">
        <v>-3.6369222475523877</v>
      </c>
      <c r="F227" s="194"/>
      <c r="G227" s="194"/>
      <c r="H227" s="194"/>
    </row>
    <row r="228" spans="1:8" s="15" customFormat="1" ht="14.25" customHeight="1">
      <c r="A228" s="190"/>
      <c r="B228" s="15" t="s">
        <v>14</v>
      </c>
      <c r="C228" s="192">
        <v>76.437100000000001</v>
      </c>
      <c r="D228" s="192">
        <v>-9.4030496441291795</v>
      </c>
      <c r="F228" s="194"/>
      <c r="G228" s="194"/>
      <c r="H228" s="194"/>
    </row>
    <row r="229" spans="1:8" s="15" customFormat="1" ht="14.25" customHeight="1">
      <c r="A229" s="190"/>
      <c r="B229" s="15" t="s">
        <v>1</v>
      </c>
      <c r="C229" s="192">
        <v>94.786450000000016</v>
      </c>
      <c r="D229" s="192">
        <v>39.417466446037878</v>
      </c>
      <c r="F229" s="194"/>
      <c r="G229" s="194"/>
      <c r="H229" s="194"/>
    </row>
    <row r="230" spans="1:8" s="15" customFormat="1" ht="14.25" customHeight="1">
      <c r="A230" s="190"/>
      <c r="C230" s="192"/>
      <c r="D230" s="192"/>
      <c r="F230" s="194"/>
      <c r="G230" s="194"/>
      <c r="H230" s="194"/>
    </row>
    <row r="231" spans="1:8" s="15" customFormat="1" ht="14.25" customHeight="1">
      <c r="A231" s="196">
        <v>2023</v>
      </c>
      <c r="B231" s="15" t="s">
        <v>3</v>
      </c>
      <c r="C231" s="192">
        <v>78.123000000000005</v>
      </c>
      <c r="D231" s="192">
        <v>2.2056043465803921</v>
      </c>
      <c r="F231" s="194"/>
      <c r="G231" s="194"/>
      <c r="H231" s="194"/>
    </row>
    <row r="232" spans="1:8" s="15" customFormat="1" ht="14.25" customHeight="1">
      <c r="A232" s="190"/>
      <c r="B232" s="15" t="s">
        <v>4</v>
      </c>
      <c r="C232" s="192">
        <v>76.832599999999999</v>
      </c>
      <c r="D232" s="192">
        <v>-1.6517542849097011</v>
      </c>
      <c r="F232" s="194"/>
      <c r="G232" s="194"/>
      <c r="H232" s="194"/>
    </row>
    <row r="233" spans="1:8" s="15" customFormat="1" ht="14.25" customHeight="1">
      <c r="A233" s="190"/>
      <c r="B233" s="15" t="s">
        <v>5</v>
      </c>
      <c r="C233" s="192">
        <v>73.277799999999999</v>
      </c>
      <c r="D233" s="192">
        <v>-4.6266819032546032</v>
      </c>
      <c r="F233" s="194"/>
      <c r="G233" s="194"/>
      <c r="H233" s="194"/>
    </row>
    <row r="234" spans="1:8" s="15" customFormat="1" ht="14.25" customHeight="1">
      <c r="A234" s="190"/>
      <c r="B234" s="15" t="s">
        <v>6</v>
      </c>
      <c r="C234" s="192">
        <v>79.446299999999994</v>
      </c>
      <c r="D234" s="192">
        <v>8.4179656048625873</v>
      </c>
      <c r="F234" s="194"/>
      <c r="G234" s="194"/>
      <c r="H234" s="194"/>
    </row>
    <row r="235" spans="1:8" s="15" customFormat="1" ht="14.25" customHeight="1">
      <c r="A235" s="190"/>
      <c r="B235" s="15" t="s">
        <v>7</v>
      </c>
      <c r="C235" s="192">
        <v>71.578199999999995</v>
      </c>
      <c r="D235" s="192">
        <v>-9.9036707813957356</v>
      </c>
      <c r="F235" s="194"/>
      <c r="G235" s="194"/>
      <c r="H235" s="194"/>
    </row>
    <row r="236" spans="1:8" s="15" customFormat="1" ht="14.25" customHeight="1">
      <c r="A236" s="190"/>
      <c r="B236" s="15" t="s">
        <v>8</v>
      </c>
      <c r="C236" s="192">
        <v>70.248099999999994</v>
      </c>
      <c r="D236" s="192">
        <v>-1.8582473434649138</v>
      </c>
      <c r="F236" s="194"/>
      <c r="G236" s="194"/>
      <c r="H236" s="194"/>
    </row>
    <row r="237" spans="1:8" s="15" customFormat="1" ht="14.25" customHeight="1">
      <c r="A237" s="190"/>
      <c r="B237" s="15" t="s">
        <v>9</v>
      </c>
      <c r="C237" s="192">
        <v>76.069500000000005</v>
      </c>
      <c r="D237" s="192">
        <v>8.286914521531564</v>
      </c>
      <c r="F237" s="194"/>
      <c r="G237" s="194"/>
      <c r="H237" s="194"/>
    </row>
    <row r="238" spans="1:8" s="15" customFormat="1" ht="14.25" customHeight="1">
      <c r="A238" s="190"/>
      <c r="B238" s="15" t="s">
        <v>10</v>
      </c>
      <c r="C238" s="192">
        <v>81.386099999999999</v>
      </c>
      <c r="D238" s="192">
        <v>6.9891349358152555</v>
      </c>
      <c r="F238" s="194"/>
      <c r="G238" s="194"/>
      <c r="H238" s="194"/>
    </row>
    <row r="239" spans="1:8" s="15" customFormat="1" ht="14.25" customHeight="1">
      <c r="A239" s="190"/>
      <c r="B239" s="15" t="s">
        <v>11</v>
      </c>
      <c r="C239" s="192">
        <v>89.424999999999997</v>
      </c>
      <c r="D239" s="192">
        <v>9.8774852216779063</v>
      </c>
      <c r="F239" s="194"/>
      <c r="G239" s="194"/>
      <c r="H239" s="194"/>
    </row>
    <row r="240" spans="1:8" s="15" customFormat="1" ht="14.25" customHeight="1">
      <c r="A240" s="190"/>
      <c r="B240" s="15" t="s">
        <v>12</v>
      </c>
      <c r="C240" s="192">
        <v>85.639499999999998</v>
      </c>
      <c r="D240" s="192">
        <v>-4.2331562762091153</v>
      </c>
      <c r="F240" s="194"/>
      <c r="G240" s="194"/>
      <c r="H240" s="194"/>
    </row>
    <row r="241" spans="1:8" s="15" customFormat="1" ht="14.25" customHeight="1">
      <c r="A241" s="190"/>
      <c r="B241" s="15" t="s">
        <v>13</v>
      </c>
      <c r="C241" s="192">
        <v>77.685000000000002</v>
      </c>
      <c r="D241" s="192">
        <v>-9.2883540889425973</v>
      </c>
      <c r="F241" s="194"/>
      <c r="G241" s="194"/>
      <c r="H241" s="194"/>
    </row>
    <row r="242" spans="1:8" s="15" customFormat="1">
      <c r="A242" s="190"/>
      <c r="B242" s="15" t="s">
        <v>14</v>
      </c>
      <c r="C242" s="192">
        <v>71.900000000000006</v>
      </c>
      <c r="D242" s="52">
        <v>-7.4467400399047428</v>
      </c>
    </row>
    <row r="243" spans="1:8" ht="15.75" customHeight="1">
      <c r="A243" s="190"/>
      <c r="B243" s="15" t="s">
        <v>1</v>
      </c>
      <c r="C243" s="192">
        <v>77.634258333333307</v>
      </c>
      <c r="D243" s="52">
        <v>-18.095615635638541</v>
      </c>
    </row>
    <row r="244" spans="1:8" ht="15.75" customHeight="1">
      <c r="A244" s="190"/>
      <c r="B244" s="15"/>
      <c r="C244" s="192"/>
      <c r="D244" s="52"/>
    </row>
    <row r="245" spans="1:8" ht="15.75" customHeight="1">
      <c r="A245" s="196">
        <v>2024</v>
      </c>
      <c r="B245" s="15" t="s">
        <v>3</v>
      </c>
      <c r="C245" s="192">
        <v>74.1524</v>
      </c>
      <c r="D245" s="52">
        <v>3.1326842837273938</v>
      </c>
    </row>
    <row r="246" spans="1:8" ht="15.75" customHeight="1">
      <c r="A246" s="190"/>
      <c r="B246" s="15" t="s">
        <v>4</v>
      </c>
      <c r="C246" s="192">
        <v>77.248999999999995</v>
      </c>
      <c r="D246" s="52">
        <v>4.1759943036233427</v>
      </c>
    </row>
    <row r="247" spans="1:8" ht="15.75" customHeight="1">
      <c r="A247" s="190"/>
      <c r="B247" s="15" t="s">
        <v>5</v>
      </c>
      <c r="C247" s="192">
        <v>81.278000000000006</v>
      </c>
      <c r="D247" s="52">
        <v>5.215601496459521</v>
      </c>
    </row>
    <row r="248" spans="1:8" ht="15.75" customHeight="1">
      <c r="A248" s="190"/>
      <c r="B248" s="15" t="s">
        <v>6</v>
      </c>
      <c r="C248" s="192">
        <v>85.347300000000004</v>
      </c>
      <c r="D248" s="52">
        <v>5.0066438642683009</v>
      </c>
    </row>
    <row r="249" spans="1:8" ht="15.75" customHeight="1">
      <c r="A249" s="190"/>
      <c r="B249" s="15" t="s">
        <v>7</v>
      </c>
      <c r="C249" s="192">
        <v>80.122399999999999</v>
      </c>
      <c r="D249" s="52">
        <v>-6.1219277001147159</v>
      </c>
    </row>
    <row r="250" spans="1:8" ht="15.75" customHeight="1">
      <c r="A250" s="190"/>
      <c r="B250" s="15" t="s">
        <v>8</v>
      </c>
      <c r="C250" s="192">
        <v>79.767399999999995</v>
      </c>
      <c r="D250" s="52">
        <v>-0.4430720996874804</v>
      </c>
    </row>
    <row r="251" spans="1:8" ht="15.75" customHeight="1">
      <c r="A251" s="190"/>
      <c r="B251" s="15" t="s">
        <v>9</v>
      </c>
      <c r="C251" s="192">
        <v>81.8005</v>
      </c>
      <c r="D251" s="52">
        <v>2.5487855941148885</v>
      </c>
    </row>
    <row r="252" spans="1:8" ht="15.75" customHeight="1">
      <c r="A252" s="190"/>
      <c r="B252" s="15" t="s">
        <v>10</v>
      </c>
      <c r="C252" s="192">
        <v>76.683199999999999</v>
      </c>
      <c r="D252" s="52">
        <v>-6.2558297320920992</v>
      </c>
    </row>
    <row r="253" spans="1:8" ht="15.75" customHeight="1">
      <c r="A253" s="190"/>
      <c r="B253" s="15" t="s">
        <v>11</v>
      </c>
      <c r="C253" s="192">
        <v>70.236000000000004</v>
      </c>
      <c r="D253" s="52">
        <v>-8.4075781918334087</v>
      </c>
    </row>
    <row r="254" spans="1:8" ht="15.75" customHeight="1">
      <c r="A254" s="190"/>
      <c r="B254" s="15" t="s">
        <v>12</v>
      </c>
      <c r="C254" s="192">
        <v>71.984999999999999</v>
      </c>
      <c r="D254" s="52">
        <v>2.4901759781308597</v>
      </c>
    </row>
    <row r="255" spans="1:8" ht="15.75" customHeight="1">
      <c r="A255" s="190"/>
      <c r="B255" s="15" t="s">
        <v>13</v>
      </c>
      <c r="C255" s="192">
        <v>69.95</v>
      </c>
      <c r="D255" s="52">
        <v>-2.8269778426060932</v>
      </c>
    </row>
    <row r="256" spans="1:8" ht="15.75" customHeight="1">
      <c r="A256" s="190"/>
      <c r="B256" s="15" t="s">
        <v>14</v>
      </c>
      <c r="C256" s="192">
        <v>70.118099999999998</v>
      </c>
      <c r="D256" s="52">
        <v>0.24031451036454765</v>
      </c>
    </row>
    <row r="257" spans="1:4" ht="15.75" customHeight="1">
      <c r="A257" s="190"/>
      <c r="B257" s="15" t="s">
        <v>1</v>
      </c>
      <c r="C257" s="192">
        <v>76.557441666666676</v>
      </c>
      <c r="D257" s="52">
        <v>-1.3870380033041196</v>
      </c>
    </row>
    <row r="258" spans="1:4" ht="15.75" customHeight="1">
      <c r="A258" s="190"/>
      <c r="B258" s="15"/>
      <c r="C258" s="192"/>
      <c r="D258" s="52"/>
    </row>
    <row r="259" spans="1:4" ht="15.75" customHeight="1">
      <c r="A259" s="196">
        <v>2025</v>
      </c>
      <c r="B259" s="15" t="s">
        <v>3</v>
      </c>
      <c r="C259" s="192">
        <v>75.742500000000007</v>
      </c>
      <c r="D259" s="52">
        <v>8.0213240233263825</v>
      </c>
    </row>
    <row r="260" spans="1:4" ht="15.75" customHeight="1">
      <c r="A260" s="190"/>
      <c r="B260" s="15" t="s">
        <v>4</v>
      </c>
      <c r="C260" s="192">
        <v>71.533199999999994</v>
      </c>
      <c r="D260" s="52">
        <v>-5.5573819190019025</v>
      </c>
    </row>
    <row r="261" spans="1:4" ht="15.75" customHeight="1">
      <c r="A261" s="190"/>
      <c r="B261" s="15" t="s">
        <v>5</v>
      </c>
      <c r="C261" s="192">
        <v>68.239000000000004</v>
      </c>
      <c r="D261" s="52">
        <v>-4.6051343991321385</v>
      </c>
    </row>
    <row r="262" spans="1:4" ht="15.75" customHeight="1">
      <c r="A262" s="190"/>
      <c r="B262" s="15" t="s">
        <v>6</v>
      </c>
      <c r="C262" s="192">
        <v>63.536700000000003</v>
      </c>
      <c r="D262" s="52">
        <v>-6.8909274754905603</v>
      </c>
    </row>
    <row r="263" spans="1:4" ht="15.75" customHeight="1">
      <c r="A263" s="190"/>
      <c r="B263" s="15" t="s">
        <v>7</v>
      </c>
      <c r="C263" s="192">
        <v>62.1676</v>
      </c>
      <c r="D263" s="52">
        <v>-2.1548176093501903</v>
      </c>
    </row>
    <row r="264" spans="1:4" ht="15.75" customHeight="1">
      <c r="A264" s="190"/>
      <c r="B264" s="15" t="s">
        <v>8</v>
      </c>
      <c r="C264" s="192">
        <v>68.168999999999997</v>
      </c>
      <c r="D264" s="52">
        <v>9.6535816084262436</v>
      </c>
    </row>
    <row r="265" spans="1:4" ht="15.75" customHeight="1">
      <c r="A265" s="190"/>
      <c r="B265" s="15" t="s">
        <v>9</v>
      </c>
      <c r="C265" s="192">
        <v>68.390900000000002</v>
      </c>
      <c r="D265" s="52">
        <v>0.32551453006499642</v>
      </c>
    </row>
    <row r="266" spans="1:4" ht="15.75" customHeight="1">
      <c r="A266" s="190"/>
      <c r="B266" s="15" t="s">
        <v>10</v>
      </c>
      <c r="C266" s="192">
        <v>64.8643</v>
      </c>
      <c r="D266" s="52">
        <v>-5.1565339833223423</v>
      </c>
    </row>
    <row r="267" spans="1:4" ht="15.75" customHeight="1">
      <c r="A267" s="190"/>
      <c r="B267" s="15" t="s">
        <v>11</v>
      </c>
      <c r="C267" s="192">
        <v>63.959000000000003</v>
      </c>
      <c r="D267" s="52">
        <v>-1.3956829874060106</v>
      </c>
    </row>
    <row r="268" spans="1:4" ht="15.75" customHeight="1">
      <c r="A268" s="190"/>
      <c r="B268" s="15" t="s">
        <v>12</v>
      </c>
      <c r="C268" s="192">
        <v>60.894500000000001</v>
      </c>
      <c r="D268" s="52">
        <v>-4.7913507090479923</v>
      </c>
    </row>
    <row r="269" spans="1:4" ht="15.75" customHeight="1">
      <c r="A269" s="190"/>
      <c r="B269" s="15" t="s">
        <v>13</v>
      </c>
      <c r="C269" s="192">
        <v>60.062199999999997</v>
      </c>
      <c r="D269" s="52">
        <v>-1.3667901041966135</v>
      </c>
    </row>
    <row r="270" spans="1:4" ht="15.75" customHeight="1">
      <c r="A270" s="190"/>
      <c r="B270" s="15" t="s">
        <v>14</v>
      </c>
      <c r="C270" s="192">
        <v>57.972299999999997</v>
      </c>
      <c r="D270" s="52">
        <v>-3.4795595232941845</v>
      </c>
    </row>
    <row r="271" spans="1:4" ht="15.75" customHeight="1">
      <c r="A271" s="190"/>
      <c r="B271" s="15" t="s">
        <v>1</v>
      </c>
      <c r="C271" s="192">
        <v>65.46093333333333</v>
      </c>
      <c r="D271" s="52">
        <v>-14.494356252979124</v>
      </c>
    </row>
    <row r="272" spans="1:4" ht="6" customHeight="1">
      <c r="A272" s="195"/>
      <c r="B272" s="195"/>
      <c r="C272" s="195"/>
      <c r="D272" s="195"/>
    </row>
    <row r="273" spans="1:4" ht="17.25" customHeight="1">
      <c r="A273" s="375" t="s">
        <v>351</v>
      </c>
      <c r="B273" s="375"/>
      <c r="C273" s="375"/>
      <c r="D273" s="375"/>
    </row>
    <row r="274" spans="1:4" ht="17.25" customHeight="1">
      <c r="A274" s="374" t="s">
        <v>350</v>
      </c>
      <c r="B274" s="374"/>
      <c r="C274" s="374"/>
      <c r="D274" s="374"/>
    </row>
    <row r="277" spans="1:4">
      <c r="D277" s="197"/>
    </row>
    <row r="278" spans="1:4">
      <c r="D278" s="197"/>
    </row>
  </sheetData>
  <mergeCells count="7">
    <mergeCell ref="A274:D274"/>
    <mergeCell ref="A273:D273"/>
    <mergeCell ref="A1:D1"/>
    <mergeCell ref="A2:D2"/>
    <mergeCell ref="D4:D5"/>
    <mergeCell ref="A3:C3"/>
    <mergeCell ref="A4:B5"/>
  </mergeCells>
  <hyperlinks>
    <hyperlink ref="A274" r:id="rId1" display="http://www.eia.gov/dnav/pet/pet_pri_spt_s1_d.htm" xr:uid="{00000000-0004-0000-1000-000000000000}"/>
  </hyperlinks>
  <printOptions horizontalCentered="1" gridLinesSet="0"/>
  <pageMargins left="0.196850393700787" right="0.196850393700787" top="0.35433070866141703" bottom="0.23622047244094499" header="0" footer="0.196850393700787"/>
  <pageSetup scale="78" fitToHeight="3" orientation="portrait" r:id="rId2"/>
  <headerFooter alignWithMargins="0"/>
  <rowBreaks count="3" manualBreakCount="3">
    <brk id="62" max="3" man="1"/>
    <brk id="118" max="3" man="1"/>
    <brk id="174" max="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BF81-3690-4ABB-B40E-E23F24EA2AB8}">
  <dimension ref="A1:AU326"/>
  <sheetViews>
    <sheetView showGridLines="0" view="pageBreakPreview" zoomScaleNormal="55" zoomScaleSheetLayoutView="100" workbookViewId="0">
      <pane ySplit="5" topLeftCell="A6" activePane="bottomLeft" state="frozen"/>
      <selection pane="bottomLeft" activeCell="AM311" sqref="AM311:AM323"/>
    </sheetView>
  </sheetViews>
  <sheetFormatPr defaultRowHeight="14.25"/>
  <cols>
    <col min="1" max="1" width="14.42578125" style="1" customWidth="1"/>
    <col min="2" max="2" width="13.140625" style="1" customWidth="1"/>
    <col min="3" max="3" width="14.140625" style="1" customWidth="1"/>
    <col min="4" max="4" width="14.42578125" style="1" customWidth="1"/>
    <col min="5" max="5" width="15.28515625" style="1" customWidth="1"/>
    <col min="6" max="6" width="11.7109375" style="1" customWidth="1"/>
    <col min="7" max="7" width="11.85546875" style="1" customWidth="1"/>
    <col min="8" max="8" width="10.28515625" style="1" bestFit="1" customWidth="1"/>
    <col min="9" max="9" width="12.140625" style="1" customWidth="1"/>
    <col min="10" max="10" width="12.85546875" style="1" customWidth="1"/>
    <col min="11" max="11" width="11.7109375" style="1" customWidth="1"/>
    <col min="12" max="12" width="12.5703125" style="1" bestFit="1" customWidth="1"/>
    <col min="13" max="13" width="14.140625" style="1" customWidth="1"/>
    <col min="14" max="14" width="12.5703125" style="1" bestFit="1" customWidth="1"/>
    <col min="15" max="15" width="15.7109375" style="1" customWidth="1"/>
    <col min="16" max="16" width="10.85546875" style="1" bestFit="1" customWidth="1"/>
    <col min="17" max="17" width="12.5703125" style="1" bestFit="1" customWidth="1"/>
    <col min="18" max="18" width="10.85546875" style="1" bestFit="1" customWidth="1"/>
    <col min="19" max="20" width="12.5703125" style="1" bestFit="1" customWidth="1"/>
    <col min="21" max="24" width="10.85546875" style="1" bestFit="1" customWidth="1"/>
    <col min="25" max="25" width="14.5703125" style="1" customWidth="1"/>
    <col min="26" max="26" width="10.85546875" style="1" bestFit="1" customWidth="1"/>
    <col min="27" max="27" width="15.85546875" style="1" customWidth="1"/>
    <col min="28" max="29" width="10.85546875" style="1" bestFit="1" customWidth="1"/>
    <col min="30" max="30" width="12.5703125" style="1" customWidth="1"/>
    <col min="31" max="31" width="12.42578125" style="1" customWidth="1"/>
    <col min="32" max="32" width="12" style="1" customWidth="1"/>
    <col min="33" max="34" width="9.7109375" style="1" bestFit="1" customWidth="1"/>
    <col min="35" max="35" width="14.7109375" style="1" customWidth="1"/>
    <col min="36" max="36" width="12.140625" style="1" customWidth="1"/>
    <col min="37" max="37" width="14.42578125" style="1" customWidth="1"/>
    <col min="38" max="38" width="12.42578125" style="1" customWidth="1"/>
    <col min="39" max="39" width="11.5703125" style="1" customWidth="1"/>
    <col min="40" max="40" width="24.7109375" style="1" customWidth="1"/>
    <col min="41" max="41" width="14.140625" style="1" customWidth="1"/>
    <col min="42" max="42" width="15.5703125" style="1" customWidth="1"/>
    <col min="43" max="45" width="10.85546875" style="1" bestFit="1" customWidth="1"/>
    <col min="46" max="46" width="15.85546875" style="1" customWidth="1"/>
    <col min="47" max="47" width="12.5703125" style="1" customWidth="1"/>
    <col min="48" max="16384" width="9.140625" style="1"/>
  </cols>
  <sheetData>
    <row r="1" spans="1:47" s="164" customFormat="1" ht="15">
      <c r="A1" s="322" t="s">
        <v>234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2"/>
      <c r="AN1" s="322"/>
      <c r="AO1" s="322"/>
      <c r="AP1" s="322"/>
      <c r="AQ1" s="322"/>
      <c r="AR1" s="322"/>
      <c r="AS1" s="322"/>
      <c r="AT1" s="322"/>
    </row>
    <row r="2" spans="1:47" s="164" customFormat="1" ht="15">
      <c r="A2" s="322" t="s">
        <v>999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2"/>
      <c r="AH2" s="322"/>
      <c r="AI2" s="322"/>
      <c r="AJ2" s="322"/>
      <c r="AK2" s="322"/>
      <c r="AL2" s="322"/>
      <c r="AM2" s="322"/>
      <c r="AN2" s="322"/>
      <c r="AO2" s="322"/>
      <c r="AP2" s="322"/>
      <c r="AQ2" s="322"/>
      <c r="AR2" s="322"/>
      <c r="AS2" s="322"/>
      <c r="AT2" s="322"/>
    </row>
    <row r="3" spans="1:47" s="97" customFormat="1" ht="13.5" customHeight="1" thickBot="1">
      <c r="A3" s="382"/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  <c r="R3" s="382"/>
      <c r="S3" s="382"/>
      <c r="T3" s="382"/>
      <c r="U3" s="382"/>
      <c r="V3" s="382"/>
      <c r="W3" s="382"/>
      <c r="X3" s="382"/>
      <c r="Y3" s="382"/>
      <c r="Z3" s="382"/>
      <c r="AA3" s="382"/>
      <c r="AB3" s="382"/>
      <c r="AC3" s="382"/>
      <c r="AD3" s="382"/>
      <c r="AE3" s="382"/>
      <c r="AF3" s="382"/>
      <c r="AG3" s="382"/>
      <c r="AH3" s="382"/>
      <c r="AI3" s="382"/>
      <c r="AJ3" s="382"/>
      <c r="AK3" s="382"/>
      <c r="AL3" s="382"/>
      <c r="AM3" s="382"/>
      <c r="AN3" s="382"/>
      <c r="AO3" s="382"/>
      <c r="AP3" s="382"/>
      <c r="AQ3" s="382"/>
      <c r="AR3" s="382"/>
      <c r="AS3" s="382"/>
      <c r="AT3" s="382"/>
    </row>
    <row r="4" spans="1:47" s="6" customFormat="1" ht="59.25" customHeight="1" thickTop="1">
      <c r="A4" s="383" t="s">
        <v>22</v>
      </c>
      <c r="B4" s="286" t="s">
        <v>315</v>
      </c>
      <c r="C4" s="286" t="s">
        <v>316</v>
      </c>
      <c r="D4" s="286" t="s">
        <v>317</v>
      </c>
      <c r="E4" s="286" t="s">
        <v>318</v>
      </c>
      <c r="F4" s="286" t="s">
        <v>319</v>
      </c>
      <c r="G4" s="286" t="s">
        <v>320</v>
      </c>
      <c r="H4" s="286" t="s">
        <v>235</v>
      </c>
      <c r="I4" s="286" t="s">
        <v>236</v>
      </c>
      <c r="J4" s="286" t="s">
        <v>237</v>
      </c>
      <c r="K4" s="286" t="s">
        <v>321</v>
      </c>
      <c r="L4" s="286" t="s">
        <v>238</v>
      </c>
      <c r="M4" s="286" t="s">
        <v>322</v>
      </c>
      <c r="N4" s="286" t="s">
        <v>323</v>
      </c>
      <c r="O4" s="286" t="s">
        <v>324</v>
      </c>
      <c r="P4" s="286" t="s">
        <v>239</v>
      </c>
      <c r="Q4" s="286" t="s">
        <v>325</v>
      </c>
      <c r="R4" s="286" t="s">
        <v>326</v>
      </c>
      <c r="S4" s="286" t="s">
        <v>327</v>
      </c>
      <c r="T4" s="286" t="s">
        <v>328</v>
      </c>
      <c r="U4" s="286" t="s">
        <v>329</v>
      </c>
      <c r="V4" s="286" t="s">
        <v>240</v>
      </c>
      <c r="W4" s="286" t="s">
        <v>241</v>
      </c>
      <c r="X4" s="286" t="s">
        <v>242</v>
      </c>
      <c r="Y4" s="286" t="s">
        <v>243</v>
      </c>
      <c r="Z4" s="286" t="s">
        <v>244</v>
      </c>
      <c r="AA4" s="286" t="s">
        <v>330</v>
      </c>
      <c r="AB4" s="286" t="s">
        <v>245</v>
      </c>
      <c r="AC4" s="286" t="s">
        <v>246</v>
      </c>
      <c r="AD4" s="286" t="s">
        <v>331</v>
      </c>
      <c r="AE4" s="286" t="s">
        <v>332</v>
      </c>
      <c r="AF4" s="286" t="s">
        <v>247</v>
      </c>
      <c r="AG4" s="286" t="s">
        <v>333</v>
      </c>
      <c r="AH4" s="286" t="s">
        <v>334</v>
      </c>
      <c r="AI4" s="286" t="s">
        <v>248</v>
      </c>
      <c r="AJ4" s="286" t="s">
        <v>249</v>
      </c>
      <c r="AK4" s="286" t="s">
        <v>250</v>
      </c>
      <c r="AL4" s="286" t="s">
        <v>335</v>
      </c>
      <c r="AM4" s="286" t="s">
        <v>251</v>
      </c>
      <c r="AN4" s="286" t="s">
        <v>336</v>
      </c>
      <c r="AO4" s="286" t="s">
        <v>252</v>
      </c>
      <c r="AP4" s="286" t="s">
        <v>253</v>
      </c>
      <c r="AQ4" s="286" t="s">
        <v>254</v>
      </c>
      <c r="AR4" s="286" t="s">
        <v>255</v>
      </c>
      <c r="AS4" s="286" t="s">
        <v>256</v>
      </c>
      <c r="AT4" s="286" t="s">
        <v>337</v>
      </c>
      <c r="AU4" s="286" t="s">
        <v>338</v>
      </c>
    </row>
    <row r="5" spans="1:47" s="6" customFormat="1" ht="15.75" customHeight="1" thickBot="1">
      <c r="A5" s="384"/>
      <c r="B5" s="287" t="s">
        <v>257</v>
      </c>
      <c r="C5" s="287" t="s">
        <v>257</v>
      </c>
      <c r="D5" s="287" t="s">
        <v>257</v>
      </c>
      <c r="E5" s="287" t="s">
        <v>257</v>
      </c>
      <c r="F5" s="287" t="s">
        <v>258</v>
      </c>
      <c r="G5" s="287" t="s">
        <v>259</v>
      </c>
      <c r="H5" s="287" t="s">
        <v>260</v>
      </c>
      <c r="I5" s="287" t="s">
        <v>260</v>
      </c>
      <c r="J5" s="287" t="s">
        <v>260</v>
      </c>
      <c r="K5" s="287" t="s">
        <v>261</v>
      </c>
      <c r="L5" s="287" t="s">
        <v>261</v>
      </c>
      <c r="M5" s="287" t="s">
        <v>261</v>
      </c>
      <c r="N5" s="287" t="s">
        <v>261</v>
      </c>
      <c r="O5" s="287" t="s">
        <v>261</v>
      </c>
      <c r="P5" s="287" t="s">
        <v>261</v>
      </c>
      <c r="Q5" s="287" t="s">
        <v>261</v>
      </c>
      <c r="R5" s="287" t="s">
        <v>261</v>
      </c>
      <c r="S5" s="287" t="s">
        <v>261</v>
      </c>
      <c r="T5" s="287" t="s">
        <v>261</v>
      </c>
      <c r="U5" s="287" t="s">
        <v>261</v>
      </c>
      <c r="V5" s="287" t="s">
        <v>261</v>
      </c>
      <c r="W5" s="287" t="s">
        <v>261</v>
      </c>
      <c r="X5" s="287" t="s">
        <v>261</v>
      </c>
      <c r="Y5" s="287" t="s">
        <v>261</v>
      </c>
      <c r="Z5" s="287" t="s">
        <v>261</v>
      </c>
      <c r="AA5" s="287" t="s">
        <v>261</v>
      </c>
      <c r="AB5" s="287" t="s">
        <v>261</v>
      </c>
      <c r="AC5" s="287" t="s">
        <v>261</v>
      </c>
      <c r="AD5" s="287" t="s">
        <v>260</v>
      </c>
      <c r="AE5" s="287" t="s">
        <v>260</v>
      </c>
      <c r="AF5" s="287" t="s">
        <v>260</v>
      </c>
      <c r="AG5" s="287" t="s">
        <v>260</v>
      </c>
      <c r="AH5" s="287" t="s">
        <v>260</v>
      </c>
      <c r="AI5" s="287" t="s">
        <v>260</v>
      </c>
      <c r="AJ5" s="287" t="s">
        <v>260</v>
      </c>
      <c r="AK5" s="287" t="s">
        <v>260</v>
      </c>
      <c r="AL5" s="287" t="s">
        <v>260</v>
      </c>
      <c r="AM5" s="287" t="s">
        <v>260</v>
      </c>
      <c r="AN5" s="287" t="s">
        <v>261</v>
      </c>
      <c r="AO5" s="287" t="s">
        <v>260</v>
      </c>
      <c r="AP5" s="287" t="s">
        <v>261</v>
      </c>
      <c r="AQ5" s="287" t="s">
        <v>261</v>
      </c>
      <c r="AR5" s="287" t="s">
        <v>261</v>
      </c>
      <c r="AS5" s="287" t="s">
        <v>261</v>
      </c>
      <c r="AT5" s="287" t="s">
        <v>261</v>
      </c>
      <c r="AU5" s="287" t="s">
        <v>261</v>
      </c>
    </row>
    <row r="6" spans="1:47" s="7" customFormat="1" ht="15.75" thickTop="1">
      <c r="A6" s="292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8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8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8"/>
      <c r="AL6" s="199"/>
      <c r="AM6" s="199"/>
      <c r="AN6" s="199"/>
      <c r="AO6" s="199"/>
      <c r="AP6" s="200"/>
      <c r="AQ6" s="200"/>
      <c r="AR6" s="200"/>
      <c r="AS6" s="200"/>
      <c r="AT6" s="200"/>
    </row>
    <row r="7" spans="1:47" s="7" customFormat="1" ht="15">
      <c r="A7" s="292">
        <v>2006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8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8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8"/>
      <c r="AL7" s="199"/>
      <c r="AM7" s="199"/>
      <c r="AN7" s="199"/>
      <c r="AO7" s="199"/>
      <c r="AP7" s="200"/>
      <c r="AQ7" s="200"/>
      <c r="AR7" s="200"/>
      <c r="AS7" s="200"/>
      <c r="AT7" s="200"/>
    </row>
    <row r="8" spans="1:47" s="7" customFormat="1">
      <c r="A8" s="288" t="s">
        <v>3</v>
      </c>
      <c r="B8" s="201">
        <v>62.457039682539701</v>
      </c>
      <c r="C8" s="201">
        <v>63.574285714285701</v>
      </c>
      <c r="D8" s="201">
        <v>58.313333333333297</v>
      </c>
      <c r="E8" s="201">
        <v>65.483500000000006</v>
      </c>
      <c r="F8" s="201">
        <v>8.6609090909090902</v>
      </c>
      <c r="G8" s="201">
        <v>147.43830600517899</v>
      </c>
      <c r="H8" s="201">
        <v>1.5731036363636399</v>
      </c>
      <c r="I8" s="201">
        <v>2.7381380399999999</v>
      </c>
      <c r="J8" s="201">
        <v>1.397508618</v>
      </c>
      <c r="K8" s="201">
        <v>569</v>
      </c>
      <c r="L8" s="201">
        <v>853.33</v>
      </c>
      <c r="M8" s="201">
        <v>1029.1600000000001</v>
      </c>
      <c r="N8" s="201">
        <v>459.05</v>
      </c>
      <c r="O8" s="201">
        <v>606.02</v>
      </c>
      <c r="P8" s="201">
        <v>257</v>
      </c>
      <c r="Q8" s="201">
        <v>535.83000000000004</v>
      </c>
      <c r="R8" s="201">
        <v>231.14</v>
      </c>
      <c r="S8" s="201">
        <v>728.91</v>
      </c>
      <c r="T8" s="201">
        <v>591</v>
      </c>
      <c r="U8" s="201">
        <v>103.60208369999999</v>
      </c>
      <c r="V8" s="201">
        <v>102.65206000000001</v>
      </c>
      <c r="W8" s="201">
        <v>100.64090299999999</v>
      </c>
      <c r="X8" s="201">
        <v>291.25</v>
      </c>
      <c r="Y8" s="201">
        <v>266.25</v>
      </c>
      <c r="Z8" s="201">
        <v>211</v>
      </c>
      <c r="AA8" s="201">
        <v>263.85666666666702</v>
      </c>
      <c r="AB8" s="201">
        <v>144.16149276562501</v>
      </c>
      <c r="AC8" s="201">
        <v>167.16073370625</v>
      </c>
      <c r="AD8" s="201">
        <v>0.94910899868633103</v>
      </c>
      <c r="AE8" s="201">
        <v>0.68551146875000002</v>
      </c>
      <c r="AF8" s="201">
        <v>0.84975109600569498</v>
      </c>
      <c r="AG8" s="201">
        <v>2.6219545659999999</v>
      </c>
      <c r="AH8" s="201">
        <v>1.5402277</v>
      </c>
      <c r="AI8" s="201">
        <v>9.76205736</v>
      </c>
      <c r="AJ8" s="201">
        <v>0.645806712253853</v>
      </c>
      <c r="AK8" s="201">
        <v>0.51542913290000003</v>
      </c>
      <c r="AL8" s="201">
        <v>0.34722765</v>
      </c>
      <c r="AM8" s="201">
        <v>2917.2121956323999</v>
      </c>
      <c r="AN8" s="201">
        <v>1.2863957699999999</v>
      </c>
      <c r="AO8" s="201">
        <v>44</v>
      </c>
      <c r="AP8" s="201">
        <v>244.3</v>
      </c>
      <c r="AQ8" s="201">
        <v>201</v>
      </c>
      <c r="AR8" s="201">
        <v>202.3</v>
      </c>
      <c r="AS8" s="201">
        <v>167.5</v>
      </c>
      <c r="AT8" s="201">
        <v>2377.857</v>
      </c>
      <c r="AU8" s="201">
        <v>4734.3329999999996</v>
      </c>
    </row>
    <row r="9" spans="1:47" s="7" customFormat="1">
      <c r="A9" s="288" t="s">
        <v>4</v>
      </c>
      <c r="B9" s="201">
        <v>59.704921052631597</v>
      </c>
      <c r="C9" s="201">
        <v>59.923000000000002</v>
      </c>
      <c r="D9" s="201">
        <v>57.576500000000003</v>
      </c>
      <c r="E9" s="201">
        <v>61.615263157894802</v>
      </c>
      <c r="F9" s="201">
        <v>7.4878571428571403</v>
      </c>
      <c r="G9" s="201">
        <v>133.49148094399999</v>
      </c>
      <c r="H9" s="201">
        <v>1.5461039999999999</v>
      </c>
      <c r="I9" s="201">
        <v>2.6261433439999999</v>
      </c>
      <c r="J9" s="201">
        <v>1.3884696759999999</v>
      </c>
      <c r="K9" s="201">
        <v>591</v>
      </c>
      <c r="L9" s="201">
        <v>848</v>
      </c>
      <c r="M9" s="201">
        <v>993.18</v>
      </c>
      <c r="N9" s="201">
        <v>473.9</v>
      </c>
      <c r="O9" s="201">
        <v>621.13</v>
      </c>
      <c r="P9" s="201">
        <v>257</v>
      </c>
      <c r="Q9" s="201">
        <v>533.27</v>
      </c>
      <c r="R9" s="201">
        <v>229.6</v>
      </c>
      <c r="S9" s="201">
        <v>716.23</v>
      </c>
      <c r="T9" s="201">
        <v>595</v>
      </c>
      <c r="U9" s="201">
        <v>101.1340387</v>
      </c>
      <c r="V9" s="201">
        <v>107.13017000000001</v>
      </c>
      <c r="W9" s="201">
        <v>106.06977975</v>
      </c>
      <c r="X9" s="201">
        <v>301.5</v>
      </c>
      <c r="Y9" s="201">
        <v>274.75</v>
      </c>
      <c r="Z9" s="201">
        <v>216.75</v>
      </c>
      <c r="AA9" s="201">
        <v>264.28750000000002</v>
      </c>
      <c r="AB9" s="201">
        <v>149.24819458125</v>
      </c>
      <c r="AC9" s="201">
        <v>179.84092587631599</v>
      </c>
      <c r="AD9" s="201">
        <v>1.00339819362781</v>
      </c>
      <c r="AE9" s="201">
        <v>0.85430574999999997</v>
      </c>
      <c r="AF9" s="201">
        <v>0.82145759748930602</v>
      </c>
      <c r="AG9" s="201">
        <v>2.6455440000000001</v>
      </c>
      <c r="AH9" s="201">
        <v>1.5251961999999999</v>
      </c>
      <c r="AI9" s="201">
        <v>9.8105589999999996</v>
      </c>
      <c r="AJ9" s="201">
        <v>0.63917068979798597</v>
      </c>
      <c r="AK9" s="201">
        <v>0.53197480600000002</v>
      </c>
      <c r="AL9" s="201">
        <v>0.39771344800000002</v>
      </c>
      <c r="AM9" s="201">
        <v>2895.3739883594799</v>
      </c>
      <c r="AN9" s="201">
        <v>1.3150558299999999</v>
      </c>
      <c r="AO9" s="201">
        <v>44</v>
      </c>
      <c r="AP9" s="201">
        <v>238.125</v>
      </c>
      <c r="AQ9" s="201">
        <v>201</v>
      </c>
      <c r="AR9" s="201">
        <v>213.875</v>
      </c>
      <c r="AS9" s="201">
        <v>167.5</v>
      </c>
      <c r="AT9" s="201">
        <v>2455.3249999999998</v>
      </c>
      <c r="AU9" s="201">
        <v>4982.3999999999996</v>
      </c>
    </row>
    <row r="10" spans="1:47" s="7" customFormat="1">
      <c r="A10" s="288" t="s">
        <v>5</v>
      </c>
      <c r="B10" s="201">
        <v>60.929275362318897</v>
      </c>
      <c r="C10" s="201">
        <v>62.253043478260899</v>
      </c>
      <c r="D10" s="201">
        <v>57.645217391304399</v>
      </c>
      <c r="E10" s="201">
        <v>62.889565217391301</v>
      </c>
      <c r="F10" s="201">
        <v>6.8989130434782604</v>
      </c>
      <c r="G10" s="201">
        <v>126.42147292594299</v>
      </c>
      <c r="H10" s="201">
        <v>1.5450552173912999</v>
      </c>
      <c r="I10" s="201">
        <v>2.5057710919999998</v>
      </c>
      <c r="J10" s="201">
        <v>1.3139535200000001</v>
      </c>
      <c r="K10" s="201">
        <v>575</v>
      </c>
      <c r="L10" s="201">
        <v>808.26</v>
      </c>
      <c r="M10" s="201">
        <v>961.89</v>
      </c>
      <c r="N10" s="201">
        <v>472.52</v>
      </c>
      <c r="O10" s="201">
        <v>590</v>
      </c>
      <c r="P10" s="201">
        <v>257</v>
      </c>
      <c r="Q10" s="201">
        <v>540.6</v>
      </c>
      <c r="R10" s="201">
        <v>217.78</v>
      </c>
      <c r="S10" s="201">
        <v>738.57</v>
      </c>
      <c r="T10" s="201">
        <v>606</v>
      </c>
      <c r="U10" s="201">
        <v>100.3758447</v>
      </c>
      <c r="V10" s="201">
        <v>105.250348</v>
      </c>
      <c r="W10" s="201">
        <v>103.6612324</v>
      </c>
      <c r="X10" s="201">
        <v>303.5</v>
      </c>
      <c r="Y10" s="201">
        <v>274.5</v>
      </c>
      <c r="Z10" s="201">
        <v>216.5</v>
      </c>
      <c r="AA10" s="201">
        <v>244.85599999999999</v>
      </c>
      <c r="AB10" s="201">
        <v>142.65729877499999</v>
      </c>
      <c r="AC10" s="201">
        <v>174.43598036624999</v>
      </c>
      <c r="AD10" s="201">
        <v>0.99811618856481499</v>
      </c>
      <c r="AE10" s="201">
        <v>0.8253695875</v>
      </c>
      <c r="AF10" s="201">
        <v>0.80886459758035001</v>
      </c>
      <c r="AG10" s="201">
        <v>2.6186476359999999</v>
      </c>
      <c r="AH10" s="201">
        <v>1.5063490115384599</v>
      </c>
      <c r="AI10" s="201">
        <v>9.8105589999999996</v>
      </c>
      <c r="AJ10" s="201">
        <v>0.63744326653803796</v>
      </c>
      <c r="AK10" s="201">
        <v>0.508385372</v>
      </c>
      <c r="AL10" s="201">
        <v>0.38007648799999999</v>
      </c>
      <c r="AM10" s="201">
        <v>2828.38</v>
      </c>
      <c r="AN10" s="201">
        <v>1.2698611200000001</v>
      </c>
      <c r="AO10" s="201">
        <v>44</v>
      </c>
      <c r="AP10" s="201">
        <v>233.625</v>
      </c>
      <c r="AQ10" s="201">
        <v>200.6</v>
      </c>
      <c r="AR10" s="201">
        <v>243.125</v>
      </c>
      <c r="AS10" s="201">
        <v>167.5</v>
      </c>
      <c r="AT10" s="201">
        <v>2429.13</v>
      </c>
      <c r="AU10" s="201">
        <v>5102.848</v>
      </c>
    </row>
    <row r="11" spans="1:47" s="7" customFormat="1">
      <c r="A11" s="288" t="s">
        <v>6</v>
      </c>
      <c r="B11" s="201">
        <v>67.970575048732897</v>
      </c>
      <c r="C11" s="201">
        <v>70.442105263157899</v>
      </c>
      <c r="D11" s="201">
        <v>64.0568421052632</v>
      </c>
      <c r="E11" s="201">
        <v>69.412777777777805</v>
      </c>
      <c r="F11" s="201">
        <v>7.0940000000000003</v>
      </c>
      <c r="G11" s="201">
        <v>130.01285440315601</v>
      </c>
      <c r="H11" s="201">
        <v>1.5480175</v>
      </c>
      <c r="I11" s="201">
        <v>2.5445724040000002</v>
      </c>
      <c r="J11" s="201">
        <v>1.33489741</v>
      </c>
      <c r="K11" s="201">
        <v>578</v>
      </c>
      <c r="L11" s="201">
        <v>753</v>
      </c>
      <c r="M11" s="201">
        <v>936.96</v>
      </c>
      <c r="N11" s="201">
        <v>475.9</v>
      </c>
      <c r="O11" s="201">
        <v>573.75</v>
      </c>
      <c r="P11" s="201">
        <v>258</v>
      </c>
      <c r="Q11" s="201">
        <v>540.44000000000005</v>
      </c>
      <c r="R11" s="201">
        <v>209.6</v>
      </c>
      <c r="S11" s="201">
        <v>773.72</v>
      </c>
      <c r="T11" s="201">
        <v>659</v>
      </c>
      <c r="U11" s="201">
        <v>102.1245618</v>
      </c>
      <c r="V11" s="201">
        <v>107.72069</v>
      </c>
      <c r="W11" s="201">
        <v>109.35466355</v>
      </c>
      <c r="X11" s="201">
        <v>302.25</v>
      </c>
      <c r="Y11" s="201">
        <v>271.5</v>
      </c>
      <c r="Z11" s="201">
        <v>218.5</v>
      </c>
      <c r="AA11" s="201">
        <v>244.25</v>
      </c>
      <c r="AB11" s="201">
        <v>140.82011527500001</v>
      </c>
      <c r="AC11" s="201">
        <v>180.346054644947</v>
      </c>
      <c r="AD11" s="201">
        <v>0.968522447124888</v>
      </c>
      <c r="AE11" s="201">
        <v>0.73029362499999995</v>
      </c>
      <c r="AF11" s="201">
        <v>0.80033404079397397</v>
      </c>
      <c r="AG11" s="201">
        <v>2.6007902139999999</v>
      </c>
      <c r="AH11" s="201">
        <v>1.4894963875</v>
      </c>
      <c r="AI11" s="201">
        <v>9.9075622800000005</v>
      </c>
      <c r="AJ11" s="201">
        <v>0.64590118851205303</v>
      </c>
      <c r="AK11" s="201">
        <v>0.51997703189473699</v>
      </c>
      <c r="AL11" s="201">
        <v>0.38558803800000002</v>
      </c>
      <c r="AM11" s="201">
        <v>2824.88</v>
      </c>
      <c r="AN11" s="201">
        <v>1.24009875</v>
      </c>
      <c r="AO11" s="201">
        <v>44</v>
      </c>
      <c r="AP11" s="201">
        <v>231.75</v>
      </c>
      <c r="AQ11" s="201">
        <v>200.5</v>
      </c>
      <c r="AR11" s="201">
        <v>247.5</v>
      </c>
      <c r="AS11" s="201">
        <v>167.5</v>
      </c>
      <c r="AT11" s="201">
        <v>2621.1109999999999</v>
      </c>
      <c r="AU11" s="201">
        <v>6387.7780000000002</v>
      </c>
    </row>
    <row r="12" spans="1:47" s="7" customFormat="1">
      <c r="A12" s="288" t="s">
        <v>7</v>
      </c>
      <c r="B12" s="201">
        <v>68.675948616600806</v>
      </c>
      <c r="C12" s="201">
        <v>70.187272727272699</v>
      </c>
      <c r="D12" s="201">
        <v>64.907391304347797</v>
      </c>
      <c r="E12" s="201">
        <v>70.933181818181794</v>
      </c>
      <c r="F12" s="201">
        <v>6.1980434782608702</v>
      </c>
      <c r="G12" s="201">
        <v>119.31630414618201</v>
      </c>
      <c r="H12" s="201">
        <v>1.5964169565217401</v>
      </c>
      <c r="I12" s="201">
        <v>2.4109724319999999</v>
      </c>
      <c r="J12" s="201">
        <v>1.3245356960000001</v>
      </c>
      <c r="K12" s="201">
        <v>583</v>
      </c>
      <c r="L12" s="201">
        <v>780</v>
      </c>
      <c r="M12" s="201">
        <v>936.96</v>
      </c>
      <c r="N12" s="201">
        <v>483.72</v>
      </c>
      <c r="O12" s="201">
        <v>558.26</v>
      </c>
      <c r="P12" s="201">
        <v>266</v>
      </c>
      <c r="Q12" s="201">
        <v>588.29</v>
      </c>
      <c r="R12" s="201">
        <v>212.83</v>
      </c>
      <c r="S12" s="201">
        <v>828.42</v>
      </c>
      <c r="T12" s="201">
        <v>679</v>
      </c>
      <c r="U12" s="201">
        <v>107.4755681</v>
      </c>
      <c r="V12" s="201">
        <v>110.648685</v>
      </c>
      <c r="W12" s="201">
        <v>113.758392</v>
      </c>
      <c r="X12" s="201">
        <v>308</v>
      </c>
      <c r="Y12" s="201">
        <v>276</v>
      </c>
      <c r="Z12" s="201">
        <v>219.4</v>
      </c>
      <c r="AA12" s="201">
        <v>256.22800000000001</v>
      </c>
      <c r="AB12" s="201">
        <v>150.92462452500001</v>
      </c>
      <c r="AC12" s="201">
        <v>193.166722285714</v>
      </c>
      <c r="AD12" s="201">
        <v>1.0509641502365601</v>
      </c>
      <c r="AE12" s="201">
        <v>0.92595720000000004</v>
      </c>
      <c r="AF12" s="201">
        <v>0.80019413669094397</v>
      </c>
      <c r="AG12" s="201">
        <v>2.6151202439999999</v>
      </c>
      <c r="AH12" s="201">
        <v>1.4950079375000001</v>
      </c>
      <c r="AI12" s="201">
        <v>10.33746318</v>
      </c>
      <c r="AJ12" s="201">
        <v>0.68359074273133003</v>
      </c>
      <c r="AK12" s="201">
        <v>0.51664267600000002</v>
      </c>
      <c r="AL12" s="201">
        <v>0.37081708400000002</v>
      </c>
      <c r="AM12" s="201">
        <v>2831.11</v>
      </c>
      <c r="AN12" s="201">
        <v>1.1982109700000001</v>
      </c>
      <c r="AO12" s="201">
        <v>44</v>
      </c>
      <c r="AP12" s="201">
        <v>232.9</v>
      </c>
      <c r="AQ12" s="201">
        <v>200.5</v>
      </c>
      <c r="AR12" s="201">
        <v>229.5</v>
      </c>
      <c r="AS12" s="201">
        <v>167.5</v>
      </c>
      <c r="AT12" s="201">
        <v>2861.4760000000001</v>
      </c>
      <c r="AU12" s="201">
        <v>8045.857</v>
      </c>
    </row>
    <row r="13" spans="1:47" s="7" customFormat="1">
      <c r="A13" s="288" t="s">
        <v>8</v>
      </c>
      <c r="B13" s="201">
        <v>68.290151515151507</v>
      </c>
      <c r="C13" s="201">
        <v>68.857727272727303</v>
      </c>
      <c r="D13" s="201">
        <v>65.080909090909103</v>
      </c>
      <c r="E13" s="201">
        <v>70.931818181818201</v>
      </c>
      <c r="F13" s="201">
        <v>6.1931818181818201</v>
      </c>
      <c r="G13" s="201">
        <v>119.426755854493</v>
      </c>
      <c r="H13" s="201">
        <v>1.607</v>
      </c>
      <c r="I13" s="201">
        <v>2.2740655300000001</v>
      </c>
      <c r="J13" s="201">
        <v>1.327842626</v>
      </c>
      <c r="K13" s="201">
        <v>575</v>
      </c>
      <c r="L13" s="201">
        <v>795.91</v>
      </c>
      <c r="M13" s="201">
        <v>957.01</v>
      </c>
      <c r="N13" s="201">
        <v>478.16</v>
      </c>
      <c r="O13" s="201">
        <v>534.77</v>
      </c>
      <c r="P13" s="201">
        <v>267</v>
      </c>
      <c r="Q13" s="201">
        <v>600.54999999999995</v>
      </c>
      <c r="R13" s="201">
        <v>215.91</v>
      </c>
      <c r="S13" s="201">
        <v>829.91</v>
      </c>
      <c r="T13" s="201">
        <v>666</v>
      </c>
      <c r="U13" s="201">
        <v>106.8823855</v>
      </c>
      <c r="V13" s="201">
        <v>109.403672</v>
      </c>
      <c r="W13" s="201">
        <v>111.88446500000001</v>
      </c>
      <c r="X13" s="201">
        <v>312.5</v>
      </c>
      <c r="Y13" s="201">
        <v>280.5</v>
      </c>
      <c r="Z13" s="201">
        <v>216.5</v>
      </c>
      <c r="AA13" s="201">
        <v>259.42750000000001</v>
      </c>
      <c r="AB13" s="201">
        <v>140.14035738000001</v>
      </c>
      <c r="AC13" s="201">
        <v>195.164003205</v>
      </c>
      <c r="AD13" s="201">
        <v>0.95436690825439896</v>
      </c>
      <c r="AE13" s="201">
        <v>0.65450843749999998</v>
      </c>
      <c r="AF13" s="201">
        <v>0.665839203766592</v>
      </c>
      <c r="AG13" s="201">
        <v>2.57499616</v>
      </c>
      <c r="AH13" s="201">
        <v>1.52076383461538</v>
      </c>
      <c r="AI13" s="201">
        <v>10.48517272</v>
      </c>
      <c r="AJ13" s="201">
        <v>0.67401633078916501</v>
      </c>
      <c r="AK13" s="201">
        <v>0.51416748899999998</v>
      </c>
      <c r="AL13" s="201">
        <v>0.33951147999999998</v>
      </c>
      <c r="AM13" s="201">
        <v>2854.88</v>
      </c>
      <c r="AN13" s="201">
        <v>1.21584793</v>
      </c>
      <c r="AO13" s="201">
        <v>44</v>
      </c>
      <c r="AP13" s="201">
        <v>232.375</v>
      </c>
      <c r="AQ13" s="201">
        <v>200.5</v>
      </c>
      <c r="AR13" s="201">
        <v>210</v>
      </c>
      <c r="AS13" s="201">
        <v>167.5</v>
      </c>
      <c r="AT13" s="201">
        <v>2477.3409999999999</v>
      </c>
      <c r="AU13" s="201">
        <v>7197.6139999999996</v>
      </c>
    </row>
    <row r="14" spans="1:47" s="7" customFormat="1">
      <c r="A14" s="288" t="s">
        <v>9</v>
      </c>
      <c r="B14" s="201">
        <v>72.450133667502101</v>
      </c>
      <c r="C14" s="201">
        <v>73.897142857142896</v>
      </c>
      <c r="D14" s="201">
        <v>69.049047619047599</v>
      </c>
      <c r="E14" s="201">
        <v>74.404210526315794</v>
      </c>
      <c r="F14" s="201">
        <v>6.25</v>
      </c>
      <c r="G14" s="201">
        <v>121.332773639637</v>
      </c>
      <c r="H14" s="201">
        <v>1.6790833333333299</v>
      </c>
      <c r="I14" s="201">
        <v>2.314851</v>
      </c>
      <c r="J14" s="201">
        <v>1.421759438</v>
      </c>
      <c r="K14" s="201">
        <v>583.25</v>
      </c>
      <c r="L14" s="201">
        <v>851.43</v>
      </c>
      <c r="M14" s="201">
        <v>990.51</v>
      </c>
      <c r="N14" s="201">
        <v>499.21</v>
      </c>
      <c r="O14" s="201">
        <v>555.71</v>
      </c>
      <c r="P14" s="201">
        <v>271.75</v>
      </c>
      <c r="Q14" s="201">
        <v>630.01</v>
      </c>
      <c r="R14" s="201">
        <v>215.38</v>
      </c>
      <c r="S14" s="201">
        <v>820.58</v>
      </c>
      <c r="T14" s="201">
        <v>647</v>
      </c>
      <c r="U14" s="201">
        <v>112.0984874</v>
      </c>
      <c r="V14" s="201">
        <v>113.99108</v>
      </c>
      <c r="W14" s="201">
        <v>119.98644349999999</v>
      </c>
      <c r="X14" s="201">
        <v>315.39999999999998</v>
      </c>
      <c r="Y14" s="201">
        <v>286.60000000000002</v>
      </c>
      <c r="Z14" s="201">
        <v>218.6</v>
      </c>
      <c r="AA14" s="201">
        <v>257.43</v>
      </c>
      <c r="AB14" s="201">
        <v>143.85146804999999</v>
      </c>
      <c r="AC14" s="201">
        <v>202.42861353947399</v>
      </c>
      <c r="AD14" s="201">
        <v>0.75000462589455696</v>
      </c>
      <c r="AE14" s="201">
        <v>0.55977695312499998</v>
      </c>
      <c r="AF14" s="201">
        <v>0.73440007405992402</v>
      </c>
      <c r="AG14" s="201">
        <v>2.620852256</v>
      </c>
      <c r="AH14" s="201">
        <v>1.5395596333333299</v>
      </c>
      <c r="AI14" s="201">
        <v>10.44548956</v>
      </c>
      <c r="AJ14" s="201">
        <v>0.63012455999999994</v>
      </c>
      <c r="AK14" s="201">
        <v>0.49171844479999999</v>
      </c>
      <c r="AL14" s="201">
        <v>0.35384151000000003</v>
      </c>
      <c r="AM14" s="201">
        <v>2955.27</v>
      </c>
      <c r="AN14" s="201">
        <v>1.2213594800000001</v>
      </c>
      <c r="AO14" s="201">
        <v>44</v>
      </c>
      <c r="AP14" s="201">
        <v>230.3</v>
      </c>
      <c r="AQ14" s="201">
        <v>202</v>
      </c>
      <c r="AR14" s="201">
        <v>205.5</v>
      </c>
      <c r="AS14" s="201">
        <v>172.5</v>
      </c>
      <c r="AT14" s="201">
        <v>2512.7139999999999</v>
      </c>
      <c r="AU14" s="201">
        <v>7712.0950000000003</v>
      </c>
    </row>
    <row r="15" spans="1:47" s="7" customFormat="1">
      <c r="A15" s="288" t="s">
        <v>10</v>
      </c>
      <c r="B15" s="201">
        <v>71.811884057971</v>
      </c>
      <c r="C15" s="201">
        <v>73.612173913043506</v>
      </c>
      <c r="D15" s="201">
        <v>68.781739130434801</v>
      </c>
      <c r="E15" s="201">
        <v>73.041739130434806</v>
      </c>
      <c r="F15" s="201">
        <v>6.9950000000000001</v>
      </c>
      <c r="G15" s="201">
        <v>131.248275728621</v>
      </c>
      <c r="H15" s="201">
        <v>1.6207134782608701</v>
      </c>
      <c r="I15" s="201">
        <v>2.4632219260000001</v>
      </c>
      <c r="J15" s="201">
        <v>1.622379858</v>
      </c>
      <c r="K15" s="201">
        <v>606</v>
      </c>
      <c r="L15" s="201">
        <v>880</v>
      </c>
      <c r="M15" s="201">
        <v>1041.92</v>
      </c>
      <c r="N15" s="201">
        <v>534.26</v>
      </c>
      <c r="O15" s="201">
        <v>566.85</v>
      </c>
      <c r="P15" s="201">
        <v>262</v>
      </c>
      <c r="Q15" s="201">
        <v>632.17999999999995</v>
      </c>
      <c r="R15" s="201">
        <v>222.65</v>
      </c>
      <c r="S15" s="201">
        <v>809.12</v>
      </c>
      <c r="T15" s="201">
        <v>666</v>
      </c>
      <c r="U15" s="201">
        <v>114.5306653</v>
      </c>
      <c r="V15" s="201">
        <v>116.58833199999999</v>
      </c>
      <c r="W15" s="201">
        <v>114.4418242</v>
      </c>
      <c r="X15" s="201">
        <v>312.66666666666703</v>
      </c>
      <c r="Y15" s="201">
        <v>284.33333333333297</v>
      </c>
      <c r="Z15" s="201">
        <v>220</v>
      </c>
      <c r="AA15" s="201">
        <v>263.62799999999999</v>
      </c>
      <c r="AB15" s="201">
        <v>148.3617535425</v>
      </c>
      <c r="AC15" s="201">
        <v>189.91466889545501</v>
      </c>
      <c r="AD15" s="201">
        <v>0.75785438251413695</v>
      </c>
      <c r="AE15" s="201">
        <v>0.54151961250000002</v>
      </c>
      <c r="AF15" s="201">
        <v>0.83083657723445203</v>
      </c>
      <c r="AG15" s="201">
        <v>2.663842346</v>
      </c>
      <c r="AH15" s="201">
        <v>1.5525612384615399</v>
      </c>
      <c r="AI15" s="201">
        <v>9.6452124999999995</v>
      </c>
      <c r="AJ15" s="201">
        <v>0.63646559999999996</v>
      </c>
      <c r="AK15" s="201">
        <v>0.47150112086956503</v>
      </c>
      <c r="AL15" s="201">
        <v>0.29797835626086999</v>
      </c>
      <c r="AM15" s="201">
        <v>3038.08</v>
      </c>
      <c r="AN15" s="201">
        <v>1.32056738</v>
      </c>
      <c r="AO15" s="201">
        <v>44</v>
      </c>
      <c r="AP15" s="201">
        <v>228.25</v>
      </c>
      <c r="AQ15" s="201">
        <v>202</v>
      </c>
      <c r="AR15" s="201">
        <v>210.5</v>
      </c>
      <c r="AS15" s="201">
        <v>192.5</v>
      </c>
      <c r="AT15" s="201">
        <v>2459.9319999999998</v>
      </c>
      <c r="AU15" s="201">
        <v>7695.6589999999997</v>
      </c>
    </row>
    <row r="16" spans="1:47" s="7" customFormat="1">
      <c r="A16" s="288" t="s">
        <v>11</v>
      </c>
      <c r="B16" s="201">
        <v>62.121253968254003</v>
      </c>
      <c r="C16" s="201">
        <v>62.7719047619048</v>
      </c>
      <c r="D16" s="201">
        <v>59.772857142857099</v>
      </c>
      <c r="E16" s="201">
        <v>63.819000000000003</v>
      </c>
      <c r="F16" s="201">
        <v>4.86238095238095</v>
      </c>
      <c r="G16" s="201">
        <v>105.92087308340101</v>
      </c>
      <c r="H16" s="201">
        <v>1.5687619047618999</v>
      </c>
      <c r="I16" s="201">
        <v>2.421334146</v>
      </c>
      <c r="J16" s="201">
        <v>1.699982482</v>
      </c>
      <c r="K16" s="201">
        <v>609</v>
      </c>
      <c r="L16" s="201">
        <v>913.47826086956502</v>
      </c>
      <c r="M16" s="201">
        <v>1079.22</v>
      </c>
      <c r="N16" s="201">
        <v>511.24</v>
      </c>
      <c r="O16" s="201">
        <v>543.57000000000005</v>
      </c>
      <c r="P16" s="201">
        <v>258</v>
      </c>
      <c r="Q16" s="201">
        <v>602.35</v>
      </c>
      <c r="R16" s="201">
        <v>232.05</v>
      </c>
      <c r="S16" s="201">
        <v>785.73</v>
      </c>
      <c r="T16" s="201">
        <v>669</v>
      </c>
      <c r="U16" s="201">
        <v>115.44458849999999</v>
      </c>
      <c r="V16" s="201">
        <v>121.74554000000001</v>
      </c>
      <c r="W16" s="201">
        <v>119.5455195</v>
      </c>
      <c r="X16" s="201">
        <v>309.2</v>
      </c>
      <c r="Y16" s="201">
        <v>282.8</v>
      </c>
      <c r="Z16" s="201">
        <v>224.4</v>
      </c>
      <c r="AA16" s="201">
        <v>267.70999999999998</v>
      </c>
      <c r="AB16" s="201">
        <v>166.88515618125001</v>
      </c>
      <c r="AC16" s="201">
        <v>195.9815498625</v>
      </c>
      <c r="AD16" s="201">
        <v>0.79618066242125995</v>
      </c>
      <c r="AE16" s="201">
        <v>0.54427543749999996</v>
      </c>
      <c r="AF16" s="201">
        <v>0.87862546212914105</v>
      </c>
      <c r="AG16" s="201">
        <v>2.6759677559999999</v>
      </c>
      <c r="AH16" s="201">
        <v>1.5589207192307699</v>
      </c>
      <c r="AI16" s="201">
        <v>9.1227175599999999</v>
      </c>
      <c r="AJ16" s="201">
        <v>0.632298651428571</v>
      </c>
      <c r="AK16" s="201">
        <v>0.46653066129999998</v>
      </c>
      <c r="AL16" s="201">
        <v>0.266318096</v>
      </c>
      <c r="AM16" s="201">
        <v>3119.58</v>
      </c>
      <c r="AN16" s="201">
        <v>1.29741887</v>
      </c>
      <c r="AO16" s="201">
        <v>44</v>
      </c>
      <c r="AP16" s="201">
        <v>225.125</v>
      </c>
      <c r="AQ16" s="201">
        <v>202</v>
      </c>
      <c r="AR16" s="201">
        <v>215.125</v>
      </c>
      <c r="AS16" s="201">
        <v>192.5</v>
      </c>
      <c r="AT16" s="201">
        <v>2472.8809999999999</v>
      </c>
      <c r="AU16" s="201">
        <v>7602.357</v>
      </c>
    </row>
    <row r="17" spans="1:47" s="7" customFormat="1">
      <c r="A17" s="288" t="s">
        <v>12</v>
      </c>
      <c r="B17" s="201">
        <v>57.910468975469001</v>
      </c>
      <c r="C17" s="201">
        <v>58.38</v>
      </c>
      <c r="D17" s="201">
        <v>56.500952380952398</v>
      </c>
      <c r="E17" s="201">
        <v>58.850454545454497</v>
      </c>
      <c r="F17" s="201">
        <v>5.9625000000000004</v>
      </c>
      <c r="G17" s="201">
        <v>119.925951131952</v>
      </c>
      <c r="H17" s="201">
        <v>1.53022636363636</v>
      </c>
      <c r="I17" s="201">
        <v>2.4389711059999999</v>
      </c>
      <c r="J17" s="201">
        <v>1.657212854</v>
      </c>
      <c r="K17" s="201">
        <v>626</v>
      </c>
      <c r="L17" s="201">
        <v>937.39130434782601</v>
      </c>
      <c r="M17" s="201">
        <v>1102.31</v>
      </c>
      <c r="N17" s="201">
        <v>514.17999999999995</v>
      </c>
      <c r="O17" s="201">
        <v>557.61</v>
      </c>
      <c r="P17" s="201">
        <v>273</v>
      </c>
      <c r="Q17" s="201">
        <v>614.71</v>
      </c>
      <c r="R17" s="201">
        <v>243.98</v>
      </c>
      <c r="S17" s="201">
        <v>784.4</v>
      </c>
      <c r="T17" s="201">
        <v>666</v>
      </c>
      <c r="U17" s="201">
        <v>136.5974641</v>
      </c>
      <c r="V17" s="201">
        <v>142.16768999999999</v>
      </c>
      <c r="W17" s="201">
        <v>138.22967399999999</v>
      </c>
      <c r="X17" s="201">
        <v>301</v>
      </c>
      <c r="Y17" s="201">
        <v>274.75</v>
      </c>
      <c r="Z17" s="201">
        <v>223.5</v>
      </c>
      <c r="AA17" s="201">
        <v>283.21249999999998</v>
      </c>
      <c r="AB17" s="201">
        <v>197.772803775</v>
      </c>
      <c r="AC17" s="201">
        <v>212.09408658214301</v>
      </c>
      <c r="AD17" s="201">
        <v>0.78628438544010704</v>
      </c>
      <c r="AE17" s="201">
        <v>0.549442609375</v>
      </c>
      <c r="AF17" s="201">
        <v>1.03599630918528</v>
      </c>
      <c r="AG17" s="201">
        <v>2.6900773240000002</v>
      </c>
      <c r="AH17" s="201">
        <v>1.53542597083333</v>
      </c>
      <c r="AI17" s="201">
        <v>8.6839981799999997</v>
      </c>
      <c r="AJ17" s="201">
        <v>0.62651673818181797</v>
      </c>
      <c r="AK17" s="201">
        <v>0.44794872099999999</v>
      </c>
      <c r="AL17" s="201">
        <v>0.25661776800000002</v>
      </c>
      <c r="AM17" s="201">
        <v>3152.8</v>
      </c>
      <c r="AN17" s="201">
        <v>1.25773571</v>
      </c>
      <c r="AO17" s="201">
        <v>44</v>
      </c>
      <c r="AP17" s="201">
        <v>218.5</v>
      </c>
      <c r="AQ17" s="201">
        <v>202</v>
      </c>
      <c r="AR17" s="201">
        <v>209.2</v>
      </c>
      <c r="AS17" s="201">
        <v>192.5</v>
      </c>
      <c r="AT17" s="201">
        <v>2654.5909999999999</v>
      </c>
      <c r="AU17" s="201">
        <v>7500.3860000000004</v>
      </c>
    </row>
    <row r="18" spans="1:47" s="7" customFormat="1">
      <c r="A18" s="288" t="s">
        <v>13</v>
      </c>
      <c r="B18" s="201">
        <v>58.143045454545501</v>
      </c>
      <c r="C18" s="201">
        <v>58.483181818181798</v>
      </c>
      <c r="D18" s="201">
        <v>56.8154545454545</v>
      </c>
      <c r="E18" s="201">
        <v>59.130499999999998</v>
      </c>
      <c r="F18" s="201">
        <v>7.4536363636363596</v>
      </c>
      <c r="G18" s="201">
        <v>138.13523053887499</v>
      </c>
      <c r="H18" s="201">
        <v>1.58116636363636</v>
      </c>
      <c r="I18" s="201">
        <v>2.6955888739999998</v>
      </c>
      <c r="J18" s="201">
        <v>1.6929276980000001</v>
      </c>
      <c r="K18" s="201">
        <v>656</v>
      </c>
      <c r="L18" s="201">
        <v>1044.52173913043</v>
      </c>
      <c r="M18" s="201">
        <v>1102.31</v>
      </c>
      <c r="N18" s="201">
        <v>571.57000000000005</v>
      </c>
      <c r="O18" s="201">
        <v>594.42999999999995</v>
      </c>
      <c r="P18" s="201">
        <v>300</v>
      </c>
      <c r="Q18" s="201">
        <v>675.67</v>
      </c>
      <c r="R18" s="201">
        <v>248.32</v>
      </c>
      <c r="S18" s="201">
        <v>822.39</v>
      </c>
      <c r="T18" s="201">
        <v>722</v>
      </c>
      <c r="U18" s="201">
        <v>148.14787559999999</v>
      </c>
      <c r="V18" s="201">
        <v>164.538556</v>
      </c>
      <c r="W18" s="201">
        <v>167.0881498</v>
      </c>
      <c r="X18" s="201">
        <v>296.25</v>
      </c>
      <c r="Y18" s="201">
        <v>273.25</v>
      </c>
      <c r="Z18" s="201">
        <v>220.75</v>
      </c>
      <c r="AA18" s="201" t="s">
        <v>267</v>
      </c>
      <c r="AB18" s="201">
        <v>192.94101117</v>
      </c>
      <c r="AC18" s="201">
        <v>209.68065367105299</v>
      </c>
      <c r="AD18" s="201">
        <v>0.85896492276358205</v>
      </c>
      <c r="AE18" s="201">
        <v>0.598014025</v>
      </c>
      <c r="AF18" s="201">
        <v>0.93111678649817298</v>
      </c>
      <c r="AG18" s="201">
        <v>2.77230965</v>
      </c>
      <c r="AH18" s="201">
        <v>1.5211878000000001</v>
      </c>
      <c r="AI18" s="201">
        <v>8.5980179999999997</v>
      </c>
      <c r="AJ18" s="201">
        <v>0.63994840363636396</v>
      </c>
      <c r="AK18" s="201">
        <v>0.43561086580000002</v>
      </c>
      <c r="AL18" s="201">
        <v>0.25970423599999998</v>
      </c>
      <c r="AM18" s="201">
        <v>3149.23</v>
      </c>
      <c r="AN18" s="201">
        <v>1.2654518800000001</v>
      </c>
      <c r="AO18" s="201">
        <v>44</v>
      </c>
      <c r="AP18" s="201">
        <v>219.375</v>
      </c>
      <c r="AQ18" s="201">
        <v>202</v>
      </c>
      <c r="AR18" s="201">
        <v>227.375</v>
      </c>
      <c r="AS18" s="201">
        <v>192.5</v>
      </c>
      <c r="AT18" s="201">
        <v>2702.7950000000001</v>
      </c>
      <c r="AU18" s="201">
        <v>7029.1819999999998</v>
      </c>
    </row>
    <row r="19" spans="1:47" s="242" customFormat="1" ht="15">
      <c r="A19" s="290" t="s">
        <v>14</v>
      </c>
      <c r="B19" s="241">
        <v>60.994412280701702</v>
      </c>
      <c r="C19" s="241">
        <v>62.314736842105297</v>
      </c>
      <c r="D19" s="241">
        <v>58.669499999999999</v>
      </c>
      <c r="E19" s="241">
        <v>61.999000000000002</v>
      </c>
      <c r="F19" s="241">
        <v>6.5780952380952398</v>
      </c>
      <c r="G19" s="241">
        <v>127.265279202828</v>
      </c>
      <c r="H19" s="241">
        <v>1.7071780952380899</v>
      </c>
      <c r="I19" s="241">
        <v>2.8316139279999999</v>
      </c>
      <c r="J19" s="241">
        <v>1.6902821539999999</v>
      </c>
      <c r="K19" s="241">
        <v>731.66666666666697</v>
      </c>
      <c r="L19" s="241">
        <v>1037.8260869565199</v>
      </c>
      <c r="M19" s="241">
        <v>1102.31</v>
      </c>
      <c r="N19" s="241">
        <v>625.88</v>
      </c>
      <c r="O19" s="241">
        <v>640.71</v>
      </c>
      <c r="P19" s="241">
        <v>297</v>
      </c>
      <c r="Q19" s="241">
        <v>698.12</v>
      </c>
      <c r="R19" s="241">
        <v>249.1</v>
      </c>
      <c r="S19" s="241">
        <v>854.31</v>
      </c>
      <c r="T19" s="241">
        <v>730</v>
      </c>
      <c r="U19" s="241">
        <v>150.96757869999999</v>
      </c>
      <c r="V19" s="241">
        <v>160.37539000000001</v>
      </c>
      <c r="W19" s="241">
        <v>170.61003024999999</v>
      </c>
      <c r="X19" s="241">
        <v>305</v>
      </c>
      <c r="Y19" s="241">
        <v>280.25</v>
      </c>
      <c r="Z19" s="241">
        <v>228.25</v>
      </c>
      <c r="AA19" s="241" t="s">
        <v>267</v>
      </c>
      <c r="AB19" s="241">
        <v>189.84994993124999</v>
      </c>
      <c r="AC19" s="241">
        <v>204.30628759687499</v>
      </c>
      <c r="AD19" s="241">
        <v>0.890543039571286</v>
      </c>
      <c r="AE19" s="241">
        <v>0.65795321875000001</v>
      </c>
      <c r="AF19" s="241">
        <v>0.79280186612575498</v>
      </c>
      <c r="AG19" s="241">
        <v>2.698013956</v>
      </c>
      <c r="AH19" s="241">
        <v>1.5289958291666701</v>
      </c>
      <c r="AI19" s="241">
        <v>8.6399057799999994</v>
      </c>
      <c r="AJ19" s="241">
        <v>0.65641138105263197</v>
      </c>
      <c r="AK19" s="241">
        <v>0.43186301179999997</v>
      </c>
      <c r="AL19" s="241">
        <v>0.25507453400000002</v>
      </c>
      <c r="AM19" s="241">
        <v>3063.55</v>
      </c>
      <c r="AN19" s="241">
        <v>1.3106465899999999</v>
      </c>
      <c r="AO19" s="241">
        <v>44</v>
      </c>
      <c r="AP19" s="241">
        <v>223.833333333333</v>
      </c>
      <c r="AQ19" s="241">
        <v>205.5</v>
      </c>
      <c r="AR19" s="241">
        <v>251.666666666667</v>
      </c>
      <c r="AS19" s="241">
        <v>192.5</v>
      </c>
      <c r="AT19" s="241">
        <v>2813.6320000000001</v>
      </c>
      <c r="AU19" s="241">
        <v>6675.1049999999996</v>
      </c>
    </row>
    <row r="20" spans="1:47" s="242" customFormat="1" ht="15">
      <c r="A20" s="198" t="s">
        <v>1</v>
      </c>
      <c r="B20" s="241">
        <v>64.288259140201603</v>
      </c>
      <c r="C20" s="241">
        <v>65.391381220673566</v>
      </c>
      <c r="D20" s="241">
        <v>61.43081200365868</v>
      </c>
      <c r="E20" s="241">
        <v>66.042584196272415</v>
      </c>
      <c r="F20" s="241">
        <v>6.7195430939833116</v>
      </c>
      <c r="G20" s="241">
        <v>126.66129646702223</v>
      </c>
      <c r="H20" s="241">
        <v>1.5919022374286322</v>
      </c>
      <c r="I20" s="241">
        <v>2.5221036518333331</v>
      </c>
      <c r="J20" s="241">
        <v>1.4893126691666667</v>
      </c>
      <c r="K20" s="241">
        <v>606.90972222222229</v>
      </c>
      <c r="L20" s="241">
        <v>875.26228260869527</v>
      </c>
      <c r="M20" s="241">
        <v>1019.4783333333331</v>
      </c>
      <c r="N20" s="241">
        <v>508.29916666666668</v>
      </c>
      <c r="O20" s="241">
        <v>578.5675</v>
      </c>
      <c r="P20" s="241">
        <v>268.64583333333331</v>
      </c>
      <c r="Q20" s="241">
        <v>599.33500000000004</v>
      </c>
      <c r="R20" s="241">
        <v>227.36166666666668</v>
      </c>
      <c r="S20" s="241">
        <v>791.02416666666659</v>
      </c>
      <c r="T20" s="241">
        <v>658</v>
      </c>
      <c r="U20" s="241">
        <v>116.61509517499996</v>
      </c>
      <c r="V20" s="241">
        <v>121.85101775</v>
      </c>
      <c r="W20" s="241">
        <v>122.9392564125</v>
      </c>
      <c r="X20" s="241">
        <v>304.87638888888893</v>
      </c>
      <c r="Y20" s="241">
        <v>277.12361111111107</v>
      </c>
      <c r="Z20" s="241">
        <v>219.51250000000002</v>
      </c>
      <c r="AA20" s="241">
        <v>260.4886166666667</v>
      </c>
      <c r="AB20" s="241">
        <v>158.96785216265627</v>
      </c>
      <c r="AC20" s="241">
        <v>192.04335668599808</v>
      </c>
      <c r="AD20" s="241">
        <v>0.89702574209164432</v>
      </c>
      <c r="AE20" s="241">
        <v>0.67724399375</v>
      </c>
      <c r="AF20" s="241">
        <v>0.82918481229663221</v>
      </c>
      <c r="AG20" s="241">
        <v>2.649843009</v>
      </c>
      <c r="AH20" s="241">
        <v>1.52614102184829</v>
      </c>
      <c r="AI20" s="241">
        <v>9.6040595933333321</v>
      </c>
      <c r="AJ20" s="241">
        <v>0.6456411887434842</v>
      </c>
      <c r="AK20" s="241">
        <v>0.48764577778035861</v>
      </c>
      <c r="AL20" s="241">
        <v>0.32587239068840584</v>
      </c>
      <c r="AM20" s="241">
        <v>2969.1955153326576</v>
      </c>
      <c r="AN20" s="241">
        <v>1.2665541899999999</v>
      </c>
      <c r="AO20" s="241">
        <v>44</v>
      </c>
      <c r="AP20" s="241">
        <v>229.87152777777774</v>
      </c>
      <c r="AQ20" s="241">
        <v>201.63333333333333</v>
      </c>
      <c r="AR20" s="241">
        <v>222.13888888888891</v>
      </c>
      <c r="AS20" s="241">
        <v>178.33333333333334</v>
      </c>
      <c r="AT20" s="241">
        <v>2569.8987499999998</v>
      </c>
      <c r="AU20" s="241">
        <v>6722.1345000000001</v>
      </c>
    </row>
    <row r="21" spans="1:47" s="7" customFormat="1">
      <c r="A21" s="292"/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  <c r="AT21" s="201"/>
      <c r="AU21" s="201"/>
    </row>
    <row r="22" spans="1:47" s="7" customFormat="1">
      <c r="A22" s="292">
        <v>2007</v>
      </c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/>
      <c r="AU22" s="201"/>
    </row>
    <row r="23" spans="1:47" s="7" customFormat="1">
      <c r="A23" s="288" t="s">
        <v>3</v>
      </c>
      <c r="B23" s="201">
        <v>53.516969696969703</v>
      </c>
      <c r="C23" s="201">
        <v>54.2990909090909</v>
      </c>
      <c r="D23" s="201">
        <v>52.011818181818199</v>
      </c>
      <c r="E23" s="201">
        <v>54.24</v>
      </c>
      <c r="F23" s="201">
        <v>6.5843478260869599</v>
      </c>
      <c r="G23" s="201">
        <v>125.609797240901</v>
      </c>
      <c r="H23" s="201">
        <v>1.6985221739130401</v>
      </c>
      <c r="I23" s="201">
        <v>2.7454132859999998</v>
      </c>
      <c r="J23" s="201">
        <v>1.7445158059999999</v>
      </c>
      <c r="K23" s="201">
        <v>731</v>
      </c>
      <c r="L23" s="201">
        <v>1050</v>
      </c>
      <c r="M23" s="201">
        <v>1071.6400000000001</v>
      </c>
      <c r="N23" s="201">
        <v>637.59</v>
      </c>
      <c r="O23" s="201">
        <v>649.13</v>
      </c>
      <c r="P23" s="201">
        <v>306</v>
      </c>
      <c r="Q23" s="201">
        <v>697.33</v>
      </c>
      <c r="R23" s="201">
        <v>263.87</v>
      </c>
      <c r="S23" s="201">
        <v>823.02</v>
      </c>
      <c r="T23" s="201">
        <v>719</v>
      </c>
      <c r="U23" s="201">
        <v>152.13268619999999</v>
      </c>
      <c r="V23" s="201">
        <v>164.774764</v>
      </c>
      <c r="W23" s="201">
        <v>175.05123724000001</v>
      </c>
      <c r="X23" s="201">
        <v>313</v>
      </c>
      <c r="Y23" s="201">
        <v>286.60000000000002</v>
      </c>
      <c r="Z23" s="201">
        <v>243.8</v>
      </c>
      <c r="AA23" s="201" t="s">
        <v>267</v>
      </c>
      <c r="AB23" s="201">
        <v>175.98013309800001</v>
      </c>
      <c r="AC23" s="201">
        <v>196.06615699736801</v>
      </c>
      <c r="AD23" s="201">
        <v>0.98503544846798696</v>
      </c>
      <c r="AE23" s="201">
        <v>0.63935140000000001</v>
      </c>
      <c r="AF23" s="201">
        <v>0.79708632002524205</v>
      </c>
      <c r="AG23" s="201">
        <v>2.686990856</v>
      </c>
      <c r="AH23" s="201">
        <v>1.5702906999999999</v>
      </c>
      <c r="AI23" s="201">
        <v>8.7567506399999999</v>
      </c>
      <c r="AJ23" s="201">
        <v>0.64573415999999995</v>
      </c>
      <c r="AK23" s="201">
        <v>0.43903904989999998</v>
      </c>
      <c r="AL23" s="201">
        <v>0.24140589000000001</v>
      </c>
      <c r="AM23" s="201">
        <v>3095.78</v>
      </c>
      <c r="AN23" s="201">
        <v>1.30182811</v>
      </c>
      <c r="AO23" s="201">
        <v>44</v>
      </c>
      <c r="AP23" s="201">
        <v>249.2</v>
      </c>
      <c r="AQ23" s="201">
        <v>207.5</v>
      </c>
      <c r="AR23" s="201">
        <v>265</v>
      </c>
      <c r="AS23" s="201">
        <v>192.5</v>
      </c>
      <c r="AT23" s="201">
        <v>2809.3409999999999</v>
      </c>
      <c r="AU23" s="201">
        <v>5669.6589999999997</v>
      </c>
    </row>
    <row r="24" spans="1:47" s="7" customFormat="1">
      <c r="A24" s="288" t="s">
        <v>4</v>
      </c>
      <c r="B24" s="201">
        <v>57.5625</v>
      </c>
      <c r="C24" s="201">
        <v>57.756999999999998</v>
      </c>
      <c r="D24" s="201">
        <v>55.680500000000002</v>
      </c>
      <c r="E24" s="201">
        <v>59.25</v>
      </c>
      <c r="F24" s="201">
        <v>7.9725000000000001</v>
      </c>
      <c r="G24" s="201">
        <v>142.17497896166199</v>
      </c>
      <c r="H24" s="201">
        <v>1.815393</v>
      </c>
      <c r="I24" s="201">
        <v>2.6902977859999999</v>
      </c>
      <c r="J24" s="201">
        <v>1.7434134960000001</v>
      </c>
      <c r="K24" s="201">
        <v>763</v>
      </c>
      <c r="L24" s="201">
        <v>1050</v>
      </c>
      <c r="M24" s="201">
        <v>1016.33</v>
      </c>
      <c r="N24" s="201">
        <v>645.20000000000005</v>
      </c>
      <c r="O24" s="201">
        <v>676.75</v>
      </c>
      <c r="P24" s="201">
        <v>325</v>
      </c>
      <c r="Q24" s="201">
        <v>715.04</v>
      </c>
      <c r="R24" s="201">
        <v>283.45</v>
      </c>
      <c r="S24" s="201">
        <v>790.39</v>
      </c>
      <c r="T24" s="201">
        <v>709</v>
      </c>
      <c r="U24" s="201">
        <v>151.0319169</v>
      </c>
      <c r="V24" s="201">
        <v>177.3489032</v>
      </c>
      <c r="W24" s="201">
        <v>180.63994894000001</v>
      </c>
      <c r="X24" s="201">
        <v>315</v>
      </c>
      <c r="Y24" s="201">
        <v>291.75</v>
      </c>
      <c r="Z24" s="201">
        <v>257.5</v>
      </c>
      <c r="AA24" s="201">
        <v>303</v>
      </c>
      <c r="AB24" s="201">
        <v>176.461475175</v>
      </c>
      <c r="AC24" s="201">
        <v>199.982258668421</v>
      </c>
      <c r="AD24" s="201">
        <v>1.0688383249203399</v>
      </c>
      <c r="AE24" s="201">
        <v>0.65450843749999998</v>
      </c>
      <c r="AF24" s="201">
        <v>0.84181642324519501</v>
      </c>
      <c r="AG24" s="201">
        <v>2.7114621379999999</v>
      </c>
      <c r="AH24" s="201">
        <v>1.6264083</v>
      </c>
      <c r="AI24" s="201">
        <v>8.8184799999999992</v>
      </c>
      <c r="AJ24" s="201">
        <v>0.64952625600000002</v>
      </c>
      <c r="AK24" s="201">
        <v>0.456924899894737</v>
      </c>
      <c r="AL24" s="201">
        <v>0.233028334</v>
      </c>
      <c r="AM24" s="201">
        <v>3182.84</v>
      </c>
      <c r="AN24" s="201">
        <v>1.2753726700000001</v>
      </c>
      <c r="AO24" s="201">
        <v>44</v>
      </c>
      <c r="AP24" s="201">
        <v>317.625</v>
      </c>
      <c r="AQ24" s="201">
        <v>215</v>
      </c>
      <c r="AR24" s="201">
        <v>299.375</v>
      </c>
      <c r="AS24" s="201">
        <v>192.5</v>
      </c>
      <c r="AT24" s="201">
        <v>2832.2</v>
      </c>
      <c r="AU24" s="201">
        <v>5676.45</v>
      </c>
    </row>
    <row r="25" spans="1:47" s="7" customFormat="1">
      <c r="A25" s="288" t="s">
        <v>5</v>
      </c>
      <c r="B25" s="201">
        <v>60.599848484848501</v>
      </c>
      <c r="C25" s="201">
        <v>62.143636363636404</v>
      </c>
      <c r="D25" s="201">
        <v>59.054090909090903</v>
      </c>
      <c r="E25" s="201">
        <v>60.601818181818203</v>
      </c>
      <c r="F25" s="201">
        <v>7.1231818181818198</v>
      </c>
      <c r="G25" s="201">
        <v>130.93781192981399</v>
      </c>
      <c r="H25" s="201">
        <v>1.9239981818181799</v>
      </c>
      <c r="I25" s="201">
        <v>2.581169096</v>
      </c>
      <c r="J25" s="201">
        <v>1.6975574</v>
      </c>
      <c r="K25" s="201">
        <v>769</v>
      </c>
      <c r="L25" s="201">
        <v>1050</v>
      </c>
      <c r="M25" s="201">
        <v>1055.21</v>
      </c>
      <c r="N25" s="201">
        <v>660.93</v>
      </c>
      <c r="O25" s="201">
        <v>701.14</v>
      </c>
      <c r="P25" s="201">
        <v>322</v>
      </c>
      <c r="Q25" s="201">
        <v>719.03</v>
      </c>
      <c r="R25" s="201">
        <v>279.08999999999997</v>
      </c>
      <c r="S25" s="201">
        <v>771.51</v>
      </c>
      <c r="T25" s="201">
        <v>713</v>
      </c>
      <c r="U25" s="201">
        <v>157.0577883</v>
      </c>
      <c r="V25" s="201">
        <v>170.50674480000001</v>
      </c>
      <c r="W25" s="201">
        <v>169.96076966000001</v>
      </c>
      <c r="X25" s="201">
        <v>318.66666666666703</v>
      </c>
      <c r="Y25" s="201">
        <v>299.33333333333297</v>
      </c>
      <c r="Z25" s="201">
        <v>262.33333333333297</v>
      </c>
      <c r="AA25" s="201">
        <v>304.93</v>
      </c>
      <c r="AB25" s="201">
        <v>168.54321429000001</v>
      </c>
      <c r="AC25" s="201">
        <v>199.09820044285701</v>
      </c>
      <c r="AD25" s="201">
        <v>1.0551475380434401</v>
      </c>
      <c r="AE25" s="201">
        <v>0.64761887500000004</v>
      </c>
      <c r="AF25" s="201">
        <v>0.81134080289188404</v>
      </c>
      <c r="AG25" s="201">
        <v>2.6891954760000001</v>
      </c>
      <c r="AH25" s="201">
        <v>1.68356654230769</v>
      </c>
      <c r="AI25" s="201">
        <v>9.0257142800000008</v>
      </c>
      <c r="AJ25" s="201">
        <v>0.65785578545454604</v>
      </c>
      <c r="AK25" s="201">
        <v>0.45916222000000001</v>
      </c>
      <c r="AL25" s="201">
        <v>0.230162328</v>
      </c>
      <c r="AM25" s="201">
        <v>3298.14</v>
      </c>
      <c r="AN25" s="201">
        <v>1.28749808</v>
      </c>
      <c r="AO25" s="201">
        <v>44</v>
      </c>
      <c r="AP25" s="201">
        <v>387</v>
      </c>
      <c r="AQ25" s="201">
        <v>254.5</v>
      </c>
      <c r="AR25" s="201">
        <v>318.125</v>
      </c>
      <c r="AS25" s="201">
        <v>192.5</v>
      </c>
      <c r="AT25" s="201">
        <v>2761.7269999999999</v>
      </c>
      <c r="AU25" s="201">
        <v>6452.4769999999999</v>
      </c>
    </row>
    <row r="26" spans="1:47" s="7" customFormat="1">
      <c r="A26" s="288" t="s">
        <v>6</v>
      </c>
      <c r="B26" s="201">
        <v>65.057640350877193</v>
      </c>
      <c r="C26" s="201">
        <v>67.398421052631605</v>
      </c>
      <c r="D26" s="201">
        <v>63.838000000000001</v>
      </c>
      <c r="E26" s="201">
        <v>63.936500000000002</v>
      </c>
      <c r="F26" s="201">
        <v>7.5873809523809497</v>
      </c>
      <c r="G26" s="201">
        <v>134.97160900674399</v>
      </c>
      <c r="H26" s="201">
        <v>1.9779780952381001</v>
      </c>
      <c r="I26" s="201">
        <v>2.52649452</v>
      </c>
      <c r="J26" s="201">
        <v>1.7544365959999999</v>
      </c>
      <c r="K26" s="201">
        <v>827.5</v>
      </c>
      <c r="L26" s="201">
        <v>1050</v>
      </c>
      <c r="M26" s="201">
        <v>1078.17</v>
      </c>
      <c r="N26" s="201">
        <v>743.45</v>
      </c>
      <c r="O26" s="201">
        <v>797.26</v>
      </c>
      <c r="P26" s="201">
        <v>319.75</v>
      </c>
      <c r="Q26" s="201">
        <v>753.7</v>
      </c>
      <c r="R26" s="201">
        <v>264.76</v>
      </c>
      <c r="S26" s="201">
        <v>808.43</v>
      </c>
      <c r="T26" s="201">
        <v>755</v>
      </c>
      <c r="U26" s="201">
        <v>157.1170037</v>
      </c>
      <c r="V26" s="201">
        <v>152.74784</v>
      </c>
      <c r="W26" s="201">
        <v>149.5173284</v>
      </c>
      <c r="X26" s="201">
        <v>316.5</v>
      </c>
      <c r="Y26" s="201">
        <v>296</v>
      </c>
      <c r="Z26" s="201">
        <v>258.5</v>
      </c>
      <c r="AA26" s="201">
        <v>302.25</v>
      </c>
      <c r="AB26" s="201">
        <v>175.2673059</v>
      </c>
      <c r="AC26" s="201">
        <v>198.30779161020001</v>
      </c>
      <c r="AD26" s="201">
        <v>1.1198561698484299</v>
      </c>
      <c r="AE26" s="201">
        <v>0.64761887500000004</v>
      </c>
      <c r="AF26" s="201">
        <v>0.85583967140924</v>
      </c>
      <c r="AG26" s="201">
        <v>2.6942661019999998</v>
      </c>
      <c r="AH26" s="201">
        <v>1.7217234269230799</v>
      </c>
      <c r="AI26" s="201">
        <v>9.4247505</v>
      </c>
      <c r="AJ26" s="201">
        <v>0.67148272421052602</v>
      </c>
      <c r="AK26" s="201">
        <v>0.46089785719999998</v>
      </c>
      <c r="AL26" s="201">
        <v>0.214289064</v>
      </c>
      <c r="AM26" s="201">
        <v>3361.26</v>
      </c>
      <c r="AN26" s="201">
        <v>1.2599403300000001</v>
      </c>
      <c r="AO26" s="201">
        <v>44</v>
      </c>
      <c r="AP26" s="201">
        <v>404.6</v>
      </c>
      <c r="AQ26" s="201">
        <v>300</v>
      </c>
      <c r="AR26" s="201">
        <v>291</v>
      </c>
      <c r="AS26" s="201">
        <v>192.5</v>
      </c>
      <c r="AT26" s="201">
        <v>2814.7890000000002</v>
      </c>
      <c r="AU26" s="201">
        <v>7766.4740000000002</v>
      </c>
    </row>
    <row r="27" spans="1:47" s="7" customFormat="1">
      <c r="A27" s="288" t="s">
        <v>7</v>
      </c>
      <c r="B27" s="201">
        <v>65.157259552042206</v>
      </c>
      <c r="C27" s="201">
        <v>67.476086956521698</v>
      </c>
      <c r="D27" s="201">
        <v>64.544782608695698</v>
      </c>
      <c r="E27" s="201">
        <v>63.4509090909091</v>
      </c>
      <c r="F27" s="201">
        <v>7.6134782608695701</v>
      </c>
      <c r="G27" s="201">
        <v>135.28151314111</v>
      </c>
      <c r="H27" s="201">
        <v>2.0038630434782601</v>
      </c>
      <c r="I27" s="201">
        <v>2.496511688</v>
      </c>
      <c r="J27" s="201">
        <v>1.849896642</v>
      </c>
      <c r="K27" s="201">
        <v>894</v>
      </c>
      <c r="L27" s="201">
        <v>1080.5633802816899</v>
      </c>
      <c r="M27" s="201">
        <v>1169.4100000000001</v>
      </c>
      <c r="N27" s="201">
        <v>816.09</v>
      </c>
      <c r="O27" s="201">
        <v>866.85</v>
      </c>
      <c r="P27" s="201">
        <v>334</v>
      </c>
      <c r="Q27" s="201">
        <v>788.7</v>
      </c>
      <c r="R27" s="201">
        <v>268.26</v>
      </c>
      <c r="S27" s="201">
        <v>844.71</v>
      </c>
      <c r="T27" s="201">
        <v>831</v>
      </c>
      <c r="U27" s="201">
        <v>161.68943419999999</v>
      </c>
      <c r="V27" s="201">
        <v>160.22775999999999</v>
      </c>
      <c r="W27" s="201">
        <v>150.00895865999999</v>
      </c>
      <c r="X27" s="201">
        <v>317.60000000000002</v>
      </c>
      <c r="Y27" s="201">
        <v>295.8</v>
      </c>
      <c r="Z27" s="201">
        <v>255.4</v>
      </c>
      <c r="AA27" s="201">
        <v>300.35500000000002</v>
      </c>
      <c r="AB27" s="201">
        <v>180.7788564</v>
      </c>
      <c r="AC27" s="201">
        <v>195.72128219999999</v>
      </c>
      <c r="AD27" s="201">
        <v>1.0375697650923099</v>
      </c>
      <c r="AE27" s="201">
        <v>0.68895625000000005</v>
      </c>
      <c r="AF27" s="201">
        <v>0.88683983232824704</v>
      </c>
      <c r="AG27" s="201">
        <v>2.699336728</v>
      </c>
      <c r="AH27" s="201">
        <v>1.7530587085</v>
      </c>
      <c r="AI27" s="201">
        <v>9.6782818000000006</v>
      </c>
      <c r="AJ27" s="201">
        <v>0.67124228727272695</v>
      </c>
      <c r="AK27" s="201">
        <v>0.46321070399999997</v>
      </c>
      <c r="AL27" s="201">
        <v>0.20789566600000001</v>
      </c>
      <c r="AM27" s="201">
        <v>3397.24</v>
      </c>
      <c r="AN27" s="201">
        <v>1.22466641</v>
      </c>
      <c r="AO27" s="201">
        <v>44</v>
      </c>
      <c r="AP27" s="201">
        <v>392</v>
      </c>
      <c r="AQ27" s="201">
        <v>338.125</v>
      </c>
      <c r="AR27" s="201">
        <v>293.125</v>
      </c>
      <c r="AS27" s="201">
        <v>192.5</v>
      </c>
      <c r="AT27" s="201">
        <v>2792.75</v>
      </c>
      <c r="AU27" s="201">
        <v>7681.42</v>
      </c>
    </row>
    <row r="28" spans="1:47" s="7" customFormat="1">
      <c r="A28" s="288" t="s">
        <v>8</v>
      </c>
      <c r="B28" s="201">
        <v>68.188095238095201</v>
      </c>
      <c r="C28" s="201">
        <v>71.316190476190499</v>
      </c>
      <c r="D28" s="201">
        <v>65.756190476190497</v>
      </c>
      <c r="E28" s="201">
        <v>67.491904761904806</v>
      </c>
      <c r="F28" s="201">
        <v>7.3041428571428604</v>
      </c>
      <c r="G28" s="201">
        <v>131.68831222938701</v>
      </c>
      <c r="H28" s="201">
        <v>2.01698333333333</v>
      </c>
      <c r="I28" s="201">
        <v>2.6307730459999998</v>
      </c>
      <c r="J28" s="201">
        <v>2.0432418160000001</v>
      </c>
      <c r="K28" s="201">
        <v>979</v>
      </c>
      <c r="L28" s="201">
        <v>1107.1830985915501</v>
      </c>
      <c r="M28" s="201">
        <v>1268.18</v>
      </c>
      <c r="N28" s="201">
        <v>833.19</v>
      </c>
      <c r="O28" s="201">
        <v>968.33</v>
      </c>
      <c r="P28" s="201">
        <v>361</v>
      </c>
      <c r="Q28" s="201">
        <v>835.55</v>
      </c>
      <c r="R28" s="201">
        <v>278.14</v>
      </c>
      <c r="S28" s="201">
        <v>867.68</v>
      </c>
      <c r="T28" s="201">
        <v>916</v>
      </c>
      <c r="U28" s="201">
        <v>184.44876289999999</v>
      </c>
      <c r="V28" s="201">
        <v>165.24717999999999</v>
      </c>
      <c r="W28" s="201">
        <v>154.78637019999999</v>
      </c>
      <c r="X28" s="201">
        <v>323.25</v>
      </c>
      <c r="Y28" s="201">
        <v>300.5</v>
      </c>
      <c r="Z28" s="201">
        <v>257</v>
      </c>
      <c r="AA28" s="201">
        <v>302.48599999999999</v>
      </c>
      <c r="AB28" s="201">
        <v>205.02967860000001</v>
      </c>
      <c r="AC28" s="201">
        <v>223.03918018749999</v>
      </c>
      <c r="AD28" s="201">
        <v>0.97681993893229202</v>
      </c>
      <c r="AE28" s="201">
        <v>0.77852056250000001</v>
      </c>
      <c r="AF28" s="201">
        <v>0.93534291431630501</v>
      </c>
      <c r="AG28" s="201">
        <v>2.6790542240000002</v>
      </c>
      <c r="AH28" s="201">
        <v>1.78023065</v>
      </c>
      <c r="AI28" s="201">
        <v>9.9340177199999999</v>
      </c>
      <c r="AJ28" s="201">
        <v>0.66663462857142897</v>
      </c>
      <c r="AK28" s="201">
        <v>0.47010896952380898</v>
      </c>
      <c r="AL28" s="201">
        <v>0.204809198</v>
      </c>
      <c r="AM28" s="201">
        <v>3409.32</v>
      </c>
      <c r="AN28" s="201">
        <v>1.33599972</v>
      </c>
      <c r="AO28" s="201">
        <v>44</v>
      </c>
      <c r="AP28" s="201">
        <v>387.875</v>
      </c>
      <c r="AQ28" s="201">
        <v>355</v>
      </c>
      <c r="AR28" s="201">
        <v>291.875</v>
      </c>
      <c r="AS28" s="201">
        <v>192.5</v>
      </c>
      <c r="AT28" s="201">
        <v>2676.93</v>
      </c>
      <c r="AU28" s="201">
        <v>7474.38</v>
      </c>
    </row>
    <row r="29" spans="1:47" s="7" customFormat="1">
      <c r="A29" s="288" t="s">
        <v>9</v>
      </c>
      <c r="B29" s="201">
        <v>73.601695526695494</v>
      </c>
      <c r="C29" s="201">
        <v>77.204090909090894</v>
      </c>
      <c r="D29" s="201">
        <v>69.459090909090904</v>
      </c>
      <c r="E29" s="201">
        <v>74.141904761904797</v>
      </c>
      <c r="F29" s="201">
        <v>6.2209090909090898</v>
      </c>
      <c r="G29" s="201">
        <v>119.111221940658</v>
      </c>
      <c r="H29" s="201">
        <v>2.15846772727273</v>
      </c>
      <c r="I29" s="201">
        <v>2.5932945059999999</v>
      </c>
      <c r="J29" s="201">
        <v>2.0394939619999999</v>
      </c>
      <c r="K29" s="201">
        <v>929</v>
      </c>
      <c r="L29" s="201">
        <v>1186.0563380281701</v>
      </c>
      <c r="M29" s="201">
        <v>1404.95</v>
      </c>
      <c r="N29" s="201">
        <v>854.52</v>
      </c>
      <c r="O29" s="201">
        <v>919.55</v>
      </c>
      <c r="P29" s="201">
        <v>375.5</v>
      </c>
      <c r="Q29" s="201">
        <v>887.12</v>
      </c>
      <c r="R29" s="201">
        <v>301.41000000000003</v>
      </c>
      <c r="S29" s="201">
        <v>925.81</v>
      </c>
      <c r="T29" s="201">
        <v>999</v>
      </c>
      <c r="U29" s="201">
        <v>177.9077053</v>
      </c>
      <c r="V29" s="201">
        <v>146.84263999999999</v>
      </c>
      <c r="W29" s="201">
        <v>138.47218219999999</v>
      </c>
      <c r="X29" s="201">
        <v>328.8</v>
      </c>
      <c r="Y29" s="201">
        <v>306.8</v>
      </c>
      <c r="Z29" s="201">
        <v>260.39999999999998</v>
      </c>
      <c r="AA29" s="201">
        <v>302.71249999999998</v>
      </c>
      <c r="AB29" s="201">
        <v>225.60613380000001</v>
      </c>
      <c r="AC29" s="201">
        <v>238.40670983625</v>
      </c>
      <c r="AD29" s="201">
        <v>0.954369861927156</v>
      </c>
      <c r="AE29" s="201">
        <v>0.73373840624999997</v>
      </c>
      <c r="AF29" s="201">
        <v>1.1424840065773301</v>
      </c>
      <c r="AG29" s="201">
        <v>2.673322212</v>
      </c>
      <c r="AH29" s="201">
        <v>1.7894165666666699</v>
      </c>
      <c r="AI29" s="201">
        <v>10.189753639999999</v>
      </c>
      <c r="AJ29" s="201">
        <v>0.68139055636363599</v>
      </c>
      <c r="AK29" s="201">
        <v>0.46557375123809502</v>
      </c>
      <c r="AL29" s="201">
        <v>0.22443031599999999</v>
      </c>
      <c r="AM29" s="201">
        <v>3364.03</v>
      </c>
      <c r="AN29" s="201">
        <v>1.49583467</v>
      </c>
      <c r="AO29" s="201">
        <v>44</v>
      </c>
      <c r="AP29" s="201">
        <v>398.5</v>
      </c>
      <c r="AQ29" s="201">
        <v>355</v>
      </c>
      <c r="AR29" s="201">
        <v>269.5</v>
      </c>
      <c r="AS29" s="201">
        <v>192.5</v>
      </c>
      <c r="AT29" s="201">
        <v>2732.44</v>
      </c>
      <c r="AU29" s="201">
        <v>7972.57</v>
      </c>
    </row>
    <row r="30" spans="1:47" s="7" customFormat="1">
      <c r="A30" s="288" t="s">
        <v>10</v>
      </c>
      <c r="B30" s="201">
        <v>70.126811594202906</v>
      </c>
      <c r="C30" s="201">
        <v>70.796521739130398</v>
      </c>
      <c r="D30" s="201">
        <v>67.205652173912995</v>
      </c>
      <c r="E30" s="201">
        <v>72.378260869565196</v>
      </c>
      <c r="F30" s="201">
        <v>6.1954347826087002</v>
      </c>
      <c r="G30" s="201">
        <v>120.098309514726</v>
      </c>
      <c r="H30" s="201">
        <v>1.90522739130435</v>
      </c>
      <c r="I30" s="201">
        <v>2.7158713780000001</v>
      </c>
      <c r="J30" s="201">
        <v>1.927719728</v>
      </c>
      <c r="K30" s="201">
        <v>910</v>
      </c>
      <c r="L30" s="201">
        <v>1303.38028169014</v>
      </c>
      <c r="M30" s="201">
        <v>1472.3</v>
      </c>
      <c r="N30" s="201">
        <v>830.65</v>
      </c>
      <c r="O30" s="201">
        <v>904.02</v>
      </c>
      <c r="P30" s="201">
        <v>385</v>
      </c>
      <c r="Q30" s="201">
        <v>921.79</v>
      </c>
      <c r="R30" s="201">
        <v>316.74</v>
      </c>
      <c r="S30" s="201">
        <v>958.29</v>
      </c>
      <c r="T30" s="201">
        <v>1114</v>
      </c>
      <c r="U30" s="201">
        <v>158.88335710000001</v>
      </c>
      <c r="V30" s="201">
        <v>151.17312000000001</v>
      </c>
      <c r="W30" s="201">
        <v>150.28453615999999</v>
      </c>
      <c r="X30" s="201">
        <v>327.5</v>
      </c>
      <c r="Y30" s="201">
        <v>306.5</v>
      </c>
      <c r="Z30" s="201">
        <v>264.5</v>
      </c>
      <c r="AA30" s="201">
        <v>310</v>
      </c>
      <c r="AB30" s="201">
        <v>253.8987597</v>
      </c>
      <c r="AC30" s="201">
        <v>259.72730786209098</v>
      </c>
      <c r="AD30" s="201">
        <v>0.93596854456307699</v>
      </c>
      <c r="AE30" s="201">
        <v>0.69722372499999996</v>
      </c>
      <c r="AF30" s="201">
        <v>1.2311262792194699</v>
      </c>
      <c r="AG30" s="201">
        <v>2.692502406</v>
      </c>
      <c r="AH30" s="201">
        <v>1.79082978461538</v>
      </c>
      <c r="AI30" s="201">
        <v>10.068499539999999</v>
      </c>
      <c r="AJ30" s="201">
        <v>0.67667321454545504</v>
      </c>
      <c r="AK30" s="201">
        <v>0.48060715999999998</v>
      </c>
      <c r="AL30" s="201">
        <v>0.21627322199999999</v>
      </c>
      <c r="AM30" s="201">
        <v>3307.6</v>
      </c>
      <c r="AN30" s="201">
        <v>1.4682769200000001</v>
      </c>
      <c r="AO30" s="201">
        <v>44</v>
      </c>
      <c r="AP30" s="201">
        <v>401.625</v>
      </c>
      <c r="AQ30" s="201">
        <v>377.5</v>
      </c>
      <c r="AR30" s="201">
        <v>260.625</v>
      </c>
      <c r="AS30" s="201">
        <v>192.5</v>
      </c>
      <c r="AT30" s="201">
        <v>2515.7730000000001</v>
      </c>
      <c r="AU30" s="201">
        <v>7513.5</v>
      </c>
    </row>
    <row r="31" spans="1:47" s="7" customFormat="1">
      <c r="A31" s="288" t="s">
        <v>11</v>
      </c>
      <c r="B31" s="201">
        <v>76.762438596491194</v>
      </c>
      <c r="C31" s="201">
        <v>77.126999999999995</v>
      </c>
      <c r="D31" s="201">
        <v>73.254000000000005</v>
      </c>
      <c r="E31" s="201">
        <v>79.906315789473695</v>
      </c>
      <c r="F31" s="201">
        <v>6.0964999999999998</v>
      </c>
      <c r="G31" s="201">
        <v>120.11192472209601</v>
      </c>
      <c r="H31" s="201">
        <v>1.93431</v>
      </c>
      <c r="I31" s="201">
        <v>2.8227954479999999</v>
      </c>
      <c r="J31" s="201">
        <v>2.0454464360000002</v>
      </c>
      <c r="K31" s="201">
        <v>930</v>
      </c>
      <c r="L31" s="201">
        <v>1417.25352112676</v>
      </c>
      <c r="M31" s="201">
        <v>1523.39</v>
      </c>
      <c r="N31" s="201">
        <v>851.63</v>
      </c>
      <c r="O31" s="201">
        <v>926.63</v>
      </c>
      <c r="P31" s="201">
        <v>426</v>
      </c>
      <c r="Q31" s="201">
        <v>977.48</v>
      </c>
      <c r="R31" s="201">
        <v>363.75</v>
      </c>
      <c r="S31" s="201">
        <v>1044.75</v>
      </c>
      <c r="T31" s="201">
        <v>1279</v>
      </c>
      <c r="U31" s="201">
        <v>184.65565799999999</v>
      </c>
      <c r="V31" s="201">
        <v>159.44040000000001</v>
      </c>
      <c r="W31" s="201">
        <v>163.30502188</v>
      </c>
      <c r="X31" s="201">
        <v>325</v>
      </c>
      <c r="Y31" s="201">
        <v>306.25</v>
      </c>
      <c r="Z31" s="201">
        <v>272.25</v>
      </c>
      <c r="AA31" s="201">
        <v>315.25</v>
      </c>
      <c r="AB31" s="201">
        <v>322.9768593</v>
      </c>
      <c r="AC31" s="201">
        <v>326.54486304473699</v>
      </c>
      <c r="AD31" s="201">
        <v>1.10716660399514</v>
      </c>
      <c r="AE31" s="201">
        <v>0.66485182812499999</v>
      </c>
      <c r="AF31" s="201">
        <v>1.0322203731661499</v>
      </c>
      <c r="AG31" s="201">
        <v>2.6920614820000002</v>
      </c>
      <c r="AH31" s="201">
        <v>1.7981431875</v>
      </c>
      <c r="AI31" s="201">
        <v>9.9207900000000002</v>
      </c>
      <c r="AJ31" s="201">
        <v>0.69037563599999996</v>
      </c>
      <c r="AK31" s="201">
        <v>0.46307462936842098</v>
      </c>
      <c r="AL31" s="201">
        <v>0.21517091199999999</v>
      </c>
      <c r="AM31" s="201">
        <v>3302.92</v>
      </c>
      <c r="AN31" s="201">
        <v>1.5024485299999999</v>
      </c>
      <c r="AO31" s="201">
        <v>57.75</v>
      </c>
      <c r="AP31" s="201">
        <v>399.625</v>
      </c>
      <c r="AQ31" s="201">
        <v>392.5</v>
      </c>
      <c r="AR31" s="201">
        <v>305</v>
      </c>
      <c r="AS31" s="201">
        <v>197.5</v>
      </c>
      <c r="AT31" s="201">
        <v>2391.25</v>
      </c>
      <c r="AU31" s="201">
        <v>7648.9750000000004</v>
      </c>
    </row>
    <row r="32" spans="1:47" s="7" customFormat="1">
      <c r="A32" s="288" t="s">
        <v>12</v>
      </c>
      <c r="B32" s="201">
        <v>81.967246376811602</v>
      </c>
      <c r="C32" s="201">
        <v>82.857826086956507</v>
      </c>
      <c r="D32" s="201">
        <v>77.14</v>
      </c>
      <c r="E32" s="201">
        <v>85.903913043478298</v>
      </c>
      <c r="F32" s="201">
        <v>6.7980434782608699</v>
      </c>
      <c r="G32" s="201">
        <v>131.89013899842001</v>
      </c>
      <c r="H32" s="201">
        <v>1.91149782608696</v>
      </c>
      <c r="I32" s="201">
        <v>2.9605841979999998</v>
      </c>
      <c r="J32" s="201">
        <v>2.0084088200000001</v>
      </c>
      <c r="K32" s="201">
        <v>1010</v>
      </c>
      <c r="L32" s="201">
        <v>1395.0704225352099</v>
      </c>
      <c r="M32" s="201">
        <v>1633.34</v>
      </c>
      <c r="N32" s="201">
        <v>926.2</v>
      </c>
      <c r="O32" s="201">
        <v>999.67</v>
      </c>
      <c r="P32" s="201">
        <v>450</v>
      </c>
      <c r="Q32" s="201">
        <v>1007.69</v>
      </c>
      <c r="R32" s="201">
        <v>401.91</v>
      </c>
      <c r="S32" s="201">
        <v>1146.97</v>
      </c>
      <c r="T32" s="201">
        <v>1358</v>
      </c>
      <c r="U32" s="201">
        <v>197.10726639999999</v>
      </c>
      <c r="V32" s="201">
        <v>164.16455999999999</v>
      </c>
      <c r="W32" s="201">
        <v>163.19038164</v>
      </c>
      <c r="X32" s="201">
        <v>329.2</v>
      </c>
      <c r="Y32" s="201">
        <v>313.39999999999998</v>
      </c>
      <c r="Z32" s="201">
        <v>293.2</v>
      </c>
      <c r="AA32" s="201">
        <v>323</v>
      </c>
      <c r="AB32" s="201">
        <v>325.54891620000001</v>
      </c>
      <c r="AC32" s="201">
        <v>335.14620304891298</v>
      </c>
      <c r="AD32" s="201">
        <v>1.1042907291505999</v>
      </c>
      <c r="AE32" s="201">
        <v>0.65865113750000004</v>
      </c>
      <c r="AF32" s="201">
        <v>0.97450733664883404</v>
      </c>
      <c r="AG32" s="201">
        <v>2.6702357440000002</v>
      </c>
      <c r="AH32" s="201">
        <v>1.7603042769230799</v>
      </c>
      <c r="AI32" s="201">
        <v>9.9207900000000002</v>
      </c>
      <c r="AJ32" s="201">
        <v>0.70682111999999997</v>
      </c>
      <c r="AK32" s="201">
        <v>0.44707776539130401</v>
      </c>
      <c r="AL32" s="201">
        <v>0.22046199999999999</v>
      </c>
      <c r="AM32" s="201">
        <v>3280.16</v>
      </c>
      <c r="AN32" s="201">
        <v>1.52008549</v>
      </c>
      <c r="AO32" s="201">
        <v>71.5</v>
      </c>
      <c r="AP32" s="201">
        <v>406</v>
      </c>
      <c r="AQ32" s="201">
        <v>402.9</v>
      </c>
      <c r="AR32" s="201">
        <v>323.75</v>
      </c>
      <c r="AS32" s="201">
        <v>202.5</v>
      </c>
      <c r="AT32" s="201">
        <v>2442.37</v>
      </c>
      <c r="AU32" s="201">
        <v>8008.4350000000004</v>
      </c>
    </row>
    <row r="33" spans="1:47" s="7" customFormat="1">
      <c r="A33" s="288" t="s">
        <v>13</v>
      </c>
      <c r="B33" s="201">
        <v>91.338261183261196</v>
      </c>
      <c r="C33" s="201">
        <v>92.528181818181807</v>
      </c>
      <c r="D33" s="201">
        <v>86.731363636363596</v>
      </c>
      <c r="E33" s="201">
        <v>94.755238095238099</v>
      </c>
      <c r="F33" s="201">
        <v>7.13772727272727</v>
      </c>
      <c r="G33" s="201">
        <v>137.88849896106501</v>
      </c>
      <c r="H33" s="201">
        <v>1.9683390909090901</v>
      </c>
      <c r="I33" s="201">
        <v>2.8880522000000002</v>
      </c>
      <c r="J33" s="201">
        <v>2.0412576580000001</v>
      </c>
      <c r="K33" s="201">
        <v>1131</v>
      </c>
      <c r="L33" s="201">
        <v>1605.0704225352099</v>
      </c>
      <c r="M33" s="201">
        <v>1829.84</v>
      </c>
      <c r="N33" s="201">
        <v>998.57</v>
      </c>
      <c r="O33" s="201">
        <v>1115</v>
      </c>
      <c r="P33" s="201">
        <v>489</v>
      </c>
      <c r="Q33" s="201">
        <v>1141.52</v>
      </c>
      <c r="R33" s="201">
        <v>408.59</v>
      </c>
      <c r="S33" s="201">
        <v>1252.43</v>
      </c>
      <c r="T33" s="201">
        <v>1401</v>
      </c>
      <c r="U33" s="201">
        <v>187.60857279999999</v>
      </c>
      <c r="V33" s="201">
        <v>171.2508</v>
      </c>
      <c r="W33" s="201">
        <v>170.09745609999999</v>
      </c>
      <c r="X33" s="201">
        <v>342</v>
      </c>
      <c r="Y33" s="201">
        <v>327.75</v>
      </c>
      <c r="Z33" s="201">
        <v>311.25</v>
      </c>
      <c r="AA33" s="201">
        <v>320</v>
      </c>
      <c r="AB33" s="201">
        <v>307.65107454299999</v>
      </c>
      <c r="AC33" s="201">
        <v>321.81330974999997</v>
      </c>
      <c r="AD33" s="201">
        <v>1.0450027266741599</v>
      </c>
      <c r="AE33" s="201">
        <v>0.65107251562500001</v>
      </c>
      <c r="AF33" s="201">
        <v>1.0456995320071001</v>
      </c>
      <c r="AG33" s="201">
        <v>2.7213829280000001</v>
      </c>
      <c r="AH33" s="201">
        <v>1.7145513458333299</v>
      </c>
      <c r="AI33" s="201">
        <v>10.117001180000001</v>
      </c>
      <c r="AJ33" s="201">
        <v>0.72930003428571399</v>
      </c>
      <c r="AK33" s="201">
        <v>0.44175073250000002</v>
      </c>
      <c r="AL33" s="201">
        <v>0.22266662000000001</v>
      </c>
      <c r="AM33" s="201">
        <v>3348.08</v>
      </c>
      <c r="AN33" s="201">
        <v>1.5366201399999999</v>
      </c>
      <c r="AO33" s="201">
        <v>71.5</v>
      </c>
      <c r="AP33" s="201">
        <v>447</v>
      </c>
      <c r="AQ33" s="201">
        <v>423.75</v>
      </c>
      <c r="AR33" s="201">
        <v>366.25</v>
      </c>
      <c r="AS33" s="201">
        <v>202.5</v>
      </c>
      <c r="AT33" s="201">
        <v>2506.886</v>
      </c>
      <c r="AU33" s="201">
        <v>6966.7049999999999</v>
      </c>
    </row>
    <row r="34" spans="1:47" s="7" customFormat="1">
      <c r="A34" s="288" t="s">
        <v>14</v>
      </c>
      <c r="B34" s="201">
        <v>89.519941520467796</v>
      </c>
      <c r="C34" s="201">
        <v>91.45</v>
      </c>
      <c r="D34" s="201">
        <v>85.753157894736802</v>
      </c>
      <c r="E34" s="201">
        <v>91.356666666666698</v>
      </c>
      <c r="F34" s="201">
        <v>7.1497619047618999</v>
      </c>
      <c r="G34" s="201">
        <v>138.15681919781699</v>
      </c>
      <c r="H34" s="201">
        <v>2.1126499999999999</v>
      </c>
      <c r="I34" s="201">
        <v>3.0331161959999999</v>
      </c>
      <c r="J34" s="201">
        <v>2.0148022179999998</v>
      </c>
      <c r="K34" s="201">
        <v>1153</v>
      </c>
      <c r="L34" s="201">
        <v>1676.0563380281701</v>
      </c>
      <c r="M34" s="201">
        <v>1978.91</v>
      </c>
      <c r="N34" s="201">
        <v>1002.22</v>
      </c>
      <c r="O34" s="201">
        <v>1136.53</v>
      </c>
      <c r="P34" s="201">
        <v>503.99</v>
      </c>
      <c r="Q34" s="201">
        <v>1187.73</v>
      </c>
      <c r="R34" s="201">
        <v>433.28</v>
      </c>
      <c r="S34" s="201">
        <v>1336.75</v>
      </c>
      <c r="T34" s="201">
        <v>1469</v>
      </c>
      <c r="U34" s="201">
        <v>198.9344557</v>
      </c>
      <c r="V34" s="201">
        <v>180.25426160000001</v>
      </c>
      <c r="W34" s="201">
        <v>187.00909612000001</v>
      </c>
      <c r="X34" s="201">
        <v>360.66666666666703</v>
      </c>
      <c r="Y34" s="201">
        <v>347.33333333333297</v>
      </c>
      <c r="Z34" s="201">
        <v>331.66666666666703</v>
      </c>
      <c r="AA34" s="201" t="s">
        <v>267</v>
      </c>
      <c r="AB34" s="201">
        <v>345.30966192599999</v>
      </c>
      <c r="AC34" s="201">
        <v>368.620062313235</v>
      </c>
      <c r="AD34" s="201">
        <v>1.0540338950239301</v>
      </c>
      <c r="AE34" s="201">
        <v>0.64762768749999999</v>
      </c>
      <c r="AF34" s="201">
        <v>0.92586666736172896</v>
      </c>
      <c r="AG34" s="201">
        <v>2.7346106479999999</v>
      </c>
      <c r="AH34" s="201">
        <v>1.6945511</v>
      </c>
      <c r="AI34" s="201">
        <v>10.29998464</v>
      </c>
      <c r="AJ34" s="201">
        <v>0.72391942588235303</v>
      </c>
      <c r="AK34" s="201">
        <v>0.44551889221052599</v>
      </c>
      <c r="AL34" s="201">
        <v>0.23523295399999999</v>
      </c>
      <c r="AM34" s="201">
        <v>3433.31</v>
      </c>
      <c r="AN34" s="201">
        <v>1.53331321</v>
      </c>
      <c r="AO34" s="201">
        <v>71.5</v>
      </c>
      <c r="AP34" s="201">
        <v>512.5</v>
      </c>
      <c r="AQ34" s="201">
        <v>446.875</v>
      </c>
      <c r="AR34" s="201">
        <v>401.66666666666703</v>
      </c>
      <c r="AS34" s="201">
        <v>202.5</v>
      </c>
      <c r="AT34" s="201">
        <v>2381.694</v>
      </c>
      <c r="AU34" s="201">
        <v>6587.6670000000004</v>
      </c>
    </row>
    <row r="35" spans="1:47" s="242" customFormat="1" ht="15">
      <c r="A35" s="198" t="s">
        <v>1</v>
      </c>
      <c r="B35" s="241">
        <v>71.116559010063582</v>
      </c>
      <c r="C35" s="241">
        <v>72.696170525952553</v>
      </c>
      <c r="D35" s="241">
        <v>68.369053899158288</v>
      </c>
      <c r="E35" s="241">
        <v>72.284452605079906</v>
      </c>
      <c r="F35" s="241">
        <v>6.9819506869941668</v>
      </c>
      <c r="G35" s="241">
        <v>130.66007798703336</v>
      </c>
      <c r="H35" s="241">
        <v>1.9522691552795035</v>
      </c>
      <c r="I35" s="241">
        <v>2.7236977790000001</v>
      </c>
      <c r="J35" s="241">
        <v>1.9091825481666664</v>
      </c>
      <c r="K35" s="241">
        <v>918.875</v>
      </c>
      <c r="L35" s="241">
        <v>1247.5528169014085</v>
      </c>
      <c r="M35" s="241">
        <v>1375.1391666666668</v>
      </c>
      <c r="N35" s="241">
        <v>816.68666666666661</v>
      </c>
      <c r="O35" s="241">
        <v>888.40500000000009</v>
      </c>
      <c r="P35" s="241">
        <v>383.1033333333333</v>
      </c>
      <c r="Q35" s="241">
        <v>886.05666666666673</v>
      </c>
      <c r="R35" s="241">
        <v>321.9375</v>
      </c>
      <c r="S35" s="241">
        <v>964.22833333333335</v>
      </c>
      <c r="T35" s="241">
        <v>1021.9166666666666</v>
      </c>
      <c r="U35" s="241">
        <v>172.38121729166667</v>
      </c>
      <c r="V35" s="241">
        <v>163.66491446666666</v>
      </c>
      <c r="W35" s="241">
        <v>162.69360726666665</v>
      </c>
      <c r="X35" s="241">
        <v>326.43194444444447</v>
      </c>
      <c r="Y35" s="241">
        <v>306.50138888888881</v>
      </c>
      <c r="Z35" s="241">
        <v>272.31666666666666</v>
      </c>
      <c r="AA35" s="241">
        <v>308.39835000000005</v>
      </c>
      <c r="AB35" s="241">
        <v>238.587672411</v>
      </c>
      <c r="AC35" s="241">
        <v>255.20611049679766</v>
      </c>
      <c r="AD35" s="241">
        <v>1.0370082955532383</v>
      </c>
      <c r="AE35" s="241">
        <v>0.67581164166666652</v>
      </c>
      <c r="AF35" s="241">
        <v>0.95668084659972719</v>
      </c>
      <c r="AG35" s="241">
        <v>2.6953684120000001</v>
      </c>
      <c r="AH35" s="241">
        <v>1.7235895491057687</v>
      </c>
      <c r="AI35" s="241">
        <v>9.6795678283333348</v>
      </c>
      <c r="AJ35" s="241">
        <v>0.68091298571553216</v>
      </c>
      <c r="AK35" s="241">
        <v>0.45774555260224098</v>
      </c>
      <c r="AL35" s="241">
        <v>0.22215220866666666</v>
      </c>
      <c r="AM35" s="241">
        <v>3315.0566666666659</v>
      </c>
      <c r="AN35" s="241">
        <v>1.3951570233333335</v>
      </c>
      <c r="AO35" s="241">
        <v>52.020833333333336</v>
      </c>
      <c r="AP35" s="241">
        <v>391.96250000000003</v>
      </c>
      <c r="AQ35" s="241">
        <v>339.05416666666667</v>
      </c>
      <c r="AR35" s="241">
        <v>307.10763888888891</v>
      </c>
      <c r="AS35" s="241">
        <v>195.41666666666666</v>
      </c>
      <c r="AT35" s="241">
        <v>2638.1791666666663</v>
      </c>
      <c r="AU35" s="241">
        <v>7118.2259999999997</v>
      </c>
    </row>
    <row r="36" spans="1:47" s="242" customFormat="1" ht="15">
      <c r="A36" s="198" t="s">
        <v>172</v>
      </c>
      <c r="B36" s="241">
        <v>10.6213793329987</v>
      </c>
      <c r="C36" s="241">
        <v>11.170874768079631</v>
      </c>
      <c r="D36" s="241">
        <v>11.294400430660723</v>
      </c>
      <c r="E36" s="241">
        <v>9.4512782695741251</v>
      </c>
      <c r="F36" s="241">
        <v>3.9051404141721369</v>
      </c>
      <c r="G36" s="241">
        <v>3.1570666269409742</v>
      </c>
      <c r="H36" s="241">
        <v>22.637503068842001</v>
      </c>
      <c r="I36" s="241">
        <v>7.9930944558970429</v>
      </c>
      <c r="J36" s="241">
        <v>28.192191451304495</v>
      </c>
      <c r="K36" s="241">
        <v>51.402254133531656</v>
      </c>
      <c r="L36" s="241">
        <v>42.534739779156425</v>
      </c>
      <c r="M36" s="241">
        <v>34.886551455237779</v>
      </c>
      <c r="N36" s="241">
        <v>60.670471293972206</v>
      </c>
      <c r="O36" s="241">
        <v>53.552524122077386</v>
      </c>
      <c r="P36" s="241">
        <v>42.605350911205896</v>
      </c>
      <c r="Q36" s="241">
        <v>47.839967074618819</v>
      </c>
      <c r="R36" s="241">
        <v>41.597088339429831</v>
      </c>
      <c r="S36" s="241">
        <v>21.896191540713584</v>
      </c>
      <c r="T36" s="241">
        <v>55.306484295845991</v>
      </c>
      <c r="U36" s="241">
        <v>47.820671957588814</v>
      </c>
      <c r="V36" s="241">
        <v>34.315590865605763</v>
      </c>
      <c r="W36" s="241">
        <v>32.336579880374615</v>
      </c>
      <c r="X36" s="241">
        <v>7.0702607158638964</v>
      </c>
      <c r="Y36" s="241">
        <v>10.60096527321841</v>
      </c>
      <c r="Z36" s="241">
        <v>24.055198071484153</v>
      </c>
      <c r="AA36" s="241">
        <v>18.392256040363119</v>
      </c>
      <c r="AB36" s="241">
        <v>50.08548531364476</v>
      </c>
      <c r="AC36" s="241">
        <v>32.889840555158756</v>
      </c>
      <c r="AD36" s="241">
        <v>15.605187999977455</v>
      </c>
      <c r="AE36" s="241">
        <v>-0.2114971999090498</v>
      </c>
      <c r="AF36" s="241">
        <v>15.376069654479462</v>
      </c>
      <c r="AG36" s="241">
        <v>1.7180415158700502</v>
      </c>
      <c r="AH36" s="241">
        <v>12.937764232190752</v>
      </c>
      <c r="AI36" s="241">
        <v>0.78621164587959758</v>
      </c>
      <c r="AJ36" s="241">
        <v>5.4630648705501939</v>
      </c>
      <c r="AK36" s="241">
        <v>-6.13154599927348</v>
      </c>
      <c r="AL36" s="241">
        <v>-31.828465677202711</v>
      </c>
      <c r="AM36" s="241">
        <v>11.648311791797216</v>
      </c>
      <c r="AN36" s="241">
        <v>10.153756890049337</v>
      </c>
      <c r="AO36" s="241">
        <v>18.229166666666675</v>
      </c>
      <c r="AP36" s="241">
        <v>70.513722943069084</v>
      </c>
      <c r="AQ36" s="241">
        <v>68.153827078856025</v>
      </c>
      <c r="AR36" s="241">
        <v>38.250281355508321</v>
      </c>
      <c r="AS36" s="241">
        <v>9.5794392523364422</v>
      </c>
      <c r="AT36" s="241">
        <v>2.656930226012455</v>
      </c>
      <c r="AU36" s="241">
        <v>5.8923471406292061</v>
      </c>
    </row>
    <row r="37" spans="1:47" s="7" customFormat="1">
      <c r="A37" s="288"/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  <c r="AQ37" s="201"/>
      <c r="AR37" s="201"/>
      <c r="AS37" s="201"/>
      <c r="AT37" s="201"/>
      <c r="AU37" s="201"/>
    </row>
    <row r="38" spans="1:47" s="7" customFormat="1">
      <c r="A38" s="292">
        <v>2008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</row>
    <row r="39" spans="1:47" s="242" customFormat="1" ht="15">
      <c r="A39" s="288" t="s">
        <v>3</v>
      </c>
      <c r="B39" s="201">
        <v>90.689935064935099</v>
      </c>
      <c r="C39" s="201">
        <v>91.920454545454504</v>
      </c>
      <c r="D39" s="201">
        <v>87.173636363636405</v>
      </c>
      <c r="E39" s="201">
        <v>92.975714285714304</v>
      </c>
      <c r="F39" s="201">
        <v>8</v>
      </c>
      <c r="G39" s="201">
        <v>154.74877960389099</v>
      </c>
      <c r="H39" s="201">
        <v>2.20146</v>
      </c>
      <c r="I39" s="201">
        <v>3.0833815320000002</v>
      </c>
      <c r="J39" s="201">
        <v>2.187203502</v>
      </c>
      <c r="K39" s="201">
        <v>1285</v>
      </c>
      <c r="L39" s="201">
        <v>1750</v>
      </c>
      <c r="M39" s="201">
        <v>1984.16</v>
      </c>
      <c r="N39" s="201">
        <v>1122.1500000000001</v>
      </c>
      <c r="O39" s="201">
        <v>1278.18</v>
      </c>
      <c r="P39" s="201">
        <v>528.5</v>
      </c>
      <c r="Q39" s="201">
        <v>1280.2</v>
      </c>
      <c r="R39" s="201">
        <v>447.9</v>
      </c>
      <c r="S39" s="201">
        <v>1390.42</v>
      </c>
      <c r="T39" s="201">
        <v>1709</v>
      </c>
      <c r="U39" s="201">
        <v>205.48559940405099</v>
      </c>
      <c r="V39" s="201">
        <v>206.662316</v>
      </c>
      <c r="W39" s="201">
        <v>212.67307754000001</v>
      </c>
      <c r="X39" s="201">
        <v>375.6</v>
      </c>
      <c r="Y39" s="201">
        <v>364.4</v>
      </c>
      <c r="Z39" s="201">
        <v>358</v>
      </c>
      <c r="AA39" s="201" t="s">
        <v>267</v>
      </c>
      <c r="AB39" s="201">
        <v>343.81052018999998</v>
      </c>
      <c r="AC39" s="201">
        <v>370.6609570425</v>
      </c>
      <c r="AD39" s="201">
        <v>1.1694385624165999</v>
      </c>
      <c r="AE39" s="201">
        <v>0.68896562500000003</v>
      </c>
      <c r="AF39" s="201">
        <v>1.02964823805731</v>
      </c>
      <c r="AG39" s="201">
        <v>2.7652548659999998</v>
      </c>
      <c r="AH39" s="201">
        <v>1.70306895</v>
      </c>
      <c r="AI39" s="201">
        <v>10.471945</v>
      </c>
      <c r="AJ39" s="201">
        <v>0.73118572363636403</v>
      </c>
      <c r="AK39" s="201">
        <v>0.446183593428571</v>
      </c>
      <c r="AL39" s="201">
        <v>0.26389301399999998</v>
      </c>
      <c r="AM39" s="201">
        <v>3438.78</v>
      </c>
      <c r="AN39" s="201">
        <v>1.61488415</v>
      </c>
      <c r="AO39" s="201">
        <v>71.5</v>
      </c>
      <c r="AP39" s="201">
        <v>593.875</v>
      </c>
      <c r="AQ39" s="201">
        <v>539.20000000000005</v>
      </c>
      <c r="AR39" s="201">
        <v>376.625</v>
      </c>
      <c r="AS39" s="201">
        <v>230.625</v>
      </c>
      <c r="AT39" s="201">
        <v>2445.5230000000001</v>
      </c>
      <c r="AU39" s="201">
        <v>7061.0230000000001</v>
      </c>
    </row>
    <row r="40" spans="1:47" s="242" customFormat="1" ht="16.5" customHeight="1">
      <c r="A40" s="288" t="s">
        <v>4</v>
      </c>
      <c r="B40" s="201">
        <v>93.387590643274905</v>
      </c>
      <c r="C40" s="201">
        <v>94.816666666666706</v>
      </c>
      <c r="D40" s="201">
        <v>89.962105263157895</v>
      </c>
      <c r="E40" s="201">
        <v>95.384</v>
      </c>
      <c r="F40" s="201">
        <v>8.5500000000000007</v>
      </c>
      <c r="G40" s="201">
        <v>162.44548780026099</v>
      </c>
      <c r="H40" s="201">
        <v>2.5034999999999998</v>
      </c>
      <c r="I40" s="201">
        <v>3.4676467980000001</v>
      </c>
      <c r="J40" s="201">
        <v>2.5452337900000002</v>
      </c>
      <c r="K40" s="201">
        <v>1382</v>
      </c>
      <c r="L40" s="201">
        <v>1721.43</v>
      </c>
      <c r="M40" s="201">
        <v>1984.16</v>
      </c>
      <c r="N40" s="201">
        <v>1268.6300000000001</v>
      </c>
      <c r="O40" s="201">
        <v>1391.67</v>
      </c>
      <c r="P40" s="201">
        <v>574.01</v>
      </c>
      <c r="Q40" s="201">
        <v>1414.17</v>
      </c>
      <c r="R40" s="201">
        <v>458.05</v>
      </c>
      <c r="S40" s="201">
        <v>1429.55</v>
      </c>
      <c r="T40" s="201">
        <v>1839</v>
      </c>
      <c r="U40" s="201">
        <v>216.386912090002</v>
      </c>
      <c r="V40" s="201">
        <v>220.06711999999999</v>
      </c>
      <c r="W40" s="201">
        <v>218.49547896000001</v>
      </c>
      <c r="X40" s="201">
        <v>464.75</v>
      </c>
      <c r="Y40" s="201" t="s">
        <v>267</v>
      </c>
      <c r="Z40" s="201">
        <v>432.75</v>
      </c>
      <c r="AA40" s="201" t="s">
        <v>267</v>
      </c>
      <c r="AB40" s="201">
        <v>388.7480286</v>
      </c>
      <c r="AC40" s="201">
        <v>424.99565905499998</v>
      </c>
      <c r="AD40" s="201">
        <v>1.4510740387834999</v>
      </c>
      <c r="AE40" s="201">
        <v>0.79231046875</v>
      </c>
      <c r="AF40" s="201">
        <v>1.0490340421573301</v>
      </c>
      <c r="AG40" s="201">
        <v>2.8931228259999999</v>
      </c>
      <c r="AH40" s="201">
        <v>1.7448648708333301</v>
      </c>
      <c r="AI40" s="201">
        <v>10.471945</v>
      </c>
      <c r="AJ40" s="201">
        <v>0.73269956571428596</v>
      </c>
      <c r="AK40" s="201">
        <v>0.44401046799999999</v>
      </c>
      <c r="AL40" s="201">
        <v>0.29784416200000002</v>
      </c>
      <c r="AM40" s="201">
        <v>3387.51</v>
      </c>
      <c r="AN40" s="201">
        <v>1.65456731</v>
      </c>
      <c r="AO40" s="201">
        <v>71.5</v>
      </c>
      <c r="AP40" s="201">
        <v>692.5</v>
      </c>
      <c r="AQ40" s="201">
        <v>729.375</v>
      </c>
      <c r="AR40" s="201">
        <v>328.125</v>
      </c>
      <c r="AS40" s="201">
        <v>240</v>
      </c>
      <c r="AT40" s="201">
        <v>2776.9290000000001</v>
      </c>
      <c r="AU40" s="201">
        <v>7887.69</v>
      </c>
    </row>
    <row r="41" spans="1:47" s="7" customFormat="1" ht="16.5" customHeight="1">
      <c r="A41" s="288" t="s">
        <v>5</v>
      </c>
      <c r="B41" s="201">
        <v>101.842833333333</v>
      </c>
      <c r="C41" s="201">
        <v>103.2775</v>
      </c>
      <c r="D41" s="201">
        <v>96.778499999999994</v>
      </c>
      <c r="E41" s="201">
        <v>105.4725</v>
      </c>
      <c r="F41" s="201">
        <v>9.4014285714285695</v>
      </c>
      <c r="G41" s="201">
        <v>174.07424402600799</v>
      </c>
      <c r="H41" s="201">
        <v>2.7264900000000001</v>
      </c>
      <c r="I41" s="201">
        <v>3.3045049180000001</v>
      </c>
      <c r="J41" s="201">
        <v>2.6878727040000001</v>
      </c>
      <c r="K41" s="201">
        <v>1471</v>
      </c>
      <c r="L41" s="201">
        <v>1700</v>
      </c>
      <c r="M41" s="201">
        <v>2075.4899999999998</v>
      </c>
      <c r="N41" s="201">
        <v>1377.22</v>
      </c>
      <c r="O41" s="201">
        <v>1456.39</v>
      </c>
      <c r="P41" s="201">
        <v>558.86</v>
      </c>
      <c r="Q41" s="201">
        <v>1488.74</v>
      </c>
      <c r="R41" s="201">
        <v>465.95</v>
      </c>
      <c r="S41" s="201">
        <v>1510.12</v>
      </c>
      <c r="T41" s="201">
        <v>1863</v>
      </c>
      <c r="U41" s="201">
        <v>228.625889444428</v>
      </c>
      <c r="V41" s="201">
        <v>234.35770400000001</v>
      </c>
      <c r="W41" s="201">
        <v>224.93296935999999</v>
      </c>
      <c r="X41" s="201">
        <v>594</v>
      </c>
      <c r="Y41" s="201" t="s">
        <v>267</v>
      </c>
      <c r="Z41" s="201">
        <v>537.6</v>
      </c>
      <c r="AA41" s="201" t="s">
        <v>267</v>
      </c>
      <c r="AB41" s="201">
        <v>419.61271140000002</v>
      </c>
      <c r="AC41" s="201">
        <v>439.71609184875001</v>
      </c>
      <c r="AD41" s="201">
        <v>1.6429097635344301</v>
      </c>
      <c r="AE41" s="201">
        <v>1.0265587812500001</v>
      </c>
      <c r="AF41" s="201">
        <v>1.2307682279213701</v>
      </c>
      <c r="AG41" s="201">
        <v>3.010629072</v>
      </c>
      <c r="AH41" s="201">
        <v>1.79082978461538</v>
      </c>
      <c r="AI41" s="201">
        <v>10.471945</v>
      </c>
      <c r="AJ41" s="201">
        <v>0.77139999999999997</v>
      </c>
      <c r="AK41" s="201">
        <v>0.45525402999999998</v>
      </c>
      <c r="AL41" s="201">
        <v>0.29100984000000002</v>
      </c>
      <c r="AM41" s="201">
        <v>3348.3</v>
      </c>
      <c r="AN41" s="201">
        <v>1.7681052399999999</v>
      </c>
      <c r="AO41" s="201">
        <v>71.5</v>
      </c>
      <c r="AP41" s="201">
        <v>862.2</v>
      </c>
      <c r="AQ41" s="201">
        <v>875.625</v>
      </c>
      <c r="AR41" s="201">
        <v>371</v>
      </c>
      <c r="AS41" s="201">
        <v>240</v>
      </c>
      <c r="AT41" s="201">
        <v>3005.2890000000002</v>
      </c>
      <c r="AU41" s="201">
        <v>8439.2890000000007</v>
      </c>
    </row>
    <row r="42" spans="1:47" s="7" customFormat="1" ht="16.5" customHeight="1">
      <c r="A42" s="288" t="s">
        <v>6</v>
      </c>
      <c r="B42" s="201">
        <v>108.758181818182</v>
      </c>
      <c r="C42" s="201">
        <v>110.187727272727</v>
      </c>
      <c r="D42" s="201">
        <v>103.46863636363599</v>
      </c>
      <c r="E42" s="201">
        <v>112.61818181818199</v>
      </c>
      <c r="F42" s="201">
        <v>10.132272727272699</v>
      </c>
      <c r="G42" s="201">
        <v>188.727872725136</v>
      </c>
      <c r="H42" s="201">
        <v>2.6074999999999999</v>
      </c>
      <c r="I42" s="201">
        <v>3.1019003399999998</v>
      </c>
      <c r="J42" s="201">
        <v>2.453521598</v>
      </c>
      <c r="K42" s="201">
        <v>1443</v>
      </c>
      <c r="L42" s="201">
        <v>1700</v>
      </c>
      <c r="M42" s="201">
        <v>2126.46</v>
      </c>
      <c r="N42" s="201">
        <v>1320.11</v>
      </c>
      <c r="O42" s="201">
        <v>1425.91</v>
      </c>
      <c r="P42" s="201">
        <v>549.11</v>
      </c>
      <c r="Q42" s="201">
        <v>1422.23</v>
      </c>
      <c r="R42" s="201">
        <v>516.14</v>
      </c>
      <c r="S42" s="201">
        <v>1471.49</v>
      </c>
      <c r="T42" s="201">
        <v>1838</v>
      </c>
      <c r="U42" s="201">
        <v>237.77293359886599</v>
      </c>
      <c r="V42" s="201">
        <v>246.44368</v>
      </c>
      <c r="W42" s="201">
        <v>240.28373841999999</v>
      </c>
      <c r="X42" s="201">
        <v>907</v>
      </c>
      <c r="Y42" s="201" t="s">
        <v>267</v>
      </c>
      <c r="Z42" s="201">
        <v>762.66666666666697</v>
      </c>
      <c r="AA42" s="201" t="s">
        <v>267</v>
      </c>
      <c r="AB42" s="201">
        <v>323.42780434090901</v>
      </c>
      <c r="AC42" s="201">
        <v>362.22924711171402</v>
      </c>
      <c r="AD42" s="201">
        <v>1.44042268943564</v>
      </c>
      <c r="AE42" s="201">
        <v>0.96730773749999999</v>
      </c>
      <c r="AF42" s="201">
        <v>1.2337172406782499</v>
      </c>
      <c r="AG42" s="201">
        <v>3.164952472</v>
      </c>
      <c r="AH42" s="201">
        <v>1.8086363307692299</v>
      </c>
      <c r="AI42" s="201">
        <v>10.471945</v>
      </c>
      <c r="AJ42" s="201">
        <v>0.78220450285714305</v>
      </c>
      <c r="AK42" s="201">
        <v>0.451576323</v>
      </c>
      <c r="AL42" s="201">
        <v>0.276900272</v>
      </c>
      <c r="AM42" s="201">
        <v>3410.54</v>
      </c>
      <c r="AN42" s="201">
        <v>1.6622834799999999</v>
      </c>
      <c r="AO42" s="201">
        <v>160.375</v>
      </c>
      <c r="AP42" s="201">
        <v>953.5</v>
      </c>
      <c r="AQ42" s="201">
        <v>1029</v>
      </c>
      <c r="AR42" s="201">
        <v>462.5</v>
      </c>
      <c r="AS42" s="201">
        <v>393</v>
      </c>
      <c r="AT42" s="201">
        <v>2959.2730000000001</v>
      </c>
      <c r="AU42" s="201">
        <v>8684.9320000000007</v>
      </c>
    </row>
    <row r="43" spans="1:47" s="7" customFormat="1" ht="16.5" customHeight="1">
      <c r="A43" s="288" t="s">
        <v>7</v>
      </c>
      <c r="B43" s="201">
        <v>122.632608946609</v>
      </c>
      <c r="C43" s="201">
        <v>123.93619047619001</v>
      </c>
      <c r="D43" s="201">
        <v>118.948636363636</v>
      </c>
      <c r="E43" s="201">
        <v>125.01300000000001</v>
      </c>
      <c r="F43" s="201">
        <v>11.230454545454499</v>
      </c>
      <c r="G43" s="201">
        <v>203.109032648957</v>
      </c>
      <c r="H43" s="201">
        <v>2.6842299999999999</v>
      </c>
      <c r="I43" s="201">
        <v>3.12945809</v>
      </c>
      <c r="J43" s="201">
        <v>2.4003902560000001</v>
      </c>
      <c r="K43" s="201">
        <v>1502</v>
      </c>
      <c r="L43" s="201">
        <v>1700</v>
      </c>
      <c r="M43" s="201">
        <v>2253.2199999999998</v>
      </c>
      <c r="N43" s="201">
        <v>1326.45</v>
      </c>
      <c r="O43" s="201">
        <v>1432.5</v>
      </c>
      <c r="P43" s="201">
        <v>566.12</v>
      </c>
      <c r="Q43" s="201">
        <v>1437.87</v>
      </c>
      <c r="R43" s="201">
        <v>504.35</v>
      </c>
      <c r="S43" s="201">
        <v>1524.95</v>
      </c>
      <c r="T43" s="201">
        <v>1962</v>
      </c>
      <c r="U43" s="201">
        <v>238.414797008547</v>
      </c>
      <c r="V43" s="201">
        <v>243.45564880000001</v>
      </c>
      <c r="W43" s="201">
        <v>238.240685571429</v>
      </c>
      <c r="X43" s="201">
        <v>901.8</v>
      </c>
      <c r="Y43" s="201" t="s">
        <v>267</v>
      </c>
      <c r="Z43" s="201">
        <v>727.4</v>
      </c>
      <c r="AA43" s="201" t="s">
        <v>267</v>
      </c>
      <c r="AB43" s="201">
        <v>255.10027770900001</v>
      </c>
      <c r="AC43" s="201">
        <v>328.76171271685701</v>
      </c>
      <c r="AD43" s="201">
        <v>1.24676206296164</v>
      </c>
      <c r="AE43" s="201">
        <v>0.92321393750000003</v>
      </c>
      <c r="AF43" s="201">
        <v>1.3176913090086</v>
      </c>
      <c r="AG43" s="201">
        <v>3.512621046</v>
      </c>
      <c r="AH43" s="201">
        <v>1.8399391083333301</v>
      </c>
      <c r="AI43" s="201">
        <v>10.471945</v>
      </c>
      <c r="AJ43" s="201">
        <v>0.77287176000000002</v>
      </c>
      <c r="AK43" s="201">
        <v>0.45928533514285702</v>
      </c>
      <c r="AL43" s="201">
        <v>0.26609763400000003</v>
      </c>
      <c r="AM43" s="201">
        <v>3485.76</v>
      </c>
      <c r="AN43" s="201">
        <v>1.6336234199999999</v>
      </c>
      <c r="AO43" s="201">
        <v>190</v>
      </c>
      <c r="AP43" s="201">
        <v>997.5</v>
      </c>
      <c r="AQ43" s="201">
        <v>1037</v>
      </c>
      <c r="AR43" s="201">
        <v>633.75</v>
      </c>
      <c r="AS43" s="201">
        <v>546</v>
      </c>
      <c r="AT43" s="201">
        <v>2902.9</v>
      </c>
      <c r="AU43" s="201">
        <v>8382.75</v>
      </c>
    </row>
    <row r="44" spans="1:47" s="7" customFormat="1" ht="16.5" customHeight="1">
      <c r="A44" s="288" t="s">
        <v>8</v>
      </c>
      <c r="B44" s="201">
        <v>131.521111111111</v>
      </c>
      <c r="C44" s="201">
        <v>133.04857142857099</v>
      </c>
      <c r="D44" s="201">
        <v>127.587619047619</v>
      </c>
      <c r="E44" s="201">
        <v>133.927142857143</v>
      </c>
      <c r="F44" s="201">
        <v>12.6761904761905</v>
      </c>
      <c r="G44" s="201">
        <v>222.151733773915</v>
      </c>
      <c r="H44" s="201">
        <v>3.0011800000000002</v>
      </c>
      <c r="I44" s="201">
        <v>3.2220521299999998</v>
      </c>
      <c r="J44" s="201">
        <v>2.4546239079999999</v>
      </c>
      <c r="K44" s="201">
        <v>1551</v>
      </c>
      <c r="L44" s="201">
        <v>1700</v>
      </c>
      <c r="M44" s="201">
        <v>2332.6999999999998</v>
      </c>
      <c r="N44" s="201">
        <v>1293.21</v>
      </c>
      <c r="O44" s="201">
        <v>1396.67</v>
      </c>
      <c r="P44" s="201">
        <v>634.85</v>
      </c>
      <c r="Q44" s="201">
        <v>1535.16</v>
      </c>
      <c r="R44" s="201">
        <v>534.37</v>
      </c>
      <c r="S44" s="201">
        <v>1591.88</v>
      </c>
      <c r="T44" s="201">
        <v>2045</v>
      </c>
      <c r="U44" s="201">
        <v>241.00849152486799</v>
      </c>
      <c r="V44" s="201">
        <v>287.11082399999998</v>
      </c>
      <c r="W44" s="201">
        <v>262.19325198000001</v>
      </c>
      <c r="X44" s="201">
        <v>757</v>
      </c>
      <c r="Y44" s="201" t="s">
        <v>267</v>
      </c>
      <c r="Z44" s="201">
        <v>591</v>
      </c>
      <c r="AA44" s="201">
        <v>780</v>
      </c>
      <c r="AB44" s="201">
        <v>254.74386411</v>
      </c>
      <c r="AC44" s="201">
        <v>348.553078167857</v>
      </c>
      <c r="AD44" s="201">
        <v>1.1018088412651901</v>
      </c>
      <c r="AE44" s="201">
        <v>0.86809668750000002</v>
      </c>
      <c r="AF44" s="201">
        <v>1.4144261239323901</v>
      </c>
      <c r="AG44" s="201">
        <v>3.6570236559999998</v>
      </c>
      <c r="AH44" s="201">
        <v>1.88961371923077</v>
      </c>
      <c r="AI44" s="201">
        <v>10.734294780000001</v>
      </c>
      <c r="AJ44" s="201">
        <v>0.77266121142857103</v>
      </c>
      <c r="AK44" s="201">
        <v>0.47946285723809501</v>
      </c>
      <c r="AL44" s="201">
        <v>0.267420406</v>
      </c>
      <c r="AM44" s="201">
        <v>3565.33</v>
      </c>
      <c r="AN44" s="201">
        <v>1.69865971</v>
      </c>
      <c r="AO44" s="201">
        <v>190</v>
      </c>
      <c r="AP44" s="201">
        <v>1004.1</v>
      </c>
      <c r="AQ44" s="201">
        <v>1043.125</v>
      </c>
      <c r="AR44" s="201">
        <v>642</v>
      </c>
      <c r="AS44" s="201">
        <v>546</v>
      </c>
      <c r="AT44" s="201">
        <v>2957.857</v>
      </c>
      <c r="AU44" s="201">
        <v>8260.5949999999993</v>
      </c>
    </row>
    <row r="45" spans="1:47" s="7" customFormat="1" ht="16.5" customHeight="1">
      <c r="A45" s="288" t="s">
        <v>9</v>
      </c>
      <c r="B45" s="201">
        <v>132.82518445322799</v>
      </c>
      <c r="C45" s="201">
        <v>133.873043478261</v>
      </c>
      <c r="D45" s="201">
        <v>131.22478260869599</v>
      </c>
      <c r="E45" s="201">
        <v>133.37772727272699</v>
      </c>
      <c r="F45" s="201">
        <v>11.148782608695701</v>
      </c>
      <c r="G45" s="201">
        <v>212.065460658978</v>
      </c>
      <c r="H45" s="201">
        <v>2.9671599999999998</v>
      </c>
      <c r="I45" s="201">
        <v>3.2487280319999998</v>
      </c>
      <c r="J45" s="201">
        <v>2.5403836260000001</v>
      </c>
      <c r="K45" s="201">
        <v>1436</v>
      </c>
      <c r="L45" s="201">
        <v>1700</v>
      </c>
      <c r="M45" s="201">
        <v>2425.08</v>
      </c>
      <c r="N45" s="201">
        <v>1213.48</v>
      </c>
      <c r="O45" s="201">
        <v>1253.48</v>
      </c>
      <c r="P45" s="201">
        <v>637.25</v>
      </c>
      <c r="Q45" s="201">
        <v>1506.98</v>
      </c>
      <c r="R45" s="201">
        <v>521.57000000000005</v>
      </c>
      <c r="S45" s="201">
        <v>1549.44</v>
      </c>
      <c r="T45" s="201">
        <v>1692</v>
      </c>
      <c r="U45" s="201">
        <v>248.147184438144</v>
      </c>
      <c r="V45" s="201">
        <v>265.34032000000002</v>
      </c>
      <c r="W45" s="201">
        <v>218.818556</v>
      </c>
      <c r="X45" s="201">
        <v>731.75</v>
      </c>
      <c r="Y45" s="201">
        <v>700</v>
      </c>
      <c r="Z45" s="201">
        <v>546.5</v>
      </c>
      <c r="AA45" s="201">
        <v>698</v>
      </c>
      <c r="AB45" s="201">
        <v>245.44771560000001</v>
      </c>
      <c r="AC45" s="201">
        <v>328.18360435568201</v>
      </c>
      <c r="AD45" s="201">
        <v>1.1034223939997601</v>
      </c>
      <c r="AE45" s="201">
        <v>0.72203597500000005</v>
      </c>
      <c r="AF45" s="201">
        <v>1.4316917420472499</v>
      </c>
      <c r="AG45" s="201">
        <v>3.92642822</v>
      </c>
      <c r="AH45" s="201">
        <v>1.9455771500000001</v>
      </c>
      <c r="AI45" s="201">
        <v>11.1884465</v>
      </c>
      <c r="AJ45" s="201">
        <v>0.78317064000000003</v>
      </c>
      <c r="AK45" s="201">
        <v>0.52379766999999999</v>
      </c>
      <c r="AL45" s="201">
        <v>0.31371742600000002</v>
      </c>
      <c r="AM45" s="201">
        <v>3654.88</v>
      </c>
      <c r="AN45" s="201">
        <v>1.7041712600000001</v>
      </c>
      <c r="AO45" s="201">
        <v>240</v>
      </c>
      <c r="AP45" s="201">
        <v>1075.75</v>
      </c>
      <c r="AQ45" s="201">
        <v>1112.5</v>
      </c>
      <c r="AR45" s="201">
        <v>733.75</v>
      </c>
      <c r="AS45" s="201">
        <v>546</v>
      </c>
      <c r="AT45" s="201">
        <v>3071.239</v>
      </c>
      <c r="AU45" s="201">
        <v>8414.0429999999997</v>
      </c>
    </row>
    <row r="46" spans="1:47" s="7" customFormat="1" ht="16.5" customHeight="1">
      <c r="A46" s="288" t="s">
        <v>10</v>
      </c>
      <c r="B46" s="201">
        <v>114.566825396825</v>
      </c>
      <c r="C46" s="201">
        <v>113.84904761904799</v>
      </c>
      <c r="D46" s="201">
        <v>113.21095238095199</v>
      </c>
      <c r="E46" s="201">
        <v>116.64047619047599</v>
      </c>
      <c r="F46" s="201">
        <v>8.25</v>
      </c>
      <c r="G46" s="201">
        <v>178.75777949733501</v>
      </c>
      <c r="H46" s="201">
        <v>2.8157800000000002</v>
      </c>
      <c r="I46" s="201">
        <v>3.2282250659999998</v>
      </c>
      <c r="J46" s="201">
        <v>2.481520272</v>
      </c>
      <c r="K46" s="201">
        <v>1193</v>
      </c>
      <c r="L46" s="201">
        <v>1620</v>
      </c>
      <c r="M46" s="201">
        <v>2427.1799999999998</v>
      </c>
      <c r="N46" s="201">
        <v>963.57</v>
      </c>
      <c r="O46" s="201">
        <v>1064.29</v>
      </c>
      <c r="P46" s="201">
        <v>557.28</v>
      </c>
      <c r="Q46" s="201">
        <v>1329.64</v>
      </c>
      <c r="R46" s="201">
        <v>441.67</v>
      </c>
      <c r="S46" s="201">
        <v>1352.83</v>
      </c>
      <c r="T46" s="201">
        <v>1319</v>
      </c>
      <c r="U46" s="201">
        <v>212.253414264036</v>
      </c>
      <c r="V46" s="201">
        <v>235.02696</v>
      </c>
      <c r="W46" s="201">
        <v>209.33969210000001</v>
      </c>
      <c r="X46" s="201">
        <v>693.5</v>
      </c>
      <c r="Y46" s="201">
        <v>657.5</v>
      </c>
      <c r="Z46" s="201">
        <v>468.75</v>
      </c>
      <c r="AA46" s="201">
        <v>607.5</v>
      </c>
      <c r="AB46" s="201">
        <v>255.3685065</v>
      </c>
      <c r="AC46" s="201">
        <v>329.34415053552601</v>
      </c>
      <c r="AD46" s="201">
        <v>1.15844178105229</v>
      </c>
      <c r="AE46" s="201">
        <v>0.79920012500000004</v>
      </c>
      <c r="AF46" s="201">
        <v>1.1318525628965601</v>
      </c>
      <c r="AG46" s="201">
        <v>3.83824342</v>
      </c>
      <c r="AH46" s="201">
        <v>1.94924021092308</v>
      </c>
      <c r="AI46" s="201">
        <v>11.230334279999999</v>
      </c>
      <c r="AJ46" s="201">
        <v>0.74397692571428597</v>
      </c>
      <c r="AK46" s="201">
        <v>0.512679131904762</v>
      </c>
      <c r="AL46" s="201">
        <v>0.32209498199999997</v>
      </c>
      <c r="AM46" s="201">
        <v>3704.49</v>
      </c>
      <c r="AN46" s="201">
        <v>1.7206009280952399</v>
      </c>
      <c r="AO46" s="201">
        <v>290</v>
      </c>
      <c r="AP46" s="201">
        <v>1065</v>
      </c>
      <c r="AQ46" s="201">
        <v>1131.5</v>
      </c>
      <c r="AR46" s="201">
        <v>785</v>
      </c>
      <c r="AS46" s="201">
        <v>546</v>
      </c>
      <c r="AT46" s="201">
        <v>2764.375</v>
      </c>
      <c r="AU46" s="201">
        <v>7634.7</v>
      </c>
    </row>
    <row r="47" spans="1:47" s="7" customFormat="1" ht="16.5" customHeight="1">
      <c r="A47" s="288" t="s">
        <v>11</v>
      </c>
      <c r="B47" s="201">
        <v>99.6567676767677</v>
      </c>
      <c r="C47" s="201">
        <v>99.064090909090893</v>
      </c>
      <c r="D47" s="201">
        <v>95.969545454545496</v>
      </c>
      <c r="E47" s="201">
        <v>103.93666666666699</v>
      </c>
      <c r="F47" s="201">
        <v>7.6944999999999997</v>
      </c>
      <c r="G47" s="201">
        <v>173.78281327378599</v>
      </c>
      <c r="H47" s="201">
        <v>2.6957200000000001</v>
      </c>
      <c r="I47" s="201">
        <v>3.1585590739999998</v>
      </c>
      <c r="J47" s="201">
        <v>2.3232285560000001</v>
      </c>
      <c r="K47" s="201">
        <v>1110</v>
      </c>
      <c r="L47" s="201">
        <v>1616.36</v>
      </c>
      <c r="M47" s="201">
        <v>2313.85</v>
      </c>
      <c r="N47" s="201">
        <v>826.02</v>
      </c>
      <c r="O47" s="201">
        <v>994.09</v>
      </c>
      <c r="P47" s="201">
        <v>525.48</v>
      </c>
      <c r="Q47" s="201">
        <v>1201.02</v>
      </c>
      <c r="R47" s="201">
        <v>413.14</v>
      </c>
      <c r="S47" s="201">
        <v>1238.29</v>
      </c>
      <c r="T47" s="201">
        <v>1176</v>
      </c>
      <c r="U47" s="201">
        <v>189.45928555680001</v>
      </c>
      <c r="V47" s="201">
        <v>233.84592000000001</v>
      </c>
      <c r="W47" s="201">
        <v>216.01087222000001</v>
      </c>
      <c r="X47" s="201">
        <v>683.8</v>
      </c>
      <c r="Y47" s="201">
        <v>651</v>
      </c>
      <c r="Z47" s="201">
        <v>420.4</v>
      </c>
      <c r="AA47" s="201">
        <v>561.78499999999997</v>
      </c>
      <c r="AB47" s="201">
        <v>223.7689503</v>
      </c>
      <c r="AC47" s="201">
        <v>295.55033419285701</v>
      </c>
      <c r="AD47" s="201">
        <v>1.1068470998984401</v>
      </c>
      <c r="AE47" s="201">
        <v>0.80264495312499995</v>
      </c>
      <c r="AF47" s="201">
        <v>0.92397093373782002</v>
      </c>
      <c r="AG47" s="201">
        <v>3.5578157560000001</v>
      </c>
      <c r="AH47" s="201">
        <v>1.9489688730769199</v>
      </c>
      <c r="AI47" s="201">
        <v>10.59540372</v>
      </c>
      <c r="AJ47" s="201">
        <v>0.71387676</v>
      </c>
      <c r="AK47" s="201">
        <v>0.50924622361904703</v>
      </c>
      <c r="AL47" s="201">
        <v>0.29828508599999998</v>
      </c>
      <c r="AM47" s="201">
        <v>3748.63</v>
      </c>
      <c r="AN47" s="201">
        <v>1.6226003200000001</v>
      </c>
      <c r="AO47" s="201">
        <v>278</v>
      </c>
      <c r="AP47" s="201">
        <v>980</v>
      </c>
      <c r="AQ47" s="201">
        <v>1079.25</v>
      </c>
      <c r="AR47" s="201">
        <v>744.5</v>
      </c>
      <c r="AS47" s="201">
        <v>546</v>
      </c>
      <c r="AT47" s="201">
        <v>2525.8180000000002</v>
      </c>
      <c r="AU47" s="201">
        <v>6990.8639999999996</v>
      </c>
    </row>
    <row r="48" spans="1:47" s="7" customFormat="1" ht="16.5" customHeight="1">
      <c r="A48" s="288" t="s">
        <v>12</v>
      </c>
      <c r="B48" s="201">
        <v>72.692753623188395</v>
      </c>
      <c r="C48" s="201">
        <v>72.842608695652203</v>
      </c>
      <c r="D48" s="201">
        <v>68.620869565217404</v>
      </c>
      <c r="E48" s="201">
        <v>76.614782608695705</v>
      </c>
      <c r="F48" s="201">
        <v>6.7335000000000003</v>
      </c>
      <c r="G48" s="201">
        <v>167.66736836214</v>
      </c>
      <c r="H48" s="201">
        <v>2.27393</v>
      </c>
      <c r="I48" s="201">
        <v>2.7246898580000001</v>
      </c>
      <c r="J48" s="201">
        <v>1.957041174</v>
      </c>
      <c r="K48" s="201">
        <v>856</v>
      </c>
      <c r="L48" s="201">
        <v>1489.13</v>
      </c>
      <c r="M48" s="201">
        <v>2119.44</v>
      </c>
      <c r="N48" s="201">
        <v>635.75</v>
      </c>
      <c r="O48" s="201">
        <v>750.65</v>
      </c>
      <c r="P48" s="201">
        <v>399.87</v>
      </c>
      <c r="Q48" s="201">
        <v>942.53</v>
      </c>
      <c r="R48" s="201">
        <v>350.96</v>
      </c>
      <c r="S48" s="201">
        <v>1040.68</v>
      </c>
      <c r="T48" s="201">
        <v>950</v>
      </c>
      <c r="U48" s="201">
        <v>143.367415450133</v>
      </c>
      <c r="V48" s="201">
        <v>183.06120000000001</v>
      </c>
      <c r="W48" s="201">
        <v>163.62593786956501</v>
      </c>
      <c r="X48" s="201">
        <v>609.25</v>
      </c>
      <c r="Y48" s="201">
        <v>487.5</v>
      </c>
      <c r="Z48" s="201">
        <v>348.25</v>
      </c>
      <c r="AA48" s="201">
        <v>478.572</v>
      </c>
      <c r="AB48" s="201">
        <v>185.92297020000001</v>
      </c>
      <c r="AC48" s="201">
        <v>237.38407758586999</v>
      </c>
      <c r="AD48" s="201">
        <v>0.942033090706625</v>
      </c>
      <c r="AE48" s="201">
        <v>0.80746771250000005</v>
      </c>
      <c r="AF48" s="201">
        <v>0.90982506564433097</v>
      </c>
      <c r="AG48" s="201">
        <v>3.1140257500000001</v>
      </c>
      <c r="AH48" s="201">
        <v>1.9298298642857099</v>
      </c>
      <c r="AI48" s="201">
        <v>10.361713999999999</v>
      </c>
      <c r="AJ48" s="201">
        <v>0.52608921391304297</v>
      </c>
      <c r="AK48" s="201">
        <v>0.47192287426086899</v>
      </c>
      <c r="AL48" s="201">
        <v>0.26234977999999998</v>
      </c>
      <c r="AM48" s="201">
        <v>3804.36</v>
      </c>
      <c r="AN48" s="201">
        <v>1.37347826</v>
      </c>
      <c r="AO48" s="201">
        <v>450</v>
      </c>
      <c r="AP48" s="201">
        <v>910</v>
      </c>
      <c r="AQ48" s="201">
        <v>965</v>
      </c>
      <c r="AR48" s="201">
        <v>575</v>
      </c>
      <c r="AS48" s="201">
        <v>546</v>
      </c>
      <c r="AT48" s="201">
        <v>2121.413</v>
      </c>
      <c r="AU48" s="201">
        <v>4925.6959999999999</v>
      </c>
    </row>
    <row r="49" spans="1:47" s="7" customFormat="1" ht="16.5" customHeight="1">
      <c r="A49" s="288" t="s">
        <v>13</v>
      </c>
      <c r="B49" s="201">
        <v>53.9727280701754</v>
      </c>
      <c r="C49" s="201">
        <v>53.241</v>
      </c>
      <c r="D49" s="201">
        <v>51.383499999999998</v>
      </c>
      <c r="E49" s="201">
        <v>57.293684210526301</v>
      </c>
      <c r="F49" s="201">
        <v>6.6745000000000001</v>
      </c>
      <c r="G49" s="201">
        <v>166.41430737438401</v>
      </c>
      <c r="H49" s="201">
        <v>2.0545900000000001</v>
      </c>
      <c r="I49" s="201">
        <v>2.6872113180000001</v>
      </c>
      <c r="J49" s="201">
        <v>2.0009131120000001</v>
      </c>
      <c r="K49" s="201">
        <v>719</v>
      </c>
      <c r="L49" s="201">
        <v>1265</v>
      </c>
      <c r="M49" s="201">
        <v>1933.45</v>
      </c>
      <c r="N49" s="201">
        <v>581.25</v>
      </c>
      <c r="O49" s="201">
        <v>514.5</v>
      </c>
      <c r="P49" s="201">
        <v>371.76</v>
      </c>
      <c r="Q49" s="201">
        <v>825.64</v>
      </c>
      <c r="R49" s="201">
        <v>333.7</v>
      </c>
      <c r="S49" s="201">
        <v>974.82</v>
      </c>
      <c r="T49" s="201">
        <v>835</v>
      </c>
      <c r="U49" s="201">
        <v>130.08774094130001</v>
      </c>
      <c r="V49" s="201">
        <v>163.77088000000001</v>
      </c>
      <c r="W49" s="201">
        <v>150.75412022</v>
      </c>
      <c r="X49" s="201">
        <v>552</v>
      </c>
      <c r="Y49" s="201">
        <v>440.25</v>
      </c>
      <c r="Z49" s="201">
        <v>307</v>
      </c>
      <c r="AA49" s="201">
        <v>431.07</v>
      </c>
      <c r="AB49" s="201">
        <v>182.98347659999999</v>
      </c>
      <c r="AC49" s="201">
        <v>226.8462326625</v>
      </c>
      <c r="AD49" s="201">
        <v>0.88292644682651999</v>
      </c>
      <c r="AE49" s="201">
        <v>0.90254496875000001</v>
      </c>
      <c r="AF49" s="201">
        <v>0.85333830754948004</v>
      </c>
      <c r="AG49" s="201">
        <v>2.7282172500000001</v>
      </c>
      <c r="AH49" s="201">
        <v>1.916365935</v>
      </c>
      <c r="AI49" s="201">
        <v>9.9626777799999999</v>
      </c>
      <c r="AJ49" s="201">
        <v>0.50279260349999999</v>
      </c>
      <c r="AK49" s="201">
        <v>0.43362554747368398</v>
      </c>
      <c r="AL49" s="201">
        <v>0.26697948199999999</v>
      </c>
      <c r="AM49" s="201">
        <v>3740.82</v>
      </c>
      <c r="AN49" s="201">
        <v>1.21143869</v>
      </c>
      <c r="AO49" s="201">
        <v>450</v>
      </c>
      <c r="AP49" s="201">
        <v>710</v>
      </c>
      <c r="AQ49" s="201">
        <v>606</v>
      </c>
      <c r="AR49" s="201">
        <v>287.5</v>
      </c>
      <c r="AS49" s="201">
        <v>546</v>
      </c>
      <c r="AT49" s="201">
        <v>1852.425</v>
      </c>
      <c r="AU49" s="201">
        <v>3717</v>
      </c>
    </row>
    <row r="50" spans="1:47" s="7" customFormat="1" ht="16.5" customHeight="1">
      <c r="A50" s="288" t="s">
        <v>14</v>
      </c>
      <c r="B50" s="201">
        <v>41.338924963925002</v>
      </c>
      <c r="C50" s="201">
        <v>41.580909090909103</v>
      </c>
      <c r="D50" s="201">
        <v>40.996818181818199</v>
      </c>
      <c r="E50" s="201">
        <v>41.439047619047599</v>
      </c>
      <c r="F50" s="201">
        <v>5.7948000000000004</v>
      </c>
      <c r="G50" s="201">
        <v>153.390858294688</v>
      </c>
      <c r="H50" s="201">
        <v>2.3938558823529399</v>
      </c>
      <c r="I50" s="201">
        <v>2.622836414</v>
      </c>
      <c r="J50" s="201">
        <v>1.8190319619999999</v>
      </c>
      <c r="K50" s="201">
        <v>740</v>
      </c>
      <c r="L50" s="201">
        <v>1250</v>
      </c>
      <c r="M50" s="201">
        <v>1761.69</v>
      </c>
      <c r="N50" s="201">
        <v>587.24</v>
      </c>
      <c r="O50" s="201">
        <v>540.24</v>
      </c>
      <c r="P50" s="201">
        <v>359.35</v>
      </c>
      <c r="Q50" s="201">
        <v>745.55</v>
      </c>
      <c r="R50" s="201">
        <v>317.86</v>
      </c>
      <c r="S50" s="201">
        <v>838.02</v>
      </c>
      <c r="T50" s="201">
        <v>759</v>
      </c>
      <c r="U50" s="201">
        <v>115.176668709079</v>
      </c>
      <c r="V50" s="201">
        <v>158.25935999999999</v>
      </c>
      <c r="W50" s="201">
        <v>138.60005016</v>
      </c>
      <c r="X50" s="201">
        <v>531.79999999999995</v>
      </c>
      <c r="Y50" s="201">
        <v>422</v>
      </c>
      <c r="Z50" s="201">
        <v>287</v>
      </c>
      <c r="AA50" s="201">
        <v>413</v>
      </c>
      <c r="AB50" s="201">
        <v>179.3091096</v>
      </c>
      <c r="AC50" s="201">
        <v>220.1354096</v>
      </c>
      <c r="AD50" s="201">
        <v>1.0064389609833599</v>
      </c>
      <c r="AE50" s="201">
        <v>0.83020357812500001</v>
      </c>
      <c r="AF50" s="201">
        <v>0.76172000243692395</v>
      </c>
      <c r="AG50" s="201">
        <v>2.6565671000000002</v>
      </c>
      <c r="AH50" s="201">
        <v>1.91847869583333</v>
      </c>
      <c r="AI50" s="201">
        <v>9.7135557200000004</v>
      </c>
      <c r="AJ50" s="201">
        <v>0.5301947145</v>
      </c>
      <c r="AK50" s="201">
        <v>0.43594356299999998</v>
      </c>
      <c r="AL50" s="201">
        <v>0.25904284999999999</v>
      </c>
      <c r="AM50" s="201">
        <v>3775.49</v>
      </c>
      <c r="AN50" s="201">
        <v>1.2224617900000001</v>
      </c>
      <c r="AO50" s="201">
        <v>450</v>
      </c>
      <c r="AP50" s="201">
        <v>495</v>
      </c>
      <c r="AQ50" s="201">
        <v>405</v>
      </c>
      <c r="AR50" s="201">
        <v>240</v>
      </c>
      <c r="AS50" s="201">
        <v>546</v>
      </c>
      <c r="AT50" s="201">
        <v>1490.4290000000001</v>
      </c>
      <c r="AU50" s="201">
        <v>3071.9760000000001</v>
      </c>
    </row>
    <row r="51" spans="1:47" s="242" customFormat="1" ht="16.5" customHeight="1">
      <c r="A51" s="198" t="s">
        <v>1</v>
      </c>
      <c r="B51" s="241">
        <v>96.990453758462863</v>
      </c>
      <c r="C51" s="241">
        <v>97.63648418188086</v>
      </c>
      <c r="D51" s="241">
        <v>93.777133466076194</v>
      </c>
      <c r="E51" s="241">
        <v>99.557743627431591</v>
      </c>
      <c r="F51" s="241">
        <v>8.8572024107534979</v>
      </c>
      <c r="G51" s="241">
        <v>179.77797816995655</v>
      </c>
      <c r="H51" s="241">
        <v>2.5771163235294119</v>
      </c>
      <c r="I51" s="241">
        <v>3.0815994641666666</v>
      </c>
      <c r="J51" s="241">
        <v>2.3209137050000002</v>
      </c>
      <c r="K51" s="241">
        <v>1224</v>
      </c>
      <c r="L51" s="241">
        <v>1600.9933333333336</v>
      </c>
      <c r="M51" s="241">
        <v>2144.7399999999993</v>
      </c>
      <c r="N51" s="241">
        <v>1042.9233333333334</v>
      </c>
      <c r="O51" s="241">
        <v>1124.8808333333334</v>
      </c>
      <c r="P51" s="241">
        <v>521.87</v>
      </c>
      <c r="Q51" s="241">
        <v>1260.8108333333332</v>
      </c>
      <c r="R51" s="241">
        <v>442.13833333333332</v>
      </c>
      <c r="S51" s="241">
        <v>1326.0408333333335</v>
      </c>
      <c r="T51" s="241">
        <v>1498.9166666666667</v>
      </c>
      <c r="U51" s="241">
        <v>200.51552770252121</v>
      </c>
      <c r="V51" s="241">
        <v>223.11682773333337</v>
      </c>
      <c r="W51" s="241">
        <v>207.8307025334162</v>
      </c>
      <c r="X51" s="241">
        <v>650.1875</v>
      </c>
      <c r="Y51" s="241">
        <v>531.80714285714282</v>
      </c>
      <c r="Z51" s="241">
        <v>482.2763888888889</v>
      </c>
      <c r="AA51" s="241">
        <v>567.13242857142859</v>
      </c>
      <c r="AB51" s="241">
        <v>271.52032792915912</v>
      </c>
      <c r="AC51" s="241">
        <v>326.03004623959271</v>
      </c>
      <c r="AD51" s="241">
        <v>1.1877104776553329</v>
      </c>
      <c r="AE51" s="241">
        <v>0.84421254583333327</v>
      </c>
      <c r="AF51" s="241">
        <v>1.1073069830056346</v>
      </c>
      <c r="AG51" s="241">
        <v>3.2354084528333331</v>
      </c>
      <c r="AH51" s="241">
        <v>1.8654511244084233</v>
      </c>
      <c r="AI51" s="241">
        <v>10.512179315000001</v>
      </c>
      <c r="AJ51" s="241">
        <v>0.69692696843864088</v>
      </c>
      <c r="AK51" s="241">
        <v>0.46858230142232388</v>
      </c>
      <c r="AL51" s="241">
        <v>0.28213624450000002</v>
      </c>
      <c r="AM51" s="241">
        <v>3588.7408333333333</v>
      </c>
      <c r="AN51" s="241">
        <v>1.5739062131746033</v>
      </c>
      <c r="AO51" s="241">
        <v>242.73958333333334</v>
      </c>
      <c r="AP51" s="241">
        <v>861.61874999999998</v>
      </c>
      <c r="AQ51" s="241">
        <v>879.38125000000002</v>
      </c>
      <c r="AR51" s="241">
        <v>514.97916666666663</v>
      </c>
      <c r="AS51" s="241">
        <v>455.96875</v>
      </c>
      <c r="AT51" s="241">
        <v>2572.7891666666669</v>
      </c>
      <c r="AU51" s="241">
        <v>6955.8798333333325</v>
      </c>
    </row>
    <row r="52" spans="1:47" s="242" customFormat="1" ht="16.5" customHeight="1">
      <c r="A52" s="198" t="s">
        <v>172</v>
      </c>
      <c r="B52" s="241">
        <v>36.382377196762164</v>
      </c>
      <c r="C52" s="241">
        <v>34.307603104106562</v>
      </c>
      <c r="D52" s="241">
        <v>37.163128810285784</v>
      </c>
      <c r="E52" s="241">
        <v>37.730507791705968</v>
      </c>
      <c r="F52" s="241">
        <v>26.8585644303176</v>
      </c>
      <c r="G52" s="241">
        <v>37.592125260936712</v>
      </c>
      <c r="H52" s="241">
        <v>32.006199891041653</v>
      </c>
      <c r="I52" s="241">
        <v>13.140286265463331</v>
      </c>
      <c r="J52" s="241">
        <v>21.565834929127515</v>
      </c>
      <c r="K52" s="241">
        <v>33.20636648075093</v>
      </c>
      <c r="L52" s="241">
        <v>28.3307056537917</v>
      </c>
      <c r="M52" s="241">
        <v>55.965305329702922</v>
      </c>
      <c r="N52" s="241">
        <v>27.701770568884054</v>
      </c>
      <c r="O52" s="241">
        <v>26.618021435418893</v>
      </c>
      <c r="P52" s="241">
        <v>36.221733039823903</v>
      </c>
      <c r="Q52" s="241">
        <v>42.294604934974032</v>
      </c>
      <c r="R52" s="241">
        <v>37.336698375719912</v>
      </c>
      <c r="S52" s="241">
        <v>37.523529177909111</v>
      </c>
      <c r="T52" s="241">
        <v>46.67699584114817</v>
      </c>
      <c r="U52" s="241">
        <v>16.320983720199433</v>
      </c>
      <c r="V52" s="241">
        <v>36.325386818795046</v>
      </c>
      <c r="W52" s="241">
        <v>27.743619448283894</v>
      </c>
      <c r="X52" s="241">
        <v>99.180108155945376</v>
      </c>
      <c r="Y52" s="241">
        <v>73.50888515873271</v>
      </c>
      <c r="Z52" s="241">
        <v>77.101311789787232</v>
      </c>
      <c r="AA52" s="241">
        <v>83.896064480055912</v>
      </c>
      <c r="AB52" s="241">
        <v>13.803167274052663</v>
      </c>
      <c r="AC52" s="241">
        <v>27.751661433546971</v>
      </c>
      <c r="AD52" s="241">
        <v>14.532398896741316</v>
      </c>
      <c r="AE52" s="241">
        <v>24.91831951153749</v>
      </c>
      <c r="AF52" s="241">
        <v>15.744658936286715</v>
      </c>
      <c r="AG52" s="241">
        <v>20.035852554664913</v>
      </c>
      <c r="AH52" s="241">
        <v>8.2305892012547446</v>
      </c>
      <c r="AI52" s="241">
        <v>8.6017423652893434</v>
      </c>
      <c r="AJ52" s="241">
        <v>2.3518398178705047</v>
      </c>
      <c r="AK52" s="241">
        <v>2.3674176097347122</v>
      </c>
      <c r="AL52" s="241">
        <v>27.001323188885241</v>
      </c>
      <c r="AM52" s="241">
        <v>8.255791504820964</v>
      </c>
      <c r="AN52" s="241">
        <v>12.812119843987112</v>
      </c>
      <c r="AO52" s="241">
        <v>366.6199439327192</v>
      </c>
      <c r="AP52" s="241">
        <v>119.82173039512705</v>
      </c>
      <c r="AQ52" s="241">
        <v>159.36305654209627</v>
      </c>
      <c r="AR52" s="241">
        <v>67.686863319275915</v>
      </c>
      <c r="AS52" s="241">
        <v>133.33155650319833</v>
      </c>
      <c r="AT52" s="241">
        <v>-2.4786034559820869</v>
      </c>
      <c r="AU52" s="241">
        <v>-2.2807110460761892</v>
      </c>
    </row>
    <row r="53" spans="1:47" s="7" customFormat="1" ht="16.5" customHeight="1">
      <c r="A53" s="288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</row>
    <row r="54" spans="1:47" s="7" customFormat="1" ht="16.5" customHeight="1">
      <c r="A54" s="292">
        <v>2009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</row>
    <row r="55" spans="1:47" s="7" customFormat="1" ht="16.5" customHeight="1">
      <c r="A55" s="288" t="s">
        <v>3</v>
      </c>
      <c r="B55" s="201">
        <v>43.855214285714297</v>
      </c>
      <c r="C55" s="201">
        <v>44.86</v>
      </c>
      <c r="D55" s="201">
        <v>44.967142857142903</v>
      </c>
      <c r="E55" s="201">
        <v>41.738500000000002</v>
      </c>
      <c r="F55" s="201">
        <v>5.2413999999999996</v>
      </c>
      <c r="G55" s="201">
        <v>138.29190146841199</v>
      </c>
      <c r="H55" s="201">
        <v>2.6259228819999998</v>
      </c>
      <c r="I55" s="201">
        <v>2.8285274600000001</v>
      </c>
      <c r="J55" s="201">
        <v>1.8241025879999999</v>
      </c>
      <c r="K55" s="201">
        <v>734</v>
      </c>
      <c r="L55" s="201">
        <v>1195.45</v>
      </c>
      <c r="M55" s="201">
        <v>1619.87</v>
      </c>
      <c r="N55" s="201">
        <v>658.55</v>
      </c>
      <c r="O55" s="201">
        <v>556</v>
      </c>
      <c r="P55" s="201">
        <v>400.92</v>
      </c>
      <c r="Q55" s="201">
        <v>789.89</v>
      </c>
      <c r="R55" s="201">
        <v>382.67</v>
      </c>
      <c r="S55" s="201">
        <v>831.74</v>
      </c>
      <c r="T55" s="201">
        <v>817</v>
      </c>
      <c r="U55" s="201">
        <v>121.394982195765</v>
      </c>
      <c r="V55" s="201">
        <v>172.82552000000001</v>
      </c>
      <c r="W55" s="201">
        <v>153.25636392000001</v>
      </c>
      <c r="X55" s="201">
        <v>580</v>
      </c>
      <c r="Y55" s="201">
        <v>464</v>
      </c>
      <c r="Z55" s="201">
        <v>318.60000000000002</v>
      </c>
      <c r="AA55" s="201">
        <v>386.79</v>
      </c>
      <c r="AB55" s="201">
        <v>195.1088877</v>
      </c>
      <c r="AC55" s="201">
        <v>239.11426721842099</v>
      </c>
      <c r="AD55" s="201">
        <v>1.0277110227505299</v>
      </c>
      <c r="AE55" s="201">
        <v>0.81986909375000006</v>
      </c>
      <c r="AF55" s="201">
        <v>0.78288590259399105</v>
      </c>
      <c r="AG55" s="201">
        <v>2.6360641340000002</v>
      </c>
      <c r="AH55" s="201">
        <v>1.92353095</v>
      </c>
      <c r="AI55" s="201">
        <v>9.7378065399999993</v>
      </c>
      <c r="AJ55" s="201">
        <v>0.5230983615</v>
      </c>
      <c r="AK55" s="201">
        <v>0.44417581449999999</v>
      </c>
      <c r="AL55" s="201">
        <v>0.27756165799999999</v>
      </c>
      <c r="AM55" s="201">
        <v>3828.99166666667</v>
      </c>
      <c r="AN55" s="201">
        <v>1.2720657399999999</v>
      </c>
      <c r="AO55" s="201">
        <v>450</v>
      </c>
      <c r="AP55" s="201">
        <v>308.875</v>
      </c>
      <c r="AQ55" s="201">
        <v>350</v>
      </c>
      <c r="AR55" s="201">
        <v>273.75</v>
      </c>
      <c r="AS55" s="201">
        <v>546</v>
      </c>
      <c r="AT55" s="201">
        <v>1413.1189999999999</v>
      </c>
      <c r="AU55" s="201">
        <v>3220.69</v>
      </c>
    </row>
    <row r="56" spans="1:47" s="242" customFormat="1" ht="16.5" customHeight="1">
      <c r="A56" s="288" t="s">
        <v>4</v>
      </c>
      <c r="B56" s="201">
        <v>41.843675438596499</v>
      </c>
      <c r="C56" s="201">
        <v>43.2425</v>
      </c>
      <c r="D56" s="201">
        <v>43.137999999999998</v>
      </c>
      <c r="E56" s="201">
        <v>39.150526315789499</v>
      </c>
      <c r="F56" s="201">
        <v>4.5190000000000001</v>
      </c>
      <c r="G56" s="201">
        <v>114.486995466671</v>
      </c>
      <c r="H56" s="201">
        <v>2.6475281580000001</v>
      </c>
      <c r="I56" s="201">
        <v>2.8545419760000001</v>
      </c>
      <c r="J56" s="201">
        <v>1.768546164</v>
      </c>
      <c r="K56" s="201">
        <v>673</v>
      </c>
      <c r="L56" s="201">
        <v>1110</v>
      </c>
      <c r="M56" s="201">
        <v>1543.24</v>
      </c>
      <c r="N56" s="201">
        <v>655.66</v>
      </c>
      <c r="O56" s="201">
        <v>565.25</v>
      </c>
      <c r="P56" s="201">
        <v>374.45</v>
      </c>
      <c r="Q56" s="201">
        <v>747.64</v>
      </c>
      <c r="R56" s="201">
        <v>396</v>
      </c>
      <c r="S56" s="201">
        <v>802.4</v>
      </c>
      <c r="T56" s="201">
        <v>805</v>
      </c>
      <c r="U56" s="201">
        <v>112.534375758211</v>
      </c>
      <c r="V56" s="201">
        <v>163.37719999999999</v>
      </c>
      <c r="W56" s="201">
        <v>144.12923712</v>
      </c>
      <c r="X56" s="201">
        <v>590.75</v>
      </c>
      <c r="Y56" s="201">
        <v>472.75</v>
      </c>
      <c r="Z56" s="201">
        <v>319.5</v>
      </c>
      <c r="AA56" s="201">
        <v>418.09333333333302</v>
      </c>
      <c r="AB56" s="201">
        <v>183.3509133</v>
      </c>
      <c r="AC56" s="201">
        <v>224.68754204999999</v>
      </c>
      <c r="AD56" s="201">
        <v>1.0671496649168499</v>
      </c>
      <c r="AE56" s="201">
        <v>0.94388290625000004</v>
      </c>
      <c r="AF56" s="201">
        <v>0.76646124725887699</v>
      </c>
      <c r="AG56" s="201">
        <v>2.5359743859999999</v>
      </c>
      <c r="AH56" s="201">
        <v>1.9114055400000001</v>
      </c>
      <c r="AI56" s="201">
        <v>9.9207900000000002</v>
      </c>
      <c r="AJ56" s="201">
        <v>0.504867803</v>
      </c>
      <c r="AK56" s="201">
        <v>0.43494831947368401</v>
      </c>
      <c r="AL56" s="201">
        <v>0.29255307400000002</v>
      </c>
      <c r="AM56" s="201">
        <v>4097.5</v>
      </c>
      <c r="AN56" s="201">
        <v>1.2169502400000001</v>
      </c>
      <c r="AO56" s="201">
        <v>450</v>
      </c>
      <c r="AP56" s="201">
        <v>313.75</v>
      </c>
      <c r="AQ56" s="201">
        <v>320</v>
      </c>
      <c r="AR56" s="201">
        <v>281.25</v>
      </c>
      <c r="AS56" s="201">
        <v>580.125</v>
      </c>
      <c r="AT56" s="201">
        <v>1330.2</v>
      </c>
      <c r="AU56" s="201">
        <v>3314.7249999999999</v>
      </c>
    </row>
    <row r="57" spans="1:47" s="242" customFormat="1" ht="16.5" customHeight="1">
      <c r="A57" s="288" t="s">
        <v>5</v>
      </c>
      <c r="B57" s="201">
        <v>46.645303030302998</v>
      </c>
      <c r="C57" s="201">
        <v>46.839090909090899</v>
      </c>
      <c r="D57" s="201">
        <v>45.5759090909091</v>
      </c>
      <c r="E57" s="201">
        <v>47.5209090909091</v>
      </c>
      <c r="F57" s="201">
        <v>3.9502000000000002</v>
      </c>
      <c r="G57" s="201">
        <v>106.209694932102</v>
      </c>
      <c r="H57" s="201">
        <v>2.5099598699999999</v>
      </c>
      <c r="I57" s="201">
        <v>2.8333776240000002</v>
      </c>
      <c r="J57" s="201">
        <v>1.6823455220000001</v>
      </c>
      <c r="K57" s="201">
        <v>625</v>
      </c>
      <c r="L57" s="201">
        <v>1100</v>
      </c>
      <c r="M57" s="201">
        <v>1535.22</v>
      </c>
      <c r="N57" s="201">
        <v>660.48</v>
      </c>
      <c r="O57" s="201">
        <v>586.25</v>
      </c>
      <c r="P57" s="201">
        <v>372.75</v>
      </c>
      <c r="Q57" s="201">
        <v>730.71</v>
      </c>
      <c r="R57" s="201">
        <v>366.91</v>
      </c>
      <c r="S57" s="201">
        <v>776.9</v>
      </c>
      <c r="T57" s="201">
        <v>757</v>
      </c>
      <c r="U57" s="201">
        <v>114.84506035755101</v>
      </c>
      <c r="V57" s="201">
        <v>164.55824000000001</v>
      </c>
      <c r="W57" s="201">
        <v>138.58902706000001</v>
      </c>
      <c r="X57" s="201">
        <v>588.25</v>
      </c>
      <c r="Y57" s="201">
        <v>471.5</v>
      </c>
      <c r="Z57" s="201">
        <v>332</v>
      </c>
      <c r="AA57" s="201" t="s">
        <v>267</v>
      </c>
      <c r="AB57" s="201">
        <v>183.71834999999999</v>
      </c>
      <c r="AC57" s="201">
        <v>230.98173272099999</v>
      </c>
      <c r="AD57" s="201">
        <v>1.33094357266542</v>
      </c>
      <c r="AE57" s="201">
        <v>0.90943462500000005</v>
      </c>
      <c r="AF57" s="201">
        <v>0.84705326175231899</v>
      </c>
      <c r="AG57" s="201">
        <v>2.6129156240000002</v>
      </c>
      <c r="AH57" s="201">
        <v>1.8900376846153799</v>
      </c>
      <c r="AI57" s="201">
        <v>10.031021000000001</v>
      </c>
      <c r="AJ57" s="201">
        <v>0.51533731999999999</v>
      </c>
      <c r="AK57" s="201">
        <v>0.43548259700000003</v>
      </c>
      <c r="AL57" s="201">
        <v>0.29541908</v>
      </c>
      <c r="AM57" s="201">
        <v>4203.6000000000004</v>
      </c>
      <c r="AN57" s="201">
        <v>1.1353793000000001</v>
      </c>
      <c r="AO57" s="201">
        <v>450</v>
      </c>
      <c r="AP57" s="201">
        <v>317.8</v>
      </c>
      <c r="AQ57" s="201">
        <v>295</v>
      </c>
      <c r="AR57" s="201">
        <v>268.5</v>
      </c>
      <c r="AS57" s="201">
        <v>682.5</v>
      </c>
      <c r="AT57" s="201">
        <v>1335.8409999999999</v>
      </c>
      <c r="AU57" s="201">
        <v>3749.75</v>
      </c>
    </row>
    <row r="58" spans="1:47" s="7" customFormat="1" ht="16.5" customHeight="1">
      <c r="A58" s="288" t="s">
        <v>6</v>
      </c>
      <c r="B58" s="201">
        <v>50.278095238095197</v>
      </c>
      <c r="C58" s="201">
        <v>50.845238095238102</v>
      </c>
      <c r="D58" s="201">
        <v>50.18</v>
      </c>
      <c r="E58" s="201">
        <v>49.809047619047597</v>
      </c>
      <c r="F58" s="201">
        <v>3.4998</v>
      </c>
      <c r="G58" s="201">
        <v>88.456933772345593</v>
      </c>
      <c r="H58" s="201">
        <v>2.55515458</v>
      </c>
      <c r="I58" s="201">
        <v>2.9735914559999999</v>
      </c>
      <c r="J58" s="201">
        <v>1.665149486</v>
      </c>
      <c r="K58" s="201">
        <v>747</v>
      </c>
      <c r="L58" s="201">
        <v>1100</v>
      </c>
      <c r="M58" s="201">
        <v>1433</v>
      </c>
      <c r="N58" s="201">
        <v>799.7</v>
      </c>
      <c r="O58" s="201">
        <v>713.5</v>
      </c>
      <c r="P58" s="201">
        <v>387.55</v>
      </c>
      <c r="Q58" s="201">
        <v>809.08</v>
      </c>
      <c r="R58" s="201">
        <v>395.57</v>
      </c>
      <c r="S58" s="201">
        <v>830.19</v>
      </c>
      <c r="T58" s="201">
        <v>843</v>
      </c>
      <c r="U58" s="201">
        <v>111.2902032696</v>
      </c>
      <c r="V58" s="201">
        <v>168.49503999999999</v>
      </c>
      <c r="W58" s="201">
        <v>154.14482577999999</v>
      </c>
      <c r="X58" s="201">
        <v>549.66666666666697</v>
      </c>
      <c r="Y58" s="201">
        <v>446</v>
      </c>
      <c r="Z58" s="201">
        <v>335.66666666666703</v>
      </c>
      <c r="AA58" s="201">
        <v>430</v>
      </c>
      <c r="AB58" s="201">
        <v>182.6160399</v>
      </c>
      <c r="AC58" s="201">
        <v>233.473128516857</v>
      </c>
      <c r="AD58" s="201">
        <v>1.29158948728333</v>
      </c>
      <c r="AE58" s="201">
        <v>0.8901435875</v>
      </c>
      <c r="AF58" s="201">
        <v>0.90452286280135497</v>
      </c>
      <c r="AG58" s="201">
        <v>2.6373869060000001</v>
      </c>
      <c r="AH58" s="201">
        <v>1.8824063076923101</v>
      </c>
      <c r="AI58" s="201">
        <v>10.031021000000001</v>
      </c>
      <c r="AJ58" s="201">
        <v>0.52088494699999999</v>
      </c>
      <c r="AK58" s="201">
        <v>0.468261288</v>
      </c>
      <c r="AL58" s="201">
        <v>0.30093062999999998</v>
      </c>
      <c r="AM58" s="201">
        <v>4191.1750000000002</v>
      </c>
      <c r="AN58" s="201">
        <v>1.2522241599999999</v>
      </c>
      <c r="AO58" s="201">
        <v>315</v>
      </c>
      <c r="AP58" s="201">
        <v>300.625</v>
      </c>
      <c r="AQ58" s="201">
        <v>278</v>
      </c>
      <c r="AR58" s="201">
        <v>245.625</v>
      </c>
      <c r="AS58" s="201">
        <v>682.5</v>
      </c>
      <c r="AT58" s="201">
        <v>1420.85</v>
      </c>
      <c r="AU58" s="201">
        <v>4406.55</v>
      </c>
    </row>
    <row r="59" spans="1:47" s="7" customFormat="1" ht="16.5" customHeight="1">
      <c r="A59" s="288" t="s">
        <v>7</v>
      </c>
      <c r="B59" s="201">
        <v>58.153888888888901</v>
      </c>
      <c r="C59" s="201">
        <v>57.940952380952403</v>
      </c>
      <c r="D59" s="201">
        <v>57.395714285714298</v>
      </c>
      <c r="E59" s="201">
        <v>59.125</v>
      </c>
      <c r="F59" s="201">
        <v>3.81</v>
      </c>
      <c r="G59" s="201">
        <v>89.807093329914807</v>
      </c>
      <c r="H59" s="201">
        <v>2.480858886</v>
      </c>
      <c r="I59" s="201">
        <v>3.3287557379999999</v>
      </c>
      <c r="J59" s="201">
        <v>1.667133644</v>
      </c>
      <c r="K59" s="201">
        <v>842.5</v>
      </c>
      <c r="L59" s="201">
        <v>1100</v>
      </c>
      <c r="M59" s="201">
        <v>1406.55</v>
      </c>
      <c r="N59" s="201">
        <v>872.61</v>
      </c>
      <c r="O59" s="201">
        <v>826.84</v>
      </c>
      <c r="P59" s="201">
        <v>425.72</v>
      </c>
      <c r="Q59" s="201">
        <v>889.62</v>
      </c>
      <c r="R59" s="201">
        <v>447.37</v>
      </c>
      <c r="S59" s="201">
        <v>947.07</v>
      </c>
      <c r="T59" s="201">
        <v>941</v>
      </c>
      <c r="U59" s="201">
        <v>128.70362325136901</v>
      </c>
      <c r="V59" s="201">
        <v>179.91175999999999</v>
      </c>
      <c r="W59" s="201">
        <v>160.08407206000001</v>
      </c>
      <c r="X59" s="201">
        <v>533</v>
      </c>
      <c r="Y59" s="201">
        <v>454</v>
      </c>
      <c r="Z59" s="201">
        <v>322.39999999999998</v>
      </c>
      <c r="AA59" s="201">
        <v>405.17750000000001</v>
      </c>
      <c r="AB59" s="201">
        <v>202.4576217</v>
      </c>
      <c r="AC59" s="201">
        <v>261.48173459625002</v>
      </c>
      <c r="AD59" s="201">
        <v>1.2867547096937499</v>
      </c>
      <c r="AE59" s="201">
        <v>0.83020357812500001</v>
      </c>
      <c r="AF59" s="201">
        <v>0.88823791277808295</v>
      </c>
      <c r="AG59" s="201">
        <v>2.7244693959999999</v>
      </c>
      <c r="AH59" s="201">
        <v>1.91717146923077</v>
      </c>
      <c r="AI59" s="201">
        <v>9.8789022200000005</v>
      </c>
      <c r="AJ59" s="201">
        <v>0.53835024571428602</v>
      </c>
      <c r="AK59" s="201">
        <v>0.47676009809999997</v>
      </c>
      <c r="AL59" s="201">
        <v>0.35362104799999999</v>
      </c>
      <c r="AM59" s="201">
        <v>4226.7250000000004</v>
      </c>
      <c r="AN59" s="201">
        <v>1.36576209</v>
      </c>
      <c r="AO59" s="201">
        <v>270</v>
      </c>
      <c r="AP59" s="201">
        <v>267.875</v>
      </c>
      <c r="AQ59" s="201">
        <v>245</v>
      </c>
      <c r="AR59" s="201">
        <v>236.25</v>
      </c>
      <c r="AS59" s="201">
        <v>682.5</v>
      </c>
      <c r="AT59" s="201">
        <v>1460.4469999999999</v>
      </c>
      <c r="AU59" s="201">
        <v>4568.6319999999996</v>
      </c>
    </row>
    <row r="60" spans="1:47" s="8" customFormat="1">
      <c r="A60" s="288" t="s">
        <v>8</v>
      </c>
      <c r="B60" s="201">
        <v>69.149696969697004</v>
      </c>
      <c r="C60" s="201">
        <v>68.616818181818203</v>
      </c>
      <c r="D60" s="201">
        <v>69.210909090909098</v>
      </c>
      <c r="E60" s="201">
        <v>69.621363636363697</v>
      </c>
      <c r="F60" s="201">
        <v>3.8043</v>
      </c>
      <c r="G60" s="201">
        <v>88.855521860920504</v>
      </c>
      <c r="H60" s="201">
        <v>2.7004390379999998</v>
      </c>
      <c r="I60" s="201">
        <v>3.302300298</v>
      </c>
      <c r="J60" s="201">
        <v>1.6267890979999999</v>
      </c>
      <c r="K60" s="201">
        <v>747</v>
      </c>
      <c r="L60" s="201">
        <v>1100</v>
      </c>
      <c r="M60" s="201">
        <v>1338.81</v>
      </c>
      <c r="N60" s="201">
        <v>788.57</v>
      </c>
      <c r="O60" s="201">
        <v>732.62</v>
      </c>
      <c r="P60" s="201">
        <v>442.09</v>
      </c>
      <c r="Q60" s="201">
        <v>892.92</v>
      </c>
      <c r="R60" s="201">
        <v>460.14</v>
      </c>
      <c r="S60" s="201">
        <v>917.18</v>
      </c>
      <c r="T60" s="201">
        <v>907</v>
      </c>
      <c r="U60" s="201">
        <v>148.588368153586</v>
      </c>
      <c r="V60" s="201">
        <v>179.51808</v>
      </c>
      <c r="W60" s="201">
        <v>153.04251578</v>
      </c>
      <c r="X60" s="201">
        <v>574.5</v>
      </c>
      <c r="Y60" s="201">
        <v>476</v>
      </c>
      <c r="Z60" s="201">
        <v>320.75</v>
      </c>
      <c r="AA60" s="201">
        <v>404.28500000000003</v>
      </c>
      <c r="AB60" s="201">
        <v>201.72274830000001</v>
      </c>
      <c r="AC60" s="201">
        <v>256.64493149079499</v>
      </c>
      <c r="AD60" s="201">
        <v>1.2842793347999999</v>
      </c>
      <c r="AE60" s="201">
        <v>0.85431737500000005</v>
      </c>
      <c r="AF60" s="201">
        <v>0.81611932533577802</v>
      </c>
      <c r="AG60" s="201">
        <v>2.7447518999999998</v>
      </c>
      <c r="AH60" s="201">
        <v>1.94388128846154</v>
      </c>
      <c r="AI60" s="201">
        <v>9.5526184599999997</v>
      </c>
      <c r="AJ60" s="201">
        <v>0.55350979</v>
      </c>
      <c r="AK60" s="201">
        <v>0.49153005</v>
      </c>
      <c r="AL60" s="201">
        <v>0.36221906599999998</v>
      </c>
      <c r="AM60" s="201">
        <v>4245.0916666666699</v>
      </c>
      <c r="AN60" s="201">
        <v>1.3536366799999999</v>
      </c>
      <c r="AO60" s="201">
        <v>198</v>
      </c>
      <c r="AP60" s="201">
        <v>256.10000000000002</v>
      </c>
      <c r="AQ60" s="201">
        <v>220</v>
      </c>
      <c r="AR60" s="201">
        <v>239.7</v>
      </c>
      <c r="AS60" s="201">
        <v>682.5</v>
      </c>
      <c r="AT60" s="201">
        <v>1573.7270000000001</v>
      </c>
      <c r="AU60" s="201">
        <v>5013.9549999999999</v>
      </c>
    </row>
    <row r="61" spans="1:47" s="8" customFormat="1">
      <c r="A61" s="288" t="s">
        <v>9</v>
      </c>
      <c r="B61" s="201">
        <v>64.666673254281903</v>
      </c>
      <c r="C61" s="201">
        <v>64.91</v>
      </c>
      <c r="D61" s="201">
        <v>64.969565217391306</v>
      </c>
      <c r="E61" s="201">
        <v>64.120454545454507</v>
      </c>
      <c r="F61" s="201">
        <v>3.3902000000000001</v>
      </c>
      <c r="G61" s="201">
        <v>77.992539266673006</v>
      </c>
      <c r="H61" s="201">
        <v>2.7912693819999999</v>
      </c>
      <c r="I61" s="201">
        <v>3.10630958</v>
      </c>
      <c r="J61" s="201">
        <v>1.5802716160000001</v>
      </c>
      <c r="K61" s="201">
        <v>685</v>
      </c>
      <c r="L61" s="201">
        <v>1100</v>
      </c>
      <c r="M61" s="201">
        <v>1322.77</v>
      </c>
      <c r="N61" s="201">
        <v>698.48</v>
      </c>
      <c r="O61" s="201">
        <v>663.91</v>
      </c>
      <c r="P61" s="201">
        <v>430.61</v>
      </c>
      <c r="Q61" s="201">
        <v>846.3</v>
      </c>
      <c r="R61" s="201">
        <v>440.22</v>
      </c>
      <c r="S61" s="201">
        <v>851.56</v>
      </c>
      <c r="T61" s="201">
        <v>804</v>
      </c>
      <c r="U61" s="201">
        <v>140.306700780516</v>
      </c>
      <c r="V61" s="201">
        <v>151.5668</v>
      </c>
      <c r="W61" s="201">
        <v>133.80059241999999</v>
      </c>
      <c r="X61" s="201">
        <v>572</v>
      </c>
      <c r="Y61" s="201">
        <v>463.5</v>
      </c>
      <c r="Z61" s="201">
        <v>320.25</v>
      </c>
      <c r="AA61" s="201">
        <v>410.22800000000001</v>
      </c>
      <c r="AB61" s="201">
        <v>175.63474260000001</v>
      </c>
      <c r="AC61" s="201">
        <v>224.85038331477301</v>
      </c>
      <c r="AD61" s="201">
        <v>1.1465831788400001</v>
      </c>
      <c r="AE61" s="201">
        <v>0.82675874999999999</v>
      </c>
      <c r="AF61" s="201">
        <v>0.71535925366997899</v>
      </c>
      <c r="AG61" s="201">
        <v>2.7923716920000001</v>
      </c>
      <c r="AH61" s="201">
        <v>1.9524665875</v>
      </c>
      <c r="AI61" s="201">
        <v>9.0521697200000002</v>
      </c>
      <c r="AJ61" s="201">
        <v>0.55632310130434803</v>
      </c>
      <c r="AK61" s="201">
        <v>0.50739329300000002</v>
      </c>
      <c r="AL61" s="201">
        <v>0.40631146600000001</v>
      </c>
      <c r="AM61" s="201">
        <v>4238.8583333333299</v>
      </c>
      <c r="AN61" s="201">
        <v>1.42859376</v>
      </c>
      <c r="AO61" s="201">
        <v>90</v>
      </c>
      <c r="AP61" s="201">
        <v>263.25</v>
      </c>
      <c r="AQ61" s="201">
        <v>224</v>
      </c>
      <c r="AR61" s="201">
        <v>243.75</v>
      </c>
      <c r="AS61" s="201">
        <v>615.625</v>
      </c>
      <c r="AT61" s="201">
        <v>1667.9570000000001</v>
      </c>
      <c r="AU61" s="201">
        <v>5215.5429999999997</v>
      </c>
    </row>
    <row r="62" spans="1:47" s="8" customFormat="1">
      <c r="A62" s="288" t="s">
        <v>10</v>
      </c>
      <c r="B62" s="201">
        <v>71.629682539682506</v>
      </c>
      <c r="C62" s="201">
        <v>72.504761904761907</v>
      </c>
      <c r="D62" s="201">
        <v>71.324285714285693</v>
      </c>
      <c r="E62" s="201">
        <v>71.06</v>
      </c>
      <c r="F62" s="201">
        <v>3.1478999999999999</v>
      </c>
      <c r="G62" s="201">
        <v>76.380966851268596</v>
      </c>
      <c r="H62" s="201">
        <v>2.9566158819999999</v>
      </c>
      <c r="I62" s="201">
        <v>3.301638912</v>
      </c>
      <c r="J62" s="201">
        <v>1.5950425699999999</v>
      </c>
      <c r="K62" s="201">
        <v>747</v>
      </c>
      <c r="L62" s="201">
        <v>1119.05</v>
      </c>
      <c r="M62" s="201">
        <v>1310.18</v>
      </c>
      <c r="N62" s="201">
        <v>746.05</v>
      </c>
      <c r="O62" s="201">
        <v>726.19</v>
      </c>
      <c r="P62" s="201">
        <v>497.53</v>
      </c>
      <c r="Q62" s="201">
        <v>903.15</v>
      </c>
      <c r="R62" s="201">
        <v>453.19</v>
      </c>
      <c r="S62" s="201">
        <v>884.24</v>
      </c>
      <c r="T62" s="201">
        <v>820</v>
      </c>
      <c r="U62" s="201">
        <v>122.24774857563</v>
      </c>
      <c r="V62" s="201">
        <v>151.96047999999999</v>
      </c>
      <c r="W62" s="201">
        <v>142.37215498</v>
      </c>
      <c r="X62" s="201">
        <v>526.25</v>
      </c>
      <c r="Y62" s="201">
        <v>432.75</v>
      </c>
      <c r="Z62" s="201">
        <v>305.5</v>
      </c>
      <c r="AA62" s="201">
        <v>395.71749999999997</v>
      </c>
      <c r="AB62" s="201">
        <v>161.67214799999999</v>
      </c>
      <c r="AC62" s="201">
        <v>210.37290809742899</v>
      </c>
      <c r="AD62" s="201">
        <v>1.0763685120374999</v>
      </c>
      <c r="AE62" s="201">
        <v>0.83364840625000003</v>
      </c>
      <c r="AF62" s="201">
        <v>0.83629003698078097</v>
      </c>
      <c r="AG62" s="201">
        <v>2.7956786220000001</v>
      </c>
      <c r="AH62" s="201">
        <v>1.9130088999999999</v>
      </c>
      <c r="AI62" s="201">
        <v>8.3356682200000005</v>
      </c>
      <c r="AJ62" s="201">
        <v>0.56344331999999997</v>
      </c>
      <c r="AK62" s="201">
        <v>0.57464995028571397</v>
      </c>
      <c r="AL62" s="201">
        <v>0.49471672799999999</v>
      </c>
      <c r="AM62" s="201">
        <v>4272.5583333333298</v>
      </c>
      <c r="AN62" s="201">
        <v>1.4164683499999999</v>
      </c>
      <c r="AO62" s="201">
        <v>90</v>
      </c>
      <c r="AP62" s="201">
        <v>276.39999999999998</v>
      </c>
      <c r="AQ62" s="201">
        <v>225</v>
      </c>
      <c r="AR62" s="201">
        <v>251.5</v>
      </c>
      <c r="AS62" s="201">
        <v>530</v>
      </c>
      <c r="AT62" s="201">
        <v>1933.75</v>
      </c>
      <c r="AU62" s="201">
        <v>6165.3</v>
      </c>
    </row>
    <row r="63" spans="1:47" s="8" customFormat="1">
      <c r="A63" s="288" t="s">
        <v>11</v>
      </c>
      <c r="B63" s="201">
        <v>68.346111111111099</v>
      </c>
      <c r="C63" s="201">
        <v>67.686818181818197</v>
      </c>
      <c r="D63" s="201">
        <v>67.908181818181802</v>
      </c>
      <c r="E63" s="201">
        <v>69.4433333333333</v>
      </c>
      <c r="F63" s="201">
        <v>2.9615999999999998</v>
      </c>
      <c r="G63" s="201">
        <v>75.564136766865403</v>
      </c>
      <c r="H63" s="201">
        <v>3.1429062719999998</v>
      </c>
      <c r="I63" s="201">
        <v>3.2745220860000002</v>
      </c>
      <c r="J63" s="201">
        <v>1.6274504839999999</v>
      </c>
      <c r="K63" s="201">
        <v>701</v>
      </c>
      <c r="L63" s="201">
        <v>1150</v>
      </c>
      <c r="M63" s="201">
        <v>1232.58</v>
      </c>
      <c r="N63" s="201">
        <v>703.85</v>
      </c>
      <c r="O63" s="201">
        <v>700.68</v>
      </c>
      <c r="P63" s="201">
        <v>425.01</v>
      </c>
      <c r="Q63" s="201">
        <v>858.18</v>
      </c>
      <c r="R63" s="201">
        <v>440.95</v>
      </c>
      <c r="S63" s="201">
        <v>855.36</v>
      </c>
      <c r="T63" s="201">
        <v>809</v>
      </c>
      <c r="U63" s="201">
        <v>103.466483618027</v>
      </c>
      <c r="V63" s="201">
        <v>150.38576</v>
      </c>
      <c r="W63" s="201">
        <v>141.82981846000001</v>
      </c>
      <c r="X63" s="201">
        <v>518.75</v>
      </c>
      <c r="Y63" s="201">
        <v>428</v>
      </c>
      <c r="Z63" s="201">
        <v>303.25</v>
      </c>
      <c r="AA63" s="201">
        <v>392.858</v>
      </c>
      <c r="AB63" s="201">
        <v>158.36521769999999</v>
      </c>
      <c r="AC63" s="201">
        <v>191.09332947857101</v>
      </c>
      <c r="AD63" s="201">
        <v>1.130316941325</v>
      </c>
      <c r="AE63" s="201">
        <v>0.81849116249999998</v>
      </c>
      <c r="AF63" s="201">
        <v>1.030946694384</v>
      </c>
      <c r="AG63" s="201">
        <v>2.8137565059999998</v>
      </c>
      <c r="AH63" s="201">
        <v>1.8711712250000001</v>
      </c>
      <c r="AI63" s="201">
        <v>7.81317328</v>
      </c>
      <c r="AJ63" s="201">
        <v>0.54300342000000001</v>
      </c>
      <c r="AK63" s="201">
        <v>0.63736614019047599</v>
      </c>
      <c r="AL63" s="201">
        <v>0.508385372</v>
      </c>
      <c r="AM63" s="201">
        <v>4300.3500000000004</v>
      </c>
      <c r="AN63" s="201">
        <v>1.41205911</v>
      </c>
      <c r="AO63" s="201">
        <v>90</v>
      </c>
      <c r="AP63" s="201">
        <v>280.625</v>
      </c>
      <c r="AQ63" s="201">
        <v>225</v>
      </c>
      <c r="AR63" s="201">
        <v>232.25</v>
      </c>
      <c r="AS63" s="201">
        <v>425</v>
      </c>
      <c r="AT63" s="201">
        <v>1834.114</v>
      </c>
      <c r="AU63" s="201">
        <v>6196.4319999999998</v>
      </c>
    </row>
    <row r="64" spans="1:47" s="8" customFormat="1">
      <c r="A64" s="288" t="s">
        <v>12</v>
      </c>
      <c r="B64" s="201">
        <v>74.080606060606002</v>
      </c>
      <c r="C64" s="201">
        <v>73.194090909090903</v>
      </c>
      <c r="D64" s="201">
        <v>73.275454545454494</v>
      </c>
      <c r="E64" s="201">
        <v>75.772272727272707</v>
      </c>
      <c r="F64" s="201">
        <v>4.0232000000000001</v>
      </c>
      <c r="G64" s="201">
        <v>91.1506045194037</v>
      </c>
      <c r="H64" s="201">
        <v>3.372627676</v>
      </c>
      <c r="I64" s="201">
        <v>3.4076811340000002</v>
      </c>
      <c r="J64" s="201">
        <v>1.6206161619999999</v>
      </c>
      <c r="K64" s="201">
        <v>706</v>
      </c>
      <c r="L64" s="201">
        <v>1150</v>
      </c>
      <c r="M64" s="201">
        <v>1155.42</v>
      </c>
      <c r="N64" s="201">
        <v>724.66</v>
      </c>
      <c r="O64" s="201">
        <v>727.05</v>
      </c>
      <c r="P64" s="201">
        <v>430.08</v>
      </c>
      <c r="Q64" s="201">
        <v>897</v>
      </c>
      <c r="R64" s="201">
        <v>429.5</v>
      </c>
      <c r="S64" s="201">
        <v>894.11</v>
      </c>
      <c r="T64" s="201">
        <v>846</v>
      </c>
      <c r="U64" s="201">
        <v>130.650722849641</v>
      </c>
      <c r="V64" s="201">
        <v>167.31399999999999</v>
      </c>
      <c r="W64" s="201">
        <v>159.04790066000001</v>
      </c>
      <c r="X64" s="201">
        <v>493</v>
      </c>
      <c r="Y64" s="201">
        <v>412.8</v>
      </c>
      <c r="Z64" s="201">
        <v>298.39999999999998</v>
      </c>
      <c r="AA64" s="201">
        <v>414.10750000000002</v>
      </c>
      <c r="AB64" s="201">
        <v>175.63474260000001</v>
      </c>
      <c r="AC64" s="201">
        <v>198.848868396429</v>
      </c>
      <c r="AD64" s="201">
        <v>1.08028217183333</v>
      </c>
      <c r="AE64" s="201">
        <v>0.80953460937499999</v>
      </c>
      <c r="AF64" s="201">
        <v>1.1526140673622201</v>
      </c>
      <c r="AG64" s="201">
        <v>2.7465155960000001</v>
      </c>
      <c r="AH64" s="201">
        <v>1.82661952916667</v>
      </c>
      <c r="AI64" s="201">
        <v>7.6191667199999999</v>
      </c>
      <c r="AJ64" s="201">
        <v>0.48781481818181799</v>
      </c>
      <c r="AK64" s="201">
        <v>0.67778035599999997</v>
      </c>
      <c r="AL64" s="201">
        <v>0.49912596799999998</v>
      </c>
      <c r="AM64" s="201">
        <v>4329.45</v>
      </c>
      <c r="AN64" s="201">
        <v>1.4726861600000001</v>
      </c>
      <c r="AO64" s="201">
        <v>90</v>
      </c>
      <c r="AP64" s="201">
        <v>271.625</v>
      </c>
      <c r="AQ64" s="201">
        <v>246.5</v>
      </c>
      <c r="AR64" s="201">
        <v>234.875</v>
      </c>
      <c r="AS64" s="201">
        <v>425</v>
      </c>
      <c r="AT64" s="201">
        <v>1878.568</v>
      </c>
      <c r="AU64" s="201">
        <v>6287.9769999999999</v>
      </c>
    </row>
    <row r="65" spans="1:47" s="8" customFormat="1">
      <c r="A65" s="288" t="s">
        <v>13</v>
      </c>
      <c r="B65" s="201">
        <v>77.552301587301599</v>
      </c>
      <c r="C65" s="201">
        <v>77.036666666666704</v>
      </c>
      <c r="D65" s="201">
        <v>77.625238095238103</v>
      </c>
      <c r="E65" s="201">
        <v>77.995000000000005</v>
      </c>
      <c r="F65" s="201">
        <v>3.6907000000000001</v>
      </c>
      <c r="G65" s="201">
        <v>88.131592030161798</v>
      </c>
      <c r="H65" s="201">
        <v>3.3840916999999999</v>
      </c>
      <c r="I65" s="201">
        <v>3.3556521020000001</v>
      </c>
      <c r="J65" s="201">
        <v>1.5317699760000001</v>
      </c>
      <c r="K65" s="201">
        <v>729</v>
      </c>
      <c r="L65" s="201">
        <v>1150</v>
      </c>
      <c r="M65" s="201">
        <v>1151.6500000000001</v>
      </c>
      <c r="N65" s="201">
        <v>763.33</v>
      </c>
      <c r="O65" s="201">
        <v>754.52</v>
      </c>
      <c r="P65" s="201">
        <v>447.41</v>
      </c>
      <c r="Q65" s="201">
        <v>932.38</v>
      </c>
      <c r="R65" s="201">
        <v>439.57</v>
      </c>
      <c r="S65" s="201">
        <v>933.77</v>
      </c>
      <c r="T65" s="201">
        <v>921</v>
      </c>
      <c r="U65" s="201">
        <v>155.251981879955</v>
      </c>
      <c r="V65" s="201">
        <v>171.64447999999999</v>
      </c>
      <c r="W65" s="201">
        <v>166.00788600000001</v>
      </c>
      <c r="X65" s="201">
        <v>542.75</v>
      </c>
      <c r="Y65" s="201">
        <v>460.25</v>
      </c>
      <c r="Z65" s="201">
        <v>337</v>
      </c>
      <c r="AA65" s="201">
        <v>491.60500000000002</v>
      </c>
      <c r="AB65" s="201">
        <v>204.6622419</v>
      </c>
      <c r="AC65" s="201">
        <v>211.038349341176</v>
      </c>
      <c r="AD65" s="201">
        <v>1.02749070875</v>
      </c>
      <c r="AE65" s="201">
        <v>0.83364840625000003</v>
      </c>
      <c r="AF65" s="201">
        <v>1.1544064149169599</v>
      </c>
      <c r="AG65" s="201">
        <v>2.833157162</v>
      </c>
      <c r="AH65" s="201">
        <v>1.8107561576923099</v>
      </c>
      <c r="AI65" s="201">
        <v>7.4957079999999996</v>
      </c>
      <c r="AJ65" s="201">
        <v>0.49634818181818202</v>
      </c>
      <c r="AK65" s="201">
        <v>0.70245807059999998</v>
      </c>
      <c r="AL65" s="201">
        <v>0.49074841200000002</v>
      </c>
      <c r="AM65" s="201">
        <v>4427.3999999999996</v>
      </c>
      <c r="AN65" s="201">
        <v>1.58291716</v>
      </c>
      <c r="AO65" s="201">
        <v>90</v>
      </c>
      <c r="AP65" s="201">
        <v>273.2</v>
      </c>
      <c r="AQ65" s="201">
        <v>228.5</v>
      </c>
      <c r="AR65" s="201">
        <v>243.5</v>
      </c>
      <c r="AS65" s="201">
        <v>425</v>
      </c>
      <c r="AT65" s="201">
        <v>1949.2860000000001</v>
      </c>
      <c r="AU65" s="201">
        <v>6675.5950000000003</v>
      </c>
    </row>
    <row r="66" spans="1:47" s="8" customFormat="1">
      <c r="A66" s="288" t="s">
        <v>14</v>
      </c>
      <c r="B66" s="201">
        <v>74.881818181818204</v>
      </c>
      <c r="C66" s="201">
        <v>74.669545454545499</v>
      </c>
      <c r="D66" s="201">
        <v>75.488636363636402</v>
      </c>
      <c r="E66" s="201">
        <v>74.487272727272696</v>
      </c>
      <c r="F66" s="201">
        <v>5.3651999999999997</v>
      </c>
      <c r="G66" s="201">
        <v>109.843285828598</v>
      </c>
      <c r="H66" s="201">
        <v>3.49762963</v>
      </c>
      <c r="I66" s="201">
        <v>3.4868159688999998</v>
      </c>
      <c r="J66" s="201">
        <v>1.5407207331999999</v>
      </c>
      <c r="K66" s="201">
        <v>768</v>
      </c>
      <c r="L66" s="201">
        <v>1185.6896551724101</v>
      </c>
      <c r="M66" s="201">
        <v>1181.8699999999999</v>
      </c>
      <c r="N66" s="201">
        <v>821.81</v>
      </c>
      <c r="O66" s="201">
        <v>835.45</v>
      </c>
      <c r="P66" s="201">
        <v>449.35</v>
      </c>
      <c r="Q66" s="201">
        <v>939.91</v>
      </c>
      <c r="R66" s="201">
        <v>430.82</v>
      </c>
      <c r="S66" s="201">
        <v>938.29</v>
      </c>
      <c r="T66" s="201">
        <v>986</v>
      </c>
      <c r="U66" s="201">
        <v>150.58598335048899</v>
      </c>
      <c r="V66" s="201">
        <v>164.55824000000001</v>
      </c>
      <c r="W66" s="201">
        <v>166.34519286</v>
      </c>
      <c r="X66" s="201">
        <v>591</v>
      </c>
      <c r="Y66" s="201">
        <v>515.25</v>
      </c>
      <c r="Z66" s="201">
        <v>403</v>
      </c>
      <c r="AA66" s="201">
        <v>529.91399999999999</v>
      </c>
      <c r="AB66" s="201">
        <v>206.49942540000001</v>
      </c>
      <c r="AC66" s="201">
        <v>206.25140562749999</v>
      </c>
      <c r="AD66" s="201">
        <v>0.98936456162499997</v>
      </c>
      <c r="AE66" s="201">
        <v>0.79575529687500002</v>
      </c>
      <c r="AF66" s="201">
        <v>1.0135766724606099</v>
      </c>
      <c r="AG66" s="201">
        <v>2.88364296</v>
      </c>
      <c r="AH66" s="201">
        <v>1.81100347083333</v>
      </c>
      <c r="AI66" s="201">
        <v>7.5508234999999999</v>
      </c>
      <c r="AJ66" s="201">
        <v>0.48924128260869598</v>
      </c>
      <c r="AK66" s="201">
        <v>0.73420860700000001</v>
      </c>
      <c r="AL66" s="201">
        <v>0.51874708599999997</v>
      </c>
      <c r="AM66" s="201">
        <v>4460.6833333333298</v>
      </c>
      <c r="AN66" s="201">
        <v>1.6755112000000001</v>
      </c>
      <c r="AO66" s="201">
        <v>90</v>
      </c>
      <c r="AP66" s="201">
        <v>331.5</v>
      </c>
      <c r="AQ66" s="201">
        <v>232</v>
      </c>
      <c r="AR66" s="201">
        <v>262</v>
      </c>
      <c r="AS66" s="201">
        <v>425</v>
      </c>
      <c r="AT66" s="201">
        <v>2180.0949999999998</v>
      </c>
      <c r="AU66" s="201">
        <v>6981.7139999999999</v>
      </c>
    </row>
    <row r="67" spans="1:47" s="243" customFormat="1" ht="15">
      <c r="A67" s="198" t="s">
        <v>1</v>
      </c>
      <c r="B67" s="241">
        <v>61.756922215508013</v>
      </c>
      <c r="C67" s="241">
        <v>61.862206890331912</v>
      </c>
      <c r="D67" s="241">
        <v>61.754919756571923</v>
      </c>
      <c r="E67" s="241">
        <v>61.65363999962026</v>
      </c>
      <c r="F67" s="241">
        <v>3.9502916666666668</v>
      </c>
      <c r="G67" s="241">
        <v>95.43093884111137</v>
      </c>
      <c r="H67" s="241">
        <v>2.8887503296666668</v>
      </c>
      <c r="I67" s="241">
        <v>3.1711428612416666</v>
      </c>
      <c r="J67" s="241">
        <v>1.6441615036000001</v>
      </c>
      <c r="K67" s="241">
        <v>725.375</v>
      </c>
      <c r="L67" s="241">
        <v>1130.0158045977007</v>
      </c>
      <c r="M67" s="241">
        <v>1352.5966666666666</v>
      </c>
      <c r="N67" s="241">
        <v>741.14583333333348</v>
      </c>
      <c r="O67" s="241">
        <v>699.02166666666665</v>
      </c>
      <c r="P67" s="241">
        <v>423.6225</v>
      </c>
      <c r="Q67" s="241">
        <v>853.06499999999994</v>
      </c>
      <c r="R67" s="241">
        <v>423.57583333333332</v>
      </c>
      <c r="S67" s="241">
        <v>871.90083333333348</v>
      </c>
      <c r="T67" s="241">
        <v>854.66666666666663</v>
      </c>
      <c r="U67" s="241">
        <v>128.32218617002835</v>
      </c>
      <c r="V67" s="241">
        <v>165.50963333333334</v>
      </c>
      <c r="W67" s="241">
        <v>151.05413225833337</v>
      </c>
      <c r="X67" s="241">
        <v>554.99305555555554</v>
      </c>
      <c r="Y67" s="241">
        <v>458.06666666666666</v>
      </c>
      <c r="Z67" s="241">
        <v>326.35972222222227</v>
      </c>
      <c r="AA67" s="241">
        <v>425.34325757575749</v>
      </c>
      <c r="AB67" s="241">
        <v>185.95358992499999</v>
      </c>
      <c r="AC67" s="241">
        <v>224.06988173743335</v>
      </c>
      <c r="AD67" s="241">
        <v>1.1449028222100592</v>
      </c>
      <c r="AE67" s="241">
        <v>0.84714064973958347</v>
      </c>
      <c r="AF67" s="241">
        <v>0.90903947102457938</v>
      </c>
      <c r="AG67" s="241">
        <v>2.7297237403333336</v>
      </c>
      <c r="AH67" s="241">
        <v>1.8877882591826927</v>
      </c>
      <c r="AI67" s="241">
        <v>8.918239054999999</v>
      </c>
      <c r="AJ67" s="241">
        <v>0.52435188259394416</v>
      </c>
      <c r="AK67" s="241">
        <v>0.54875121534582283</v>
      </c>
      <c r="AL67" s="241">
        <v>0.40002829900000009</v>
      </c>
      <c r="AM67" s="241">
        <v>4235.19861111111</v>
      </c>
      <c r="AN67" s="241">
        <v>1.3820211624999998</v>
      </c>
      <c r="AO67" s="241">
        <v>222.75</v>
      </c>
      <c r="AP67" s="241">
        <v>288.46875</v>
      </c>
      <c r="AQ67" s="241">
        <v>257.41666666666669</v>
      </c>
      <c r="AR67" s="241">
        <v>251.07916666666665</v>
      </c>
      <c r="AS67" s="241">
        <v>558.47916666666663</v>
      </c>
      <c r="AT67" s="241">
        <v>1664.8295000000001</v>
      </c>
      <c r="AU67" s="241">
        <v>5149.7385833333337</v>
      </c>
    </row>
    <row r="68" spans="1:47" s="243" customFormat="1" ht="15">
      <c r="A68" s="198" t="s">
        <v>172</v>
      </c>
      <c r="B68" s="241">
        <v>-36.326803492122608</v>
      </c>
      <c r="C68" s="241">
        <v>-36.640276010868334</v>
      </c>
      <c r="D68" s="241">
        <v>-34.14714496587623</v>
      </c>
      <c r="E68" s="241">
        <v>-38.072481603899512</v>
      </c>
      <c r="F68" s="241">
        <v>-55.400232675380302</v>
      </c>
      <c r="G68" s="241">
        <v>-46.91733669910677</v>
      </c>
      <c r="H68" s="241">
        <v>12.092353119337119</v>
      </c>
      <c r="I68" s="241">
        <v>2.9057441798074235</v>
      </c>
      <c r="J68" s="241">
        <v>-29.15886962716694</v>
      </c>
      <c r="K68" s="241">
        <v>-40.737336601307192</v>
      </c>
      <c r="L68" s="241">
        <v>-29.417831975292387</v>
      </c>
      <c r="M68" s="241">
        <v>-36.934236006850853</v>
      </c>
      <c r="N68" s="241">
        <v>-28.935731932996024</v>
      </c>
      <c r="O68" s="241">
        <v>-37.858158308620851</v>
      </c>
      <c r="P68" s="241">
        <v>-18.826048632801275</v>
      </c>
      <c r="Q68" s="241">
        <v>-32.339969054305662</v>
      </c>
      <c r="R68" s="241">
        <v>-4.1983466712906647</v>
      </c>
      <c r="S68" s="241">
        <v>-34.247814138453506</v>
      </c>
      <c r="T68" s="241">
        <v>-42.981041863568137</v>
      </c>
      <c r="U68" s="241">
        <v>-36.003865815118687</v>
      </c>
      <c r="V68" s="241">
        <v>-25.819296099374213</v>
      </c>
      <c r="W68" s="241">
        <v>-27.318663500140929</v>
      </c>
      <c r="X68" s="241">
        <v>-14.64107575806125</v>
      </c>
      <c r="Y68" s="241">
        <v>-13.866018382961954</v>
      </c>
      <c r="Z68" s="241">
        <v>-32.329317847361608</v>
      </c>
      <c r="AA68" s="241">
        <v>-25.001069212851966</v>
      </c>
      <c r="AB68" s="241">
        <v>-31.5139343918603</v>
      </c>
      <c r="AC68" s="241">
        <v>-31.273241738962597</v>
      </c>
      <c r="AD68" s="241">
        <v>-3.6042163684352202</v>
      </c>
      <c r="AE68" s="241">
        <v>0.34684439608272388</v>
      </c>
      <c r="AF68" s="241">
        <v>-17.905378998232713</v>
      </c>
      <c r="AG68" s="241">
        <v>-15.629702396838274</v>
      </c>
      <c r="AH68" s="241">
        <v>1.1974119547813356</v>
      </c>
      <c r="AI68" s="241">
        <v>-15.162795574896471</v>
      </c>
      <c r="AJ68" s="241">
        <v>-24.762291267236371</v>
      </c>
      <c r="AK68" s="241">
        <v>17.108822437415185</v>
      </c>
      <c r="AL68" s="241">
        <v>41.785504981441711</v>
      </c>
      <c r="AM68" s="241">
        <v>18.013498544483262</v>
      </c>
      <c r="AN68" s="241">
        <v>-12.191644525474432</v>
      </c>
      <c r="AO68" s="241">
        <v>-8.2349912028494181</v>
      </c>
      <c r="AP68" s="241">
        <v>-66.520140143189792</v>
      </c>
      <c r="AQ68" s="241">
        <v>-70.727523850813668</v>
      </c>
      <c r="AR68" s="241">
        <v>-51.244791455965043</v>
      </c>
      <c r="AS68" s="241">
        <v>22.481895232220772</v>
      </c>
      <c r="AT68" s="241">
        <v>-35.290869474665463</v>
      </c>
      <c r="AU68" s="241">
        <v>-25.965676424494475</v>
      </c>
    </row>
    <row r="69" spans="1:47" s="8" customFormat="1">
      <c r="A69" s="288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</row>
    <row r="70" spans="1:47" s="8" customFormat="1">
      <c r="A70" s="292">
        <v>2010</v>
      </c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  <c r="AU70" s="201"/>
    </row>
    <row r="71" spans="1:47" s="8" customFormat="1">
      <c r="A71" s="288" t="s">
        <v>3</v>
      </c>
      <c r="B71" s="201">
        <v>77.121087719298302</v>
      </c>
      <c r="C71" s="201">
        <v>76.373000000000005</v>
      </c>
      <c r="D71" s="201">
        <v>76.635000000000005</v>
      </c>
      <c r="E71" s="201">
        <v>78.355263157894797</v>
      </c>
      <c r="F71" s="201">
        <v>5.8068999999999997</v>
      </c>
      <c r="G71" s="201">
        <v>119.13880032206301</v>
      </c>
      <c r="H71" s="201">
        <v>3.5251873800000002</v>
      </c>
      <c r="I71" s="201">
        <v>3.5031411800000001</v>
      </c>
      <c r="J71" s="201">
        <v>1.544997696</v>
      </c>
      <c r="K71" s="201">
        <v>784</v>
      </c>
      <c r="L71" s="201">
        <v>1202.5431034482799</v>
      </c>
      <c r="M71" s="201">
        <v>1275.53</v>
      </c>
      <c r="N71" s="201">
        <v>830.88</v>
      </c>
      <c r="O71" s="201">
        <v>879.5</v>
      </c>
      <c r="P71" s="201">
        <v>435.88</v>
      </c>
      <c r="Q71" s="201">
        <v>920.55</v>
      </c>
      <c r="R71" s="201">
        <v>423.05</v>
      </c>
      <c r="S71" s="201">
        <v>914.09</v>
      </c>
      <c r="T71" s="201">
        <v>968</v>
      </c>
      <c r="U71" s="201">
        <v>146.53767234931999</v>
      </c>
      <c r="V71" s="201">
        <v>167.31399999999999</v>
      </c>
      <c r="W71" s="201">
        <v>161.79485718000001</v>
      </c>
      <c r="X71" s="201">
        <v>568.79999999999995</v>
      </c>
      <c r="Y71" s="201">
        <v>510.6</v>
      </c>
      <c r="Z71" s="201">
        <v>420.2</v>
      </c>
      <c r="AA71" s="201">
        <v>485.28399999999999</v>
      </c>
      <c r="AB71" s="201">
        <v>198.78325469999999</v>
      </c>
      <c r="AC71" s="201">
        <v>201.19093202368401</v>
      </c>
      <c r="AD71" s="201">
        <v>0.94131466663483299</v>
      </c>
      <c r="AE71" s="201">
        <v>0.78542081249999995</v>
      </c>
      <c r="AF71" s="201">
        <v>1.0892618259465701</v>
      </c>
      <c r="AG71" s="201">
        <v>3.0225340200000002</v>
      </c>
      <c r="AH71" s="201">
        <v>1.8298346000000001</v>
      </c>
      <c r="AI71" s="201">
        <v>7.71617</v>
      </c>
      <c r="AJ71" s="201">
        <v>0.47811534999999999</v>
      </c>
      <c r="AK71" s="201">
        <v>0.86769201894736803</v>
      </c>
      <c r="AL71" s="201">
        <v>0.58356291400000004</v>
      </c>
      <c r="AM71" s="201">
        <v>4465.5333333333301</v>
      </c>
      <c r="AN71" s="201">
        <v>1.70637588</v>
      </c>
      <c r="AO71" s="201">
        <v>90</v>
      </c>
      <c r="AP71" s="201">
        <v>383</v>
      </c>
      <c r="AQ71" s="201">
        <v>296.25</v>
      </c>
      <c r="AR71" s="201">
        <v>266.5</v>
      </c>
      <c r="AS71" s="201">
        <v>389.375</v>
      </c>
      <c r="AT71" s="201">
        <v>2235.15</v>
      </c>
      <c r="AU71" s="201">
        <v>7386.25</v>
      </c>
    </row>
    <row r="72" spans="1:47" s="8" customFormat="1">
      <c r="A72" s="288" t="s">
        <v>4</v>
      </c>
      <c r="B72" s="201">
        <v>74.763015594541898</v>
      </c>
      <c r="C72" s="201">
        <v>74.311999999999998</v>
      </c>
      <c r="D72" s="201">
        <v>73.563888888888897</v>
      </c>
      <c r="E72" s="201">
        <v>76.413157894736898</v>
      </c>
      <c r="F72" s="201">
        <v>5.3357000000000001</v>
      </c>
      <c r="G72" s="201">
        <v>113.75559002138399</v>
      </c>
      <c r="H72" s="201">
        <v>3.2765062440000001</v>
      </c>
      <c r="I72" s="201">
        <v>3.4802131319999998</v>
      </c>
      <c r="J72" s="201">
        <v>1.496496056</v>
      </c>
      <c r="K72" s="201">
        <v>798</v>
      </c>
      <c r="L72" s="201">
        <v>1200</v>
      </c>
      <c r="M72" s="201">
        <v>1287.5</v>
      </c>
      <c r="N72" s="201">
        <v>830</v>
      </c>
      <c r="O72" s="201">
        <v>894</v>
      </c>
      <c r="P72" s="201">
        <v>411.86</v>
      </c>
      <c r="Q72" s="201">
        <v>909.19</v>
      </c>
      <c r="R72" s="201">
        <v>404.85</v>
      </c>
      <c r="S72" s="201">
        <v>900.93</v>
      </c>
      <c r="T72" s="201">
        <v>948</v>
      </c>
      <c r="U72" s="201">
        <v>137.375991075342</v>
      </c>
      <c r="V72" s="201">
        <v>161.80248</v>
      </c>
      <c r="W72" s="201">
        <v>154.05664098</v>
      </c>
      <c r="X72" s="201">
        <v>535</v>
      </c>
      <c r="Y72" s="201">
        <v>474.66666666666703</v>
      </c>
      <c r="Z72" s="201">
        <v>405</v>
      </c>
      <c r="AA72" s="201">
        <v>421.78500000000003</v>
      </c>
      <c r="AB72" s="201">
        <v>191.80195739999999</v>
      </c>
      <c r="AC72" s="201">
        <v>194</v>
      </c>
      <c r="AD72" s="201">
        <v>0.97588951081874997</v>
      </c>
      <c r="AE72" s="201">
        <v>0.71996907812499999</v>
      </c>
      <c r="AF72" s="201">
        <v>0.98159241608982895</v>
      </c>
      <c r="AG72" s="201">
        <v>3.2116904160000002</v>
      </c>
      <c r="AH72" s="201">
        <v>1.8353461499999999</v>
      </c>
      <c r="AI72" s="201">
        <v>7.9785197800000001</v>
      </c>
      <c r="AJ72" s="201">
        <v>0.45847094999999999</v>
      </c>
      <c r="AK72" s="201">
        <v>0.88740596305263197</v>
      </c>
      <c r="AL72" s="201">
        <v>0.55975301799999999</v>
      </c>
      <c r="AM72" s="201">
        <v>4389.2916666666697</v>
      </c>
      <c r="AN72" s="201">
        <v>1.76479831</v>
      </c>
      <c r="AO72" s="201">
        <v>90</v>
      </c>
      <c r="AP72" s="201">
        <v>413.625</v>
      </c>
      <c r="AQ72" s="201">
        <v>300</v>
      </c>
      <c r="AR72" s="201">
        <v>297.5</v>
      </c>
      <c r="AS72" s="201">
        <v>374.375</v>
      </c>
      <c r="AT72" s="201">
        <v>2048.9250000000002</v>
      </c>
      <c r="AU72" s="201">
        <v>6848.1750000000002</v>
      </c>
    </row>
    <row r="73" spans="1:47" s="243" customFormat="1" ht="15">
      <c r="A73" s="288" t="s">
        <v>5</v>
      </c>
      <c r="B73" s="201">
        <v>79.297681159420307</v>
      </c>
      <c r="C73" s="201">
        <v>79.274782608695602</v>
      </c>
      <c r="D73" s="201">
        <v>77.367826086956498</v>
      </c>
      <c r="E73" s="201">
        <v>81.250434782608707</v>
      </c>
      <c r="F73" s="201">
        <v>4.2923999999999998</v>
      </c>
      <c r="G73" s="201">
        <v>101.636675999709</v>
      </c>
      <c r="H73" s="201">
        <v>3.0897749299999999</v>
      </c>
      <c r="I73" s="201">
        <v>3.6265999</v>
      </c>
      <c r="J73" s="201">
        <v>1.4826069500000001</v>
      </c>
      <c r="K73" s="201">
        <v>921</v>
      </c>
      <c r="L73" s="201">
        <v>1200</v>
      </c>
      <c r="M73" s="201">
        <v>1317.02</v>
      </c>
      <c r="N73" s="201">
        <v>862.83</v>
      </c>
      <c r="O73" s="201">
        <v>996.96</v>
      </c>
      <c r="P73" s="201">
        <v>409.36</v>
      </c>
      <c r="Q73" s="201">
        <v>911.07</v>
      </c>
      <c r="R73" s="201">
        <v>371.38</v>
      </c>
      <c r="S73" s="201">
        <v>910.08</v>
      </c>
      <c r="T73" s="201">
        <v>949</v>
      </c>
      <c r="U73" s="201">
        <v>146.98247256851201</v>
      </c>
      <c r="V73" s="201">
        <v>159.04671999999999</v>
      </c>
      <c r="W73" s="201">
        <v>154.70259464</v>
      </c>
      <c r="X73" s="201">
        <v>502.2</v>
      </c>
      <c r="Y73" s="201">
        <v>445.6</v>
      </c>
      <c r="Z73" s="201">
        <v>377</v>
      </c>
      <c r="AA73" s="201">
        <v>392.572</v>
      </c>
      <c r="AB73" s="201">
        <v>189.96477390000001</v>
      </c>
      <c r="AC73" s="201">
        <v>191.07507175434799</v>
      </c>
      <c r="AD73" s="201">
        <v>1.12470048815667</v>
      </c>
      <c r="AE73" s="201">
        <v>0.83778220000000003</v>
      </c>
      <c r="AF73" s="201">
        <v>0.95472186970052497</v>
      </c>
      <c r="AG73" s="201">
        <v>3.3995240400000002</v>
      </c>
      <c r="AH73" s="201">
        <v>1.8510934357142901</v>
      </c>
      <c r="AI73" s="201">
        <v>8.21882336</v>
      </c>
      <c r="AJ73" s="201">
        <v>0.45471589130434797</v>
      </c>
      <c r="AK73" s="201">
        <v>0.77412834973913003</v>
      </c>
      <c r="AL73" s="201">
        <v>0.41138209199999998</v>
      </c>
      <c r="AM73" s="201">
        <v>4206.9333333333298</v>
      </c>
      <c r="AN73" s="201">
        <v>1.89156396</v>
      </c>
      <c r="AO73" s="201">
        <v>90</v>
      </c>
      <c r="AP73" s="201">
        <v>424.5</v>
      </c>
      <c r="AQ73" s="201">
        <v>354.375</v>
      </c>
      <c r="AR73" s="201">
        <v>278.7</v>
      </c>
      <c r="AS73" s="201">
        <v>340</v>
      </c>
      <c r="AT73" s="201">
        <v>2205.63</v>
      </c>
      <c r="AU73" s="201">
        <v>7462.826</v>
      </c>
    </row>
    <row r="74" spans="1:47" s="243" customFormat="1" ht="15">
      <c r="A74" s="288" t="s">
        <v>6</v>
      </c>
      <c r="B74" s="201">
        <v>84.182857142857202</v>
      </c>
      <c r="C74" s="201">
        <v>84.978571428571399</v>
      </c>
      <c r="D74" s="201">
        <v>83.092380952381006</v>
      </c>
      <c r="E74" s="201">
        <v>84.4776190476191</v>
      </c>
      <c r="F74" s="201">
        <v>4.0058999999999996</v>
      </c>
      <c r="G74" s="201">
        <v>91.833895263158396</v>
      </c>
      <c r="H74" s="201">
        <v>3.2211702820000001</v>
      </c>
      <c r="I74" s="201">
        <v>3.731098888</v>
      </c>
      <c r="J74" s="201">
        <v>1.576744224</v>
      </c>
      <c r="K74" s="201">
        <v>940</v>
      </c>
      <c r="L74" s="201">
        <v>1200</v>
      </c>
      <c r="M74" s="201">
        <v>1361.62</v>
      </c>
      <c r="N74" s="201">
        <v>862.71</v>
      </c>
      <c r="O74" s="201">
        <v>1021.05</v>
      </c>
      <c r="P74" s="201">
        <v>402.6</v>
      </c>
      <c r="Q74" s="201">
        <v>902.83</v>
      </c>
      <c r="R74" s="201">
        <v>376.95</v>
      </c>
      <c r="S74" s="201">
        <v>909.13</v>
      </c>
      <c r="T74" s="201">
        <v>924</v>
      </c>
      <c r="U74" s="201">
        <v>151.70521637143</v>
      </c>
      <c r="V74" s="201">
        <v>157.07831999999999</v>
      </c>
      <c r="W74" s="201">
        <v>149.4070974</v>
      </c>
      <c r="X74" s="201">
        <v>466</v>
      </c>
      <c r="Y74" s="201">
        <v>408.66666666666703</v>
      </c>
      <c r="Z74" s="201">
        <v>343</v>
      </c>
      <c r="AA74" s="201">
        <v>371.17</v>
      </c>
      <c r="AB74" s="201">
        <v>187.76015369999999</v>
      </c>
      <c r="AC74" s="201">
        <v>192.87</v>
      </c>
      <c r="AD74" s="201">
        <v>1.0514299700144201</v>
      </c>
      <c r="AE74" s="201">
        <v>0.82503633593750003</v>
      </c>
      <c r="AF74" s="201">
        <v>0.99472843658781895</v>
      </c>
      <c r="AG74" s="201">
        <v>3.6572441179999999</v>
      </c>
      <c r="AH74" s="201">
        <v>1.8794385499999999</v>
      </c>
      <c r="AI74" s="201">
        <v>8.4877870000000009</v>
      </c>
      <c r="AJ74" s="201">
        <v>0.44978851136363601</v>
      </c>
      <c r="AK74" s="201">
        <v>0.68384162942857096</v>
      </c>
      <c r="AL74" s="201">
        <v>0.36265998999999999</v>
      </c>
      <c r="AM74" s="201">
        <v>4179.7916666666697</v>
      </c>
      <c r="AN74" s="201">
        <v>1.9418292960000001</v>
      </c>
      <c r="AO74" s="201">
        <v>90</v>
      </c>
      <c r="AP74" s="201">
        <v>417.5</v>
      </c>
      <c r="AQ74" s="201">
        <v>372.5</v>
      </c>
      <c r="AR74" s="201">
        <v>253.75</v>
      </c>
      <c r="AS74" s="201">
        <v>340</v>
      </c>
      <c r="AT74" s="201">
        <v>2316.7249999999999</v>
      </c>
      <c r="AU74" s="201">
        <v>7745.0749999999998</v>
      </c>
    </row>
    <row r="75" spans="1:47" s="8" customFormat="1">
      <c r="A75" s="288" t="s">
        <v>7</v>
      </c>
      <c r="B75" s="201">
        <v>75.618317460317499</v>
      </c>
      <c r="C75" s="201">
        <v>76.250952380952398</v>
      </c>
      <c r="D75" s="201">
        <v>76.873999999999995</v>
      </c>
      <c r="E75" s="201">
        <v>73.73</v>
      </c>
      <c r="F75" s="201">
        <v>4.1559999999999997</v>
      </c>
      <c r="G75" s="201">
        <v>92.745895025587998</v>
      </c>
      <c r="H75" s="201">
        <v>3.1784006539999998</v>
      </c>
      <c r="I75" s="201">
        <v>3.8201655360000002</v>
      </c>
      <c r="J75" s="201">
        <v>1.5566821820000001</v>
      </c>
      <c r="K75" s="201">
        <v>932</v>
      </c>
      <c r="L75" s="201">
        <v>1200</v>
      </c>
      <c r="M75" s="201">
        <v>1366.87</v>
      </c>
      <c r="N75" s="201">
        <v>855.31</v>
      </c>
      <c r="O75" s="201">
        <v>1031.05</v>
      </c>
      <c r="P75" s="201">
        <v>402.87</v>
      </c>
      <c r="Q75" s="201">
        <v>859.49</v>
      </c>
      <c r="R75" s="201">
        <v>371</v>
      </c>
      <c r="S75" s="201">
        <v>862.49</v>
      </c>
      <c r="T75" s="201">
        <v>910</v>
      </c>
      <c r="U75" s="201">
        <v>143.03590335932199</v>
      </c>
      <c r="V75" s="201">
        <v>163.37719999999999</v>
      </c>
      <c r="W75" s="201">
        <v>147.34577770000001</v>
      </c>
      <c r="X75" s="201">
        <v>451.33333333333297</v>
      </c>
      <c r="Y75" s="201">
        <v>396.66666666666703</v>
      </c>
      <c r="Z75" s="201">
        <v>329</v>
      </c>
      <c r="AA75" s="201">
        <v>368.82249999999999</v>
      </c>
      <c r="AB75" s="201">
        <v>190.3322106</v>
      </c>
      <c r="AC75" s="201">
        <v>181.60558897499999</v>
      </c>
      <c r="AD75" s="201">
        <v>0.99899255053125002</v>
      </c>
      <c r="AE75" s="201">
        <v>0.79920012500000004</v>
      </c>
      <c r="AF75" s="201">
        <v>1.05471155131423</v>
      </c>
      <c r="AG75" s="201">
        <v>3.58360981</v>
      </c>
      <c r="AH75" s="201">
        <v>1.9056184125</v>
      </c>
      <c r="AI75" s="201">
        <v>10.031021000000001</v>
      </c>
      <c r="AJ75" s="201">
        <v>0.42097695238095201</v>
      </c>
      <c r="AK75" s="201">
        <v>0.68106223349999995</v>
      </c>
      <c r="AL75" s="201">
        <v>0.33510224</v>
      </c>
      <c r="AM75" s="201">
        <v>4244.5749999999998</v>
      </c>
      <c r="AN75" s="201">
        <v>1.985701234</v>
      </c>
      <c r="AO75" s="201">
        <v>90</v>
      </c>
      <c r="AP75" s="201">
        <v>410</v>
      </c>
      <c r="AQ75" s="201">
        <v>352.75</v>
      </c>
      <c r="AR75" s="201">
        <v>234</v>
      </c>
      <c r="AS75" s="201">
        <v>334.5</v>
      </c>
      <c r="AT75" s="201">
        <v>2040.5260000000001</v>
      </c>
      <c r="AU75" s="201">
        <v>6837.6840000000002</v>
      </c>
    </row>
    <row r="76" spans="1:47" s="8" customFormat="1">
      <c r="A76" s="288" t="s">
        <v>8</v>
      </c>
      <c r="B76" s="201">
        <v>74.724999999999994</v>
      </c>
      <c r="C76" s="201">
        <v>74.838181818181795</v>
      </c>
      <c r="D76" s="201">
        <v>73.983181818181805</v>
      </c>
      <c r="E76" s="201">
        <v>75.353636363636397</v>
      </c>
      <c r="F76" s="201">
        <v>4.7948000000000004</v>
      </c>
      <c r="G76" s="201">
        <v>102.120929083303</v>
      </c>
      <c r="H76" s="201">
        <v>3.2308706100000002</v>
      </c>
      <c r="I76" s="201">
        <v>4.2086195799999997</v>
      </c>
      <c r="J76" s="201">
        <v>1.695793704</v>
      </c>
      <c r="K76" s="201">
        <v>993</v>
      </c>
      <c r="L76" s="201">
        <v>1200</v>
      </c>
      <c r="M76" s="201">
        <v>1366.87</v>
      </c>
      <c r="N76" s="201">
        <v>825.68</v>
      </c>
      <c r="O76" s="201">
        <v>1050</v>
      </c>
      <c r="P76" s="201">
        <v>401.33</v>
      </c>
      <c r="Q76" s="201">
        <v>860.28</v>
      </c>
      <c r="R76" s="201">
        <v>351.18</v>
      </c>
      <c r="S76" s="201">
        <v>876.07</v>
      </c>
      <c r="T76" s="201">
        <v>889</v>
      </c>
      <c r="U76" s="201">
        <v>145.93266868949601</v>
      </c>
      <c r="V76" s="201">
        <v>152.74784</v>
      </c>
      <c r="W76" s="201">
        <v>130.97867882</v>
      </c>
      <c r="X76" s="201">
        <v>440</v>
      </c>
      <c r="Y76" s="201">
        <v>392</v>
      </c>
      <c r="Z76" s="201">
        <v>329.5</v>
      </c>
      <c r="AA76" s="201">
        <v>358.21499999999997</v>
      </c>
      <c r="AB76" s="201">
        <v>182.6160399</v>
      </c>
      <c r="AC76" s="201">
        <v>157.67209847045501</v>
      </c>
      <c r="AD76" s="201">
        <v>1.03652854844</v>
      </c>
      <c r="AE76" s="201">
        <v>0.96207159875000003</v>
      </c>
      <c r="AF76" s="201">
        <v>1.20127028571045</v>
      </c>
      <c r="AG76" s="201">
        <v>3.3250078840000001</v>
      </c>
      <c r="AH76" s="201">
        <v>1.9218350884615401</v>
      </c>
      <c r="AI76" s="201">
        <v>12.39437364</v>
      </c>
      <c r="AJ76" s="201">
        <v>0.40909210227272702</v>
      </c>
      <c r="AK76" s="201">
        <v>0.72373666199999998</v>
      </c>
      <c r="AL76" s="201">
        <v>0.35009365599999998</v>
      </c>
      <c r="AM76" s="201">
        <v>4337.8083333333298</v>
      </c>
      <c r="AN76" s="201">
        <v>2.0511784479999999</v>
      </c>
      <c r="AO76" s="201">
        <v>90</v>
      </c>
      <c r="AP76" s="201">
        <v>392.5</v>
      </c>
      <c r="AQ76" s="201">
        <v>346.8</v>
      </c>
      <c r="AR76" s="201">
        <v>226.25</v>
      </c>
      <c r="AS76" s="201">
        <v>312.5</v>
      </c>
      <c r="AT76" s="201">
        <v>1931.386</v>
      </c>
      <c r="AU76" s="201">
        <v>6499.2950000000001</v>
      </c>
    </row>
    <row r="77" spans="1:47" s="8" customFormat="1">
      <c r="A77" s="288" t="s">
        <v>9</v>
      </c>
      <c r="B77" s="201">
        <v>74.579401154401097</v>
      </c>
      <c r="C77" s="201">
        <v>74.735454545454502</v>
      </c>
      <c r="D77" s="201">
        <v>72.652272727272702</v>
      </c>
      <c r="E77" s="201">
        <v>76.350476190476201</v>
      </c>
      <c r="F77" s="201">
        <v>4.6265999999999998</v>
      </c>
      <c r="G77" s="201">
        <v>102.073700500819</v>
      </c>
      <c r="H77" s="201">
        <v>3.2295478379999998</v>
      </c>
      <c r="I77" s="201">
        <v>4.4800083019999999</v>
      </c>
      <c r="J77" s="201">
        <v>1.879879474</v>
      </c>
      <c r="K77" s="201">
        <v>1031</v>
      </c>
      <c r="L77" s="201">
        <v>1200</v>
      </c>
      <c r="M77" s="201">
        <v>1366.87</v>
      </c>
      <c r="N77" s="201">
        <v>844.43</v>
      </c>
      <c r="O77" s="201">
        <v>1063.8599999999999</v>
      </c>
      <c r="P77" s="201">
        <v>427.53</v>
      </c>
      <c r="Q77" s="201">
        <v>910.82</v>
      </c>
      <c r="R77" s="201">
        <v>369.32</v>
      </c>
      <c r="S77" s="201">
        <v>946.76</v>
      </c>
      <c r="T77" s="201">
        <v>937</v>
      </c>
      <c r="U77" s="201">
        <v>156.361964892694</v>
      </c>
      <c r="V77" s="201">
        <v>163.75682</v>
      </c>
      <c r="W77" s="201">
        <v>132.40286334000001</v>
      </c>
      <c r="X77" s="201">
        <v>441.8</v>
      </c>
      <c r="Y77" s="201">
        <v>395.6</v>
      </c>
      <c r="Z77" s="201">
        <v>349.8</v>
      </c>
      <c r="AA77" s="201">
        <v>357.85599999999999</v>
      </c>
      <c r="AB77" s="201">
        <v>222.28170651428599</v>
      </c>
      <c r="AC77" s="201">
        <v>195.81769059128601</v>
      </c>
      <c r="AD77" s="201">
        <v>0.958859344916</v>
      </c>
      <c r="AE77" s="201">
        <v>0.98522084374999996</v>
      </c>
      <c r="AF77" s="201">
        <v>1.3024117753571101</v>
      </c>
      <c r="AG77" s="201">
        <v>3.26945146</v>
      </c>
      <c r="AH77" s="201">
        <v>1.93655825</v>
      </c>
      <c r="AI77" s="201">
        <v>12.68979272</v>
      </c>
      <c r="AJ77" s="201">
        <v>0.42774931818181799</v>
      </c>
      <c r="AK77" s="201">
        <v>0.73277369523809499</v>
      </c>
      <c r="AL77" s="201">
        <v>0.38492665199999998</v>
      </c>
      <c r="AM77" s="201">
        <v>4381.8500000000004</v>
      </c>
      <c r="AN77" s="201">
        <v>1.85538815</v>
      </c>
      <c r="AO77" s="201">
        <v>98.75</v>
      </c>
      <c r="AP77" s="201">
        <v>418.125</v>
      </c>
      <c r="AQ77" s="201">
        <v>360</v>
      </c>
      <c r="AR77" s="201">
        <v>259.375</v>
      </c>
      <c r="AS77" s="201">
        <v>312.5</v>
      </c>
      <c r="AT77" s="201">
        <v>1988.2729999999999</v>
      </c>
      <c r="AU77" s="201">
        <v>6735.25</v>
      </c>
    </row>
    <row r="78" spans="1:47" s="8" customFormat="1">
      <c r="A78" s="288" t="s">
        <v>10</v>
      </c>
      <c r="B78" s="201">
        <v>75.826269841269806</v>
      </c>
      <c r="C78" s="201">
        <v>76.693181818181799</v>
      </c>
      <c r="D78" s="201">
        <v>74.183809523809501</v>
      </c>
      <c r="E78" s="201">
        <v>76.601818181818203</v>
      </c>
      <c r="F78" s="201">
        <v>4.3049999999999997</v>
      </c>
      <c r="G78" s="201">
        <v>100.103970550475</v>
      </c>
      <c r="H78" s="201">
        <v>3.0716970460000002</v>
      </c>
      <c r="I78" s="201">
        <v>4.6647554580000001</v>
      </c>
      <c r="J78" s="201">
        <v>1.8227798159999999</v>
      </c>
      <c r="K78" s="201">
        <v>1170</v>
      </c>
      <c r="L78" s="201">
        <v>1231.82</v>
      </c>
      <c r="M78" s="201">
        <v>1383.9</v>
      </c>
      <c r="N78" s="201">
        <v>943.73</v>
      </c>
      <c r="O78" s="201">
        <v>1171.1400000000001</v>
      </c>
      <c r="P78" s="201">
        <v>449.84</v>
      </c>
      <c r="Q78" s="201">
        <v>997.62</v>
      </c>
      <c r="R78" s="201">
        <v>398.91</v>
      </c>
      <c r="S78" s="201">
        <v>1012.94</v>
      </c>
      <c r="T78" s="201">
        <v>1074</v>
      </c>
      <c r="U78" s="201">
        <v>161.232692144927</v>
      </c>
      <c r="V78" s="201">
        <v>175.58127999999999</v>
      </c>
      <c r="W78" s="201">
        <v>143.39509866</v>
      </c>
      <c r="X78" s="201">
        <v>452.75</v>
      </c>
      <c r="Y78" s="201">
        <v>412</v>
      </c>
      <c r="Z78" s="201">
        <v>369</v>
      </c>
      <c r="AA78" s="201">
        <v>422.85750000000002</v>
      </c>
      <c r="AB78" s="201">
        <v>261.61493039999999</v>
      </c>
      <c r="AC78" s="201">
        <v>246.247224455864</v>
      </c>
      <c r="AD78" s="201">
        <v>0.864853365222917</v>
      </c>
      <c r="AE78" s="201">
        <v>0.89910014062499999</v>
      </c>
      <c r="AF78" s="201">
        <v>1.13932707032921</v>
      </c>
      <c r="AG78" s="201">
        <v>3.410106216</v>
      </c>
      <c r="AH78" s="201">
        <v>1.93540198076923</v>
      </c>
      <c r="AI78" s="201">
        <v>11.96667736</v>
      </c>
      <c r="AJ78" s="201">
        <v>0.43205787499999998</v>
      </c>
      <c r="AK78" s="201">
        <v>0.77172723099999996</v>
      </c>
      <c r="AL78" s="201">
        <v>0.40807516199999999</v>
      </c>
      <c r="AM78" s="201">
        <v>4350.0916666666699</v>
      </c>
      <c r="AN78" s="201">
        <v>1.99176918809524</v>
      </c>
      <c r="AO78" s="201">
        <v>125</v>
      </c>
      <c r="AP78" s="201">
        <v>459.9</v>
      </c>
      <c r="AQ78" s="201">
        <v>380.75</v>
      </c>
      <c r="AR78" s="201">
        <v>263.5</v>
      </c>
      <c r="AS78" s="201">
        <v>312.5</v>
      </c>
      <c r="AT78" s="201">
        <v>2118.143</v>
      </c>
      <c r="AU78" s="201">
        <v>7283.9520000000002</v>
      </c>
    </row>
    <row r="79" spans="1:47" s="8" customFormat="1">
      <c r="A79" s="288" t="s">
        <v>11</v>
      </c>
      <c r="B79" s="201">
        <v>76.116240981241006</v>
      </c>
      <c r="C79" s="201">
        <v>77.786818181818205</v>
      </c>
      <c r="D79" s="201">
        <v>75.270476190476202</v>
      </c>
      <c r="E79" s="201">
        <v>75.291428571428597</v>
      </c>
      <c r="F79" s="201">
        <v>3.9039000000000001</v>
      </c>
      <c r="G79" s="201">
        <v>94.242164940452497</v>
      </c>
      <c r="H79" s="201">
        <v>2.8750449420000002</v>
      </c>
      <c r="I79" s="201">
        <v>4.9099092019999997</v>
      </c>
      <c r="J79" s="201">
        <v>1.7919151360000001</v>
      </c>
      <c r="K79" s="201">
        <v>1275</v>
      </c>
      <c r="L79" s="201">
        <v>1250</v>
      </c>
      <c r="M79" s="201">
        <v>1426.71</v>
      </c>
      <c r="N79" s="201">
        <v>948.88</v>
      </c>
      <c r="O79" s="201">
        <v>1259.6600000000001</v>
      </c>
      <c r="P79" s="201">
        <v>468.26</v>
      </c>
      <c r="Q79" s="201">
        <v>1035.26</v>
      </c>
      <c r="R79" s="201">
        <v>409.73</v>
      </c>
      <c r="S79" s="201">
        <v>1032.57</v>
      </c>
      <c r="T79" s="201">
        <v>1114</v>
      </c>
      <c r="U79" s="201">
        <v>168.11980413513001</v>
      </c>
      <c r="V79" s="201">
        <v>205.89464000000001</v>
      </c>
      <c r="W79" s="201">
        <v>184.904628857143</v>
      </c>
      <c r="X79" s="201">
        <v>476.5</v>
      </c>
      <c r="Y79" s="201">
        <v>448</v>
      </c>
      <c r="Z79" s="201">
        <v>412</v>
      </c>
      <c r="AA79" s="201">
        <v>457.678</v>
      </c>
      <c r="AB79" s="201">
        <v>276.31239840000001</v>
      </c>
      <c r="AC79" s="201">
        <v>271.67359754742898</v>
      </c>
      <c r="AD79" s="201">
        <v>0.97408516713750004</v>
      </c>
      <c r="AE79" s="201">
        <v>0.88049806875000003</v>
      </c>
      <c r="AF79" s="201">
        <v>1.0468508990590299</v>
      </c>
      <c r="AG79" s="201">
        <v>3.3909260219999999</v>
      </c>
      <c r="AH79" s="201">
        <v>1.93455405</v>
      </c>
      <c r="AI79" s="201">
        <v>11.732987639999999</v>
      </c>
      <c r="AJ79" s="201">
        <v>0.43901111904761903</v>
      </c>
      <c r="AK79" s="201">
        <v>0.84150345400000004</v>
      </c>
      <c r="AL79" s="201">
        <v>0.496259962</v>
      </c>
      <c r="AM79" s="201">
        <v>4358.3500000000004</v>
      </c>
      <c r="AN79" s="201">
        <v>2.3088985260000001</v>
      </c>
      <c r="AO79" s="201">
        <v>125</v>
      </c>
      <c r="AP79" s="201">
        <v>506</v>
      </c>
      <c r="AQ79" s="201">
        <v>428</v>
      </c>
      <c r="AR79" s="201">
        <v>308.75</v>
      </c>
      <c r="AS79" s="201">
        <v>312.5</v>
      </c>
      <c r="AT79" s="201">
        <v>2162.3409999999999</v>
      </c>
      <c r="AU79" s="201">
        <v>7709.2950000000001</v>
      </c>
    </row>
    <row r="80" spans="1:47" s="8" customFormat="1">
      <c r="A80" s="288" t="s">
        <v>12</v>
      </c>
      <c r="B80" s="201">
        <v>81.719365079365105</v>
      </c>
      <c r="C80" s="201">
        <v>82.918095238095205</v>
      </c>
      <c r="D80" s="201">
        <v>80.340476190476195</v>
      </c>
      <c r="E80" s="201">
        <v>81.899523809523799</v>
      </c>
      <c r="F80" s="201">
        <v>3.4315000000000002</v>
      </c>
      <c r="G80" s="201">
        <v>88.620924680490006</v>
      </c>
      <c r="H80" s="201">
        <v>2.9275148980000001</v>
      </c>
      <c r="I80" s="201">
        <v>4.7981349680000003</v>
      </c>
      <c r="J80" s="201">
        <v>1.879879474</v>
      </c>
      <c r="K80" s="201">
        <v>1412</v>
      </c>
      <c r="L80" s="201">
        <v>1280.95</v>
      </c>
      <c r="M80" s="201">
        <v>1471.32</v>
      </c>
      <c r="N80" s="201">
        <v>1025.83</v>
      </c>
      <c r="O80" s="201">
        <v>1420.95</v>
      </c>
      <c r="P80" s="201">
        <v>495.79</v>
      </c>
      <c r="Q80" s="201">
        <v>1146.75</v>
      </c>
      <c r="R80" s="201">
        <v>417.77</v>
      </c>
      <c r="S80" s="201">
        <v>1149.51</v>
      </c>
      <c r="T80" s="201">
        <v>1284</v>
      </c>
      <c r="U80" s="201">
        <v>174.624226348364</v>
      </c>
      <c r="V80" s="201">
        <v>235.81432000000001</v>
      </c>
      <c r="W80" s="201">
        <v>201.03929780000001</v>
      </c>
      <c r="X80" s="201">
        <v>486</v>
      </c>
      <c r="Y80" s="201">
        <v>457</v>
      </c>
      <c r="Z80" s="201">
        <v>428.25</v>
      </c>
      <c r="AA80" s="201">
        <v>477.68</v>
      </c>
      <c r="AB80" s="201">
        <v>267.49391759999997</v>
      </c>
      <c r="AC80" s="201">
        <v>270.23219586428598</v>
      </c>
      <c r="AD80" s="201">
        <v>1.0033432303125001</v>
      </c>
      <c r="AE80" s="201">
        <v>0.91632428124999998</v>
      </c>
      <c r="AF80" s="201">
        <v>1.0863236535146701</v>
      </c>
      <c r="AG80" s="201">
        <v>3.3743913719999998</v>
      </c>
      <c r="AH80" s="201">
        <v>1.9120485541666701</v>
      </c>
      <c r="AI80" s="201">
        <v>11.75723846</v>
      </c>
      <c r="AJ80" s="201">
        <v>0.454099563047619</v>
      </c>
      <c r="AK80" s="201">
        <v>0.84287871695238104</v>
      </c>
      <c r="AL80" s="201">
        <v>0.54255698200000002</v>
      </c>
      <c r="AM80" s="201">
        <v>4357.4916666666704</v>
      </c>
      <c r="AN80" s="201">
        <v>2.7899466099999999</v>
      </c>
      <c r="AO80" s="201">
        <v>125</v>
      </c>
      <c r="AP80" s="201">
        <v>557.25</v>
      </c>
      <c r="AQ80" s="201">
        <v>455</v>
      </c>
      <c r="AR80" s="201">
        <v>332.5</v>
      </c>
      <c r="AS80" s="201">
        <v>312.5</v>
      </c>
      <c r="AT80" s="201">
        <v>2346.5700000000002</v>
      </c>
      <c r="AU80" s="201">
        <v>8292.4050000000007</v>
      </c>
    </row>
    <row r="81" spans="1:47" s="8" customFormat="1">
      <c r="A81" s="288" t="s">
        <v>13</v>
      </c>
      <c r="B81" s="201">
        <v>84.534063492063495</v>
      </c>
      <c r="C81" s="201">
        <v>85.67</v>
      </c>
      <c r="D81" s="201">
        <v>83.695999999999998</v>
      </c>
      <c r="E81" s="201">
        <v>84.236190476190501</v>
      </c>
      <c r="F81" s="201">
        <v>3.7272500000000002</v>
      </c>
      <c r="G81" s="201">
        <v>93.442045668538995</v>
      </c>
      <c r="H81" s="201">
        <v>2.910318862</v>
      </c>
      <c r="I81" s="201">
        <v>5.147346776</v>
      </c>
      <c r="J81" s="201">
        <v>2.0291322479999998</v>
      </c>
      <c r="K81" s="201">
        <v>1512</v>
      </c>
      <c r="L81" s="201">
        <v>1350</v>
      </c>
      <c r="M81" s="201">
        <v>1543.24</v>
      </c>
      <c r="N81" s="201">
        <v>1131.3599999999999</v>
      </c>
      <c r="O81" s="201">
        <v>1631.14</v>
      </c>
      <c r="P81" s="201">
        <v>514.15</v>
      </c>
      <c r="Q81" s="201">
        <v>1231.69</v>
      </c>
      <c r="R81" s="201">
        <v>436.82</v>
      </c>
      <c r="S81" s="201">
        <v>1242.32</v>
      </c>
      <c r="T81" s="201">
        <v>1441</v>
      </c>
      <c r="U81" s="201">
        <v>179.09046833728101</v>
      </c>
      <c r="V81" s="201">
        <v>238.1764</v>
      </c>
      <c r="W81" s="201">
        <v>203.24832703999999</v>
      </c>
      <c r="X81" s="201">
        <v>514.5</v>
      </c>
      <c r="Y81" s="201">
        <v>477.5</v>
      </c>
      <c r="Z81" s="201">
        <v>427.75</v>
      </c>
      <c r="AA81" s="201">
        <v>508.03</v>
      </c>
      <c r="AB81" s="201">
        <v>278.51701859999997</v>
      </c>
      <c r="AC81" s="201">
        <v>274.08076079558799</v>
      </c>
      <c r="AD81" s="201">
        <v>1.0347555516993701</v>
      </c>
      <c r="AE81" s="201">
        <v>0.90943462500000005</v>
      </c>
      <c r="AF81" s="201">
        <v>0.82334876000000001</v>
      </c>
      <c r="AG81" s="201">
        <v>3.501597946</v>
      </c>
      <c r="AH81" s="201">
        <v>1.8840315083333301</v>
      </c>
      <c r="AI81" s="201">
        <v>12.198162460000001</v>
      </c>
      <c r="AJ81" s="201">
        <v>0.44547608181818199</v>
      </c>
      <c r="AK81" s="201">
        <v>0.85621141885714303</v>
      </c>
      <c r="AL81" s="201">
        <v>0.58091736999999999</v>
      </c>
      <c r="AM81" s="201">
        <v>4372.1750000000002</v>
      </c>
      <c r="AN81" s="201">
        <v>3.4097072847618999</v>
      </c>
      <c r="AO81" s="201">
        <v>125</v>
      </c>
      <c r="AP81" s="201">
        <v>554.1</v>
      </c>
      <c r="AQ81" s="201">
        <v>463.75</v>
      </c>
      <c r="AR81" s="201">
        <v>365.4</v>
      </c>
      <c r="AS81" s="201">
        <v>322.5</v>
      </c>
      <c r="AT81" s="201">
        <v>2333.0680000000002</v>
      </c>
      <c r="AU81" s="201">
        <v>8469.8860000000004</v>
      </c>
    </row>
    <row r="82" spans="1:47" s="8" customFormat="1">
      <c r="A82" s="288" t="s">
        <v>14</v>
      </c>
      <c r="B82" s="201">
        <v>90.005961791831396</v>
      </c>
      <c r="C82" s="201">
        <v>91.796521739130398</v>
      </c>
      <c r="D82" s="201">
        <v>89.074545454545401</v>
      </c>
      <c r="E82" s="201">
        <v>89.146818181818205</v>
      </c>
      <c r="F82" s="201">
        <v>4.2370952380952396</v>
      </c>
      <c r="G82" s="201">
        <v>100.285407944019</v>
      </c>
      <c r="H82" s="201">
        <v>3.0600125600000001</v>
      </c>
      <c r="I82" s="201">
        <v>5.4712054539999997</v>
      </c>
      <c r="J82" s="201">
        <v>2.0743269579999999</v>
      </c>
      <c r="K82" s="201">
        <v>1715</v>
      </c>
      <c r="L82" s="201">
        <v>1372.5752508361199</v>
      </c>
      <c r="M82" s="201">
        <v>1644.45</v>
      </c>
      <c r="N82" s="201">
        <v>1234.6400000000001</v>
      </c>
      <c r="O82" s="201">
        <v>1829.55</v>
      </c>
      <c r="P82" s="201">
        <v>545.75</v>
      </c>
      <c r="Q82" s="201">
        <v>1324.72</v>
      </c>
      <c r="R82" s="201">
        <v>449.19</v>
      </c>
      <c r="S82" s="201">
        <v>1382.99</v>
      </c>
      <c r="T82" s="201">
        <v>1454</v>
      </c>
      <c r="U82" s="201">
        <v>189.640901205311</v>
      </c>
      <c r="V82" s="201">
        <v>250.38048000000001</v>
      </c>
      <c r="W82" s="201">
        <v>221.57092385999999</v>
      </c>
      <c r="X82" s="201">
        <v>532</v>
      </c>
      <c r="Y82" s="201">
        <v>479.8</v>
      </c>
      <c r="Z82" s="201">
        <v>413.4</v>
      </c>
      <c r="AA82" s="201">
        <v>528.28599999999994</v>
      </c>
      <c r="AB82" s="201">
        <v>308.64682800000003</v>
      </c>
      <c r="AC82" s="201">
        <v>306.52010438040003</v>
      </c>
      <c r="AD82" s="201">
        <v>1.06214235638317</v>
      </c>
      <c r="AE82" s="201">
        <v>0.89978910624999997</v>
      </c>
      <c r="AF82" s="201">
        <v>0.72389052499999995</v>
      </c>
      <c r="AG82" s="201">
        <v>3.8807925860000001</v>
      </c>
      <c r="AH82" s="201">
        <v>1.8817350291666699</v>
      </c>
      <c r="AI82" s="201">
        <v>12.456103000000001</v>
      </c>
      <c r="AJ82" s="201">
        <v>0.43194375165217402</v>
      </c>
      <c r="AK82" s="201">
        <v>0.84685466799999998</v>
      </c>
      <c r="AL82" s="201">
        <v>0.61687271799999999</v>
      </c>
      <c r="AM82" s="201">
        <v>4354.8083333333298</v>
      </c>
      <c r="AN82" s="201">
        <v>3.7034088608000002</v>
      </c>
      <c r="AO82" s="201">
        <v>125</v>
      </c>
      <c r="AP82" s="201">
        <v>540.625</v>
      </c>
      <c r="AQ82" s="201">
        <v>472.5</v>
      </c>
      <c r="AR82" s="201">
        <v>380.625</v>
      </c>
      <c r="AS82" s="201">
        <v>322.5</v>
      </c>
      <c r="AT82" s="201">
        <v>2350.6669999999999</v>
      </c>
      <c r="AU82" s="201">
        <v>9147.2620000000006</v>
      </c>
    </row>
    <row r="83" spans="1:47" s="243" customFormat="1" ht="15">
      <c r="A83" s="198" t="s">
        <v>1</v>
      </c>
      <c r="B83" s="241">
        <v>79.040771784717265</v>
      </c>
      <c r="C83" s="241">
        <v>79.635629979923436</v>
      </c>
      <c r="D83" s="241">
        <v>78.061154819415691</v>
      </c>
      <c r="E83" s="241">
        <v>79.42553055481261</v>
      </c>
      <c r="F83" s="241">
        <v>4.3852537698412695</v>
      </c>
      <c r="G83" s="241">
        <v>100</v>
      </c>
      <c r="H83" s="241">
        <v>3.1330038538333329</v>
      </c>
      <c r="I83" s="241">
        <v>4.3200998646666671</v>
      </c>
      <c r="J83" s="241">
        <v>1.7359361598333336</v>
      </c>
      <c r="K83" s="241">
        <v>1123.5833333333333</v>
      </c>
      <c r="L83" s="241">
        <v>1240.6573628570334</v>
      </c>
      <c r="M83" s="241">
        <v>1400.9916666666666</v>
      </c>
      <c r="N83" s="241">
        <v>933.0233333333332</v>
      </c>
      <c r="O83" s="241">
        <v>1187.405</v>
      </c>
      <c r="P83" s="241">
        <v>447.10166666666663</v>
      </c>
      <c r="Q83" s="241">
        <v>1000.8558333333332</v>
      </c>
      <c r="R83" s="241">
        <v>398.3458333333333</v>
      </c>
      <c r="S83" s="241">
        <v>1011.6566666666666</v>
      </c>
      <c r="T83" s="241">
        <v>1074.3333333333333</v>
      </c>
      <c r="U83" s="241">
        <v>158.38666512309408</v>
      </c>
      <c r="V83" s="241">
        <v>185.91420833333333</v>
      </c>
      <c r="W83" s="241">
        <v>165.40389885642858</v>
      </c>
      <c r="X83" s="241">
        <v>488.90694444444443</v>
      </c>
      <c r="Y83" s="241">
        <v>441.50833333333344</v>
      </c>
      <c r="Z83" s="241">
        <v>383.6583333333333</v>
      </c>
      <c r="AA83" s="241">
        <v>429.18633333333332</v>
      </c>
      <c r="AB83" s="241">
        <v>229.67709914285717</v>
      </c>
      <c r="AC83" s="241">
        <v>223.58210540486164</v>
      </c>
      <c r="AD83" s="241">
        <v>1.0022412291889484</v>
      </c>
      <c r="AE83" s="241">
        <v>0.86832060132812483</v>
      </c>
      <c r="AF83" s="241">
        <v>1.0332032557174535</v>
      </c>
      <c r="AG83" s="241">
        <v>3.4189063241666662</v>
      </c>
      <c r="AH83" s="241">
        <v>1.892291300759311</v>
      </c>
      <c r="AI83" s="241">
        <v>10.635638035000001</v>
      </c>
      <c r="AJ83" s="241">
        <v>0.44179145550575621</v>
      </c>
      <c r="AK83" s="241">
        <v>0.79248467005960999</v>
      </c>
      <c r="AL83" s="241">
        <v>0.46934689633333332</v>
      </c>
      <c r="AM83" s="241">
        <v>4333.2249999999995</v>
      </c>
      <c r="AN83" s="241">
        <v>2.2833804789714285</v>
      </c>
      <c r="AO83" s="241">
        <v>105.3125</v>
      </c>
      <c r="AP83" s="241">
        <v>456.42708333333331</v>
      </c>
      <c r="AQ83" s="241">
        <v>381.88958333333335</v>
      </c>
      <c r="AR83" s="241">
        <v>288.90416666666664</v>
      </c>
      <c r="AS83" s="241">
        <v>332.14583333333331</v>
      </c>
      <c r="AT83" s="241">
        <v>2173.1170000000002</v>
      </c>
      <c r="AU83" s="241">
        <v>7534.779583333333</v>
      </c>
    </row>
    <row r="84" spans="1:47" s="243" customFormat="1" ht="15">
      <c r="A84" s="198" t="s">
        <v>172</v>
      </c>
      <c r="B84" s="241">
        <v>27.986902438070405</v>
      </c>
      <c r="C84" s="241">
        <v>28.730664460613077</v>
      </c>
      <c r="D84" s="241">
        <v>26.404754677231157</v>
      </c>
      <c r="E84" s="241">
        <v>28.825371146459176</v>
      </c>
      <c r="F84" s="241">
        <v>11.010885774458078</v>
      </c>
      <c r="G84" s="241">
        <v>4.787819562894513</v>
      </c>
      <c r="H84" s="241">
        <v>8.4553352243096356</v>
      </c>
      <c r="I84" s="241">
        <v>36.231638046578716</v>
      </c>
      <c r="J84" s="241">
        <v>5.5818516631356951</v>
      </c>
      <c r="K84" s="241">
        <v>54.896892411970796</v>
      </c>
      <c r="L84" s="241">
        <v>9.7911513988711221</v>
      </c>
      <c r="M84" s="241">
        <v>3.5779328156459567</v>
      </c>
      <c r="N84" s="241">
        <v>25.889304286718161</v>
      </c>
      <c r="O84" s="241">
        <v>69.866694642273842</v>
      </c>
      <c r="P84" s="241">
        <v>5.5424739400448786</v>
      </c>
      <c r="Q84" s="241">
        <v>17.324686082928409</v>
      </c>
      <c r="R84" s="241">
        <v>-5.956430469947338</v>
      </c>
      <c r="S84" s="241">
        <v>16.028867961857252</v>
      </c>
      <c r="T84" s="241">
        <v>25.702028081123252</v>
      </c>
      <c r="U84" s="241">
        <v>23.428901774810761</v>
      </c>
      <c r="V84" s="241">
        <v>12.328330737646898</v>
      </c>
      <c r="W84" s="241">
        <v>9.4997511048252381</v>
      </c>
      <c r="X84" s="241">
        <v>-11.907556400855867</v>
      </c>
      <c r="Y84" s="241">
        <v>-3.6148304468053949</v>
      </c>
      <c r="Z84" s="241">
        <v>17.55688806233746</v>
      </c>
      <c r="AA84" s="241">
        <v>0.90352337532735305</v>
      </c>
      <c r="AB84" s="241">
        <v>23.513129934997234</v>
      </c>
      <c r="AC84" s="241">
        <v>-0.2176893783267575</v>
      </c>
      <c r="AD84" s="241">
        <v>-12.460585322492657</v>
      </c>
      <c r="AE84" s="241">
        <v>2.5001694340901048</v>
      </c>
      <c r="AF84" s="241">
        <v>13.658789156089002</v>
      </c>
      <c r="AG84" s="241">
        <v>25.247338170168621</v>
      </c>
      <c r="AH84" s="241">
        <v>0.23853531002295814</v>
      </c>
      <c r="AI84" s="241">
        <v>19.257153451579036</v>
      </c>
      <c r="AJ84" s="241">
        <v>-15.745233273458537</v>
      </c>
      <c r="AK84" s="241">
        <v>44.416020939504698</v>
      </c>
      <c r="AL84" s="241">
        <v>17.328423390699466</v>
      </c>
      <c r="AM84" s="241">
        <v>2.3145641536554074</v>
      </c>
      <c r="AN84" s="241">
        <v>65.22037005865522</v>
      </c>
      <c r="AO84" s="241">
        <v>-52.721661054994385</v>
      </c>
      <c r="AP84" s="241">
        <v>58.224099953056729</v>
      </c>
      <c r="AQ84" s="241">
        <v>48.354645516348342</v>
      </c>
      <c r="AR84" s="241">
        <v>15.06496954811729</v>
      </c>
      <c r="AS84" s="241">
        <v>-40.526728093408437</v>
      </c>
      <c r="AT84" s="241">
        <v>30.530904215717001</v>
      </c>
      <c r="AU84" s="241">
        <v>46.313826641976938</v>
      </c>
    </row>
    <row r="85" spans="1:47" s="8" customFormat="1">
      <c r="A85" s="288"/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201"/>
    </row>
    <row r="86" spans="1:47" s="8" customFormat="1">
      <c r="A86" s="292">
        <v>2011</v>
      </c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  <c r="AT86" s="201"/>
      <c r="AU86" s="201"/>
    </row>
    <row r="87" spans="1:47" s="8" customFormat="1">
      <c r="A87" s="288" t="s">
        <v>3</v>
      </c>
      <c r="B87" s="201">
        <v>92.690595238095199</v>
      </c>
      <c r="C87" s="201">
        <v>96.294285714285706</v>
      </c>
      <c r="D87" s="201">
        <v>92.369</v>
      </c>
      <c r="E87" s="201">
        <v>89.408500000000004</v>
      </c>
      <c r="F87" s="201">
        <v>4.4934000000000003</v>
      </c>
      <c r="G87" s="201">
        <v>108.008014104098</v>
      </c>
      <c r="H87" s="201">
        <v>3.164952472</v>
      </c>
      <c r="I87" s="201">
        <v>5.8151261740000004</v>
      </c>
      <c r="J87" s="201">
        <v>2.2286503579999999</v>
      </c>
      <c r="K87" s="201">
        <v>2038</v>
      </c>
      <c r="L87" s="201">
        <v>1426.7558528428101</v>
      </c>
      <c r="M87" s="201">
        <v>1653.47</v>
      </c>
      <c r="N87" s="201">
        <v>1303.57</v>
      </c>
      <c r="O87" s="201">
        <v>2139.0500000000002</v>
      </c>
      <c r="P87" s="201">
        <v>567.62</v>
      </c>
      <c r="Q87" s="201">
        <v>1365.73</v>
      </c>
      <c r="R87" s="201">
        <v>462.26</v>
      </c>
      <c r="S87" s="201">
        <v>1440.75</v>
      </c>
      <c r="T87" s="201">
        <v>1492</v>
      </c>
      <c r="U87" s="201">
        <v>195.20185783871301</v>
      </c>
      <c r="V87" s="201">
        <v>264.94664</v>
      </c>
      <c r="W87" s="201">
        <v>246.31778335999999</v>
      </c>
      <c r="X87" s="201">
        <v>516.79999999999995</v>
      </c>
      <c r="Y87" s="201">
        <v>467.6</v>
      </c>
      <c r="Z87" s="201">
        <v>405</v>
      </c>
      <c r="AA87" s="201">
        <v>493.858</v>
      </c>
      <c r="AB87" s="201">
        <v>320.40480239999999</v>
      </c>
      <c r="AC87" s="201">
        <v>326.55656760728601</v>
      </c>
      <c r="AD87" s="201">
        <v>1.1967726621331201</v>
      </c>
      <c r="AE87" s="201">
        <v>0.89218215624999997</v>
      </c>
      <c r="AF87" s="201">
        <v>0.73461162499999999</v>
      </c>
      <c r="AG87" s="201">
        <v>4.1942895499999997</v>
      </c>
      <c r="AH87" s="201">
        <v>1.8739269999999999</v>
      </c>
      <c r="AI87" s="201">
        <v>12.52444622</v>
      </c>
      <c r="AJ87" s="201">
        <v>0.43668458476190503</v>
      </c>
      <c r="AK87" s="201">
        <v>0.84793166178947399</v>
      </c>
      <c r="AL87" s="201">
        <v>0.65278798199999999</v>
      </c>
      <c r="AM87" s="201">
        <v>4370.7749999999996</v>
      </c>
      <c r="AN87" s="201">
        <v>3.9446714505</v>
      </c>
      <c r="AO87" s="201">
        <v>125</v>
      </c>
      <c r="AP87" s="201">
        <v>547.4</v>
      </c>
      <c r="AQ87" s="201">
        <v>475</v>
      </c>
      <c r="AR87" s="201">
        <v>378.5</v>
      </c>
      <c r="AS87" s="201">
        <v>322.5</v>
      </c>
      <c r="AT87" s="201">
        <v>2439.5250000000001</v>
      </c>
      <c r="AU87" s="201">
        <v>9555.7000000000007</v>
      </c>
    </row>
    <row r="88" spans="1:47" s="8" customFormat="1">
      <c r="A88" s="288" t="s">
        <v>4</v>
      </c>
      <c r="B88" s="201">
        <v>97.914192007797297</v>
      </c>
      <c r="C88" s="201">
        <v>103.9555</v>
      </c>
      <c r="D88" s="201">
        <v>100.254444444444</v>
      </c>
      <c r="E88" s="201">
        <v>89.532631578947402</v>
      </c>
      <c r="F88" s="201">
        <v>4.0749000000000004</v>
      </c>
      <c r="G88" s="201">
        <v>102.123691047943</v>
      </c>
      <c r="H88" s="201">
        <v>3.4722765</v>
      </c>
      <c r="I88" s="201">
        <v>6.3468805179999999</v>
      </c>
      <c r="J88" s="201">
        <v>2.4107519700000002</v>
      </c>
      <c r="K88" s="201">
        <v>2256</v>
      </c>
      <c r="L88" s="201">
        <v>1426.7558528428101</v>
      </c>
      <c r="M88" s="201">
        <v>1653.47</v>
      </c>
      <c r="N88" s="201">
        <v>1327.21</v>
      </c>
      <c r="O88" s="201">
        <v>2307.63</v>
      </c>
      <c r="P88" s="201">
        <v>566.04999999999995</v>
      </c>
      <c r="Q88" s="201">
        <v>1359.86</v>
      </c>
      <c r="R88" s="201">
        <v>468.74</v>
      </c>
      <c r="S88" s="201">
        <v>1403.14</v>
      </c>
      <c r="T88" s="201">
        <v>1704.74</v>
      </c>
      <c r="U88" s="201">
        <v>196.45768564745001</v>
      </c>
      <c r="V88" s="201">
        <v>292.89792</v>
      </c>
      <c r="W88" s="201">
        <v>253.15210536000001</v>
      </c>
      <c r="X88" s="201">
        <v>524</v>
      </c>
      <c r="Y88" s="201">
        <v>473</v>
      </c>
      <c r="Z88" s="201">
        <v>420.5</v>
      </c>
      <c r="AA88" s="201">
        <v>478.57</v>
      </c>
      <c r="AB88" s="201">
        <v>338.77663740000003</v>
      </c>
      <c r="AC88" s="201">
        <v>348.12034854950002</v>
      </c>
      <c r="AD88" s="201">
        <v>1.3109958844812499</v>
      </c>
      <c r="AE88" s="201">
        <v>1.00241315625</v>
      </c>
      <c r="AF88" s="201">
        <v>0.88495694759592702</v>
      </c>
      <c r="AG88" s="201">
        <v>4.0765628420000004</v>
      </c>
      <c r="AH88" s="201">
        <v>1.8754301499999999</v>
      </c>
      <c r="AI88" s="201">
        <v>12.566333999999999</v>
      </c>
      <c r="AJ88" s="201">
        <v>0.44613484240000001</v>
      </c>
      <c r="AK88" s="201">
        <v>0.87391136800000002</v>
      </c>
      <c r="AL88" s="201">
        <v>0.64970151399999998</v>
      </c>
      <c r="AM88" s="201">
        <v>4317.0666666666702</v>
      </c>
      <c r="AN88" s="201">
        <v>4.6998089160000003</v>
      </c>
      <c r="AO88" s="201">
        <v>140</v>
      </c>
      <c r="AP88" s="201">
        <v>413.625</v>
      </c>
      <c r="AQ88" s="201">
        <v>490</v>
      </c>
      <c r="AR88" s="201">
        <v>297.5</v>
      </c>
      <c r="AS88" s="201">
        <v>374.375</v>
      </c>
      <c r="AT88" s="201">
        <v>2508.1750000000002</v>
      </c>
      <c r="AU88" s="201">
        <v>9867.6</v>
      </c>
    </row>
    <row r="89" spans="1:47" s="8" customFormat="1">
      <c r="A89" s="288" t="s">
        <v>5</v>
      </c>
      <c r="B89" s="201">
        <v>108.645217391304</v>
      </c>
      <c r="C89" s="201">
        <v>114.44130434782601</v>
      </c>
      <c r="D89" s="201">
        <v>108.578260869565</v>
      </c>
      <c r="E89" s="201">
        <v>102.91608695652199</v>
      </c>
      <c r="F89" s="201">
        <v>3.9712999999999998</v>
      </c>
      <c r="G89" s="201">
        <v>101.238374494502</v>
      </c>
      <c r="H89" s="201">
        <v>3.3929101799999999</v>
      </c>
      <c r="I89" s="201">
        <v>6.4390336340000003</v>
      </c>
      <c r="J89" s="201">
        <v>2.604317606</v>
      </c>
      <c r="K89" s="201">
        <v>1925</v>
      </c>
      <c r="L89" s="201">
        <v>1486.35451505017</v>
      </c>
      <c r="M89" s="201">
        <v>1637.17</v>
      </c>
      <c r="N89" s="201">
        <v>1241.74</v>
      </c>
      <c r="O89" s="201">
        <v>1975.22</v>
      </c>
      <c r="P89" s="201">
        <v>552.75</v>
      </c>
      <c r="Q89" s="201">
        <v>1306.53</v>
      </c>
      <c r="R89" s="201">
        <v>437.96</v>
      </c>
      <c r="S89" s="201">
        <v>1411.8</v>
      </c>
      <c r="T89" s="201">
        <v>1636.96</v>
      </c>
      <c r="U89" s="201">
        <v>202.574431634023</v>
      </c>
      <c r="V89" s="201">
        <v>290.53584000000001</v>
      </c>
      <c r="W89" s="201">
        <v>266.14172639999998</v>
      </c>
      <c r="X89" s="201">
        <v>492.75</v>
      </c>
      <c r="Y89" s="201">
        <v>455.5</v>
      </c>
      <c r="Z89" s="201">
        <v>408.25</v>
      </c>
      <c r="AA89" s="201">
        <v>464</v>
      </c>
      <c r="AB89" s="201">
        <v>303.13527749999997</v>
      </c>
      <c r="AC89" s="201">
        <v>316.74657066378302</v>
      </c>
      <c r="AD89" s="201">
        <v>1.2463036897336699</v>
      </c>
      <c r="AE89" s="201">
        <v>0.99621266249999996</v>
      </c>
      <c r="AF89" s="201">
        <v>0.85244409418209299</v>
      </c>
      <c r="AG89" s="201">
        <v>4.1850301459999999</v>
      </c>
      <c r="AH89" s="201">
        <v>1.8976690615384599</v>
      </c>
      <c r="AI89" s="201">
        <v>12.6545188</v>
      </c>
      <c r="AJ89" s="201">
        <v>0.45777464765217402</v>
      </c>
      <c r="AK89" s="201">
        <v>0.87509036043478305</v>
      </c>
      <c r="AL89" s="201">
        <v>0.57849228799999997</v>
      </c>
      <c r="AM89" s="201">
        <v>4537.6750000000002</v>
      </c>
      <c r="AN89" s="201">
        <v>5.063350754</v>
      </c>
      <c r="AO89" s="201">
        <v>145</v>
      </c>
      <c r="AP89" s="201">
        <v>424.5</v>
      </c>
      <c r="AQ89" s="201">
        <v>494</v>
      </c>
      <c r="AR89" s="201">
        <v>278.7</v>
      </c>
      <c r="AS89" s="201">
        <v>340</v>
      </c>
      <c r="AT89" s="201">
        <v>2555.5</v>
      </c>
      <c r="AU89" s="201">
        <v>9503.36</v>
      </c>
    </row>
    <row r="90" spans="1:47" s="243" customFormat="1" ht="15">
      <c r="A90" s="288" t="s">
        <v>6</v>
      </c>
      <c r="B90" s="201">
        <v>116.24316666666699</v>
      </c>
      <c r="C90" s="201">
        <v>123.07</v>
      </c>
      <c r="D90" s="201">
        <v>115.7</v>
      </c>
      <c r="E90" s="201">
        <v>109.95950000000001</v>
      </c>
      <c r="F90" s="201">
        <v>4.2423999999999999</v>
      </c>
      <c r="G90" s="201">
        <v>109.56884767707101</v>
      </c>
      <c r="H90" s="201">
        <v>3.134308254</v>
      </c>
      <c r="I90" s="201">
        <v>6.6165055439999998</v>
      </c>
      <c r="J90" s="201">
        <v>2.5875624940000002</v>
      </c>
      <c r="K90" s="201">
        <v>2089</v>
      </c>
      <c r="L90" s="201">
        <v>1598.3277591973199</v>
      </c>
      <c r="M90" s="201">
        <v>1631.42</v>
      </c>
      <c r="N90" s="201">
        <v>1219.6099999999999</v>
      </c>
      <c r="O90" s="201">
        <v>1906.32</v>
      </c>
      <c r="P90" s="201">
        <v>556.58000000000004</v>
      </c>
      <c r="Q90" s="201">
        <v>1310.45</v>
      </c>
      <c r="R90" s="201">
        <v>412.37</v>
      </c>
      <c r="S90" s="201">
        <v>1447.42</v>
      </c>
      <c r="T90" s="201">
        <v>1634.05</v>
      </c>
      <c r="U90" s="201">
        <v>208.92135991091601</v>
      </c>
      <c r="V90" s="201">
        <v>319.27447999999998</v>
      </c>
      <c r="W90" s="201">
        <v>289.60990629999998</v>
      </c>
      <c r="X90" s="201">
        <v>484.25</v>
      </c>
      <c r="Y90" s="201">
        <v>448.25</v>
      </c>
      <c r="Z90" s="201">
        <v>409</v>
      </c>
      <c r="AA90" s="201">
        <v>484.28750000000002</v>
      </c>
      <c r="AB90" s="201">
        <v>314.8932519</v>
      </c>
      <c r="AC90" s="201">
        <v>336.12429558104998</v>
      </c>
      <c r="AD90" s="201">
        <v>1.2940009970914601</v>
      </c>
      <c r="AE90" s="201">
        <v>1.0265261875</v>
      </c>
      <c r="AF90" s="201">
        <v>0.88096929646709898</v>
      </c>
      <c r="AG90" s="201">
        <v>4.3320783</v>
      </c>
      <c r="AH90" s="201">
        <v>1.9048764730769201</v>
      </c>
      <c r="AI90" s="201">
        <v>12.786796000000001</v>
      </c>
      <c r="AJ90" s="201">
        <v>0.47256886361904799</v>
      </c>
      <c r="AK90" s="201">
        <v>0.84277111049999998</v>
      </c>
      <c r="AL90" s="201">
        <v>0.53704543199999999</v>
      </c>
      <c r="AM90" s="201">
        <v>4606.9916666666704</v>
      </c>
      <c r="AN90" s="201">
        <v>4.7755743566666604</v>
      </c>
      <c r="AO90" s="201">
        <v>145</v>
      </c>
      <c r="AP90" s="201">
        <v>417.5</v>
      </c>
      <c r="AQ90" s="201">
        <v>535.625</v>
      </c>
      <c r="AR90" s="201">
        <v>253.75</v>
      </c>
      <c r="AS90" s="201">
        <v>340</v>
      </c>
      <c r="AT90" s="201">
        <v>2678.11</v>
      </c>
      <c r="AU90" s="201">
        <v>9492.7900000000009</v>
      </c>
    </row>
    <row r="91" spans="1:47" s="243" customFormat="1" ht="15">
      <c r="A91" s="288" t="s">
        <v>7</v>
      </c>
      <c r="B91" s="201">
        <v>108.06851298701299</v>
      </c>
      <c r="C91" s="201">
        <v>114.458181818182</v>
      </c>
      <c r="D91" s="201">
        <v>108.4645</v>
      </c>
      <c r="E91" s="201">
        <v>101.282857142857</v>
      </c>
      <c r="F91" s="201">
        <v>4.3089545454545499</v>
      </c>
      <c r="G91" s="201">
        <v>110.511852337436</v>
      </c>
      <c r="H91" s="201">
        <v>3.070815198</v>
      </c>
      <c r="I91" s="201">
        <v>6.4174283580000004</v>
      </c>
      <c r="J91" s="201">
        <v>2.6891954760000001</v>
      </c>
      <c r="K91" s="201">
        <v>2097</v>
      </c>
      <c r="L91" s="201">
        <v>1710.30100334448</v>
      </c>
      <c r="M91" s="201">
        <v>1632.47</v>
      </c>
      <c r="N91" s="201">
        <v>1230.1199999999999</v>
      </c>
      <c r="O91" s="201">
        <v>1985.48</v>
      </c>
      <c r="P91" s="201">
        <v>556.79999999999995</v>
      </c>
      <c r="Q91" s="201">
        <v>1296.03</v>
      </c>
      <c r="R91" s="201">
        <v>404.36</v>
      </c>
      <c r="S91" s="201">
        <v>1406.76</v>
      </c>
      <c r="T91" s="201">
        <v>1644.09</v>
      </c>
      <c r="U91" s="201">
        <v>209.369107649673</v>
      </c>
      <c r="V91" s="201">
        <v>307.85775999999998</v>
      </c>
      <c r="W91" s="201">
        <v>261.31581322</v>
      </c>
      <c r="X91" s="201">
        <v>481.4</v>
      </c>
      <c r="Y91" s="201">
        <v>448.4</v>
      </c>
      <c r="Z91" s="201">
        <v>421.2</v>
      </c>
      <c r="AA91" s="201">
        <v>479.64499999999998</v>
      </c>
      <c r="AB91" s="201">
        <v>308.64682800000003</v>
      </c>
      <c r="AC91" s="201">
        <v>355.277885563636</v>
      </c>
      <c r="AD91" s="201">
        <v>1.27040437511167</v>
      </c>
      <c r="AE91" s="201">
        <v>1.011024953125</v>
      </c>
      <c r="AF91" s="201">
        <v>0.83641069669738199</v>
      </c>
      <c r="AG91" s="201">
        <v>4.1621020980000001</v>
      </c>
      <c r="AH91" s="201">
        <v>1.9079148916666699</v>
      </c>
      <c r="AI91" s="201">
        <v>12.63908646</v>
      </c>
      <c r="AJ91" s="201">
        <v>0.46787650742857101</v>
      </c>
      <c r="AK91" s="201">
        <v>0.78175825200000004</v>
      </c>
      <c r="AL91" s="201">
        <v>0.48391409000000002</v>
      </c>
      <c r="AM91" s="201">
        <v>4431.1499999999996</v>
      </c>
      <c r="AN91" s="201">
        <v>3.649087024</v>
      </c>
      <c r="AO91" s="201">
        <v>147</v>
      </c>
      <c r="AP91" s="201">
        <v>410</v>
      </c>
      <c r="AQ91" s="201">
        <v>547.5</v>
      </c>
      <c r="AR91" s="201">
        <v>234</v>
      </c>
      <c r="AS91" s="201">
        <v>334.5</v>
      </c>
      <c r="AT91" s="201">
        <v>2596.4499999999998</v>
      </c>
      <c r="AU91" s="201">
        <v>8959.9</v>
      </c>
    </row>
    <row r="92" spans="1:47" s="8" customFormat="1">
      <c r="A92" s="288" t="s">
        <v>8</v>
      </c>
      <c r="B92" s="201">
        <v>105.845454545455</v>
      </c>
      <c r="C92" s="201">
        <v>113.757727272727</v>
      </c>
      <c r="D92" s="201">
        <v>107.52454545454501</v>
      </c>
      <c r="E92" s="201">
        <v>96.254090909090905</v>
      </c>
      <c r="F92" s="201">
        <v>4.5490000000000004</v>
      </c>
      <c r="G92" s="201">
        <v>113.853174548044</v>
      </c>
      <c r="H92" s="201">
        <v>3.0156996980000002</v>
      </c>
      <c r="I92" s="201">
        <v>6.0622640759999999</v>
      </c>
      <c r="J92" s="201">
        <v>2.60034929</v>
      </c>
      <c r="K92" s="201">
        <v>1803</v>
      </c>
      <c r="L92" s="201">
        <v>1736.48829431438</v>
      </c>
      <c r="M92" s="201">
        <v>1700.57</v>
      </c>
      <c r="N92" s="201">
        <v>1192.3800000000001</v>
      </c>
      <c r="O92" s="201">
        <v>1761.75</v>
      </c>
      <c r="P92" s="201">
        <v>556.22</v>
      </c>
      <c r="Q92" s="201">
        <v>1319.38</v>
      </c>
      <c r="R92" s="201">
        <v>402.45</v>
      </c>
      <c r="S92" s="201">
        <v>1401.82</v>
      </c>
      <c r="T92" s="201">
        <v>1699.32</v>
      </c>
      <c r="U92" s="201">
        <v>210.064293814639</v>
      </c>
      <c r="V92" s="201">
        <v>310.61351999999999</v>
      </c>
      <c r="W92" s="201">
        <v>260.43176060000002</v>
      </c>
      <c r="X92" s="201">
        <v>513.75</v>
      </c>
      <c r="Y92" s="201">
        <v>473.75</v>
      </c>
      <c r="Z92" s="201">
        <v>427.5</v>
      </c>
      <c r="AA92" s="201">
        <v>475.28199999999998</v>
      </c>
      <c r="AB92" s="201">
        <v>282.19138559999999</v>
      </c>
      <c r="AC92" s="201">
        <v>326.42992919659099</v>
      </c>
      <c r="AD92" s="201">
        <v>1.186055907861</v>
      </c>
      <c r="AE92" s="201">
        <v>0.97554434999999995</v>
      </c>
      <c r="AF92" s="201">
        <v>0.91639999999999999</v>
      </c>
      <c r="AG92" s="201">
        <v>3.939435478</v>
      </c>
      <c r="AH92" s="201">
        <v>1.9167475038461499</v>
      </c>
      <c r="AI92" s="201">
        <v>12.700815820000001</v>
      </c>
      <c r="AJ92" s="201">
        <v>0.470258274909091</v>
      </c>
      <c r="AK92" s="201">
        <v>0.78393280899999995</v>
      </c>
      <c r="AL92" s="201">
        <v>0.55578470199999996</v>
      </c>
      <c r="AM92" s="201">
        <v>4389.7083333333303</v>
      </c>
      <c r="AN92" s="201">
        <v>3.1775188060000001</v>
      </c>
      <c r="AO92" s="201">
        <v>155</v>
      </c>
      <c r="AP92" s="201">
        <v>575.875</v>
      </c>
      <c r="AQ92" s="201">
        <v>549.5</v>
      </c>
      <c r="AR92" s="201">
        <v>478.75</v>
      </c>
      <c r="AS92" s="201">
        <v>355</v>
      </c>
      <c r="AT92" s="201">
        <v>2557.7600000000002</v>
      </c>
      <c r="AU92" s="201">
        <v>9066.85</v>
      </c>
    </row>
    <row r="93" spans="1:47" s="8" customFormat="1">
      <c r="A93" s="288" t="s">
        <v>9</v>
      </c>
      <c r="B93" s="201">
        <v>107.916611111111</v>
      </c>
      <c r="C93" s="201">
        <v>116.46</v>
      </c>
      <c r="D93" s="201">
        <v>109.98333333333299</v>
      </c>
      <c r="E93" s="201">
        <v>97.3065</v>
      </c>
      <c r="F93" s="201">
        <v>4.4131</v>
      </c>
      <c r="G93" s="201">
        <v>116.82502995673801</v>
      </c>
      <c r="H93" s="201">
        <v>3.1671570920000001</v>
      </c>
      <c r="I93" s="201">
        <v>5.9088225239999996</v>
      </c>
      <c r="J93" s="201">
        <v>2.4852681259999998</v>
      </c>
      <c r="K93" s="201">
        <v>1662</v>
      </c>
      <c r="L93" s="201">
        <v>1867.4247491638801</v>
      </c>
      <c r="M93" s="201">
        <v>1945.58</v>
      </c>
      <c r="N93" s="201">
        <v>1183.45</v>
      </c>
      <c r="O93" s="201">
        <v>1372.62</v>
      </c>
      <c r="P93" s="201">
        <v>556.5</v>
      </c>
      <c r="Q93" s="201">
        <v>1337.36</v>
      </c>
      <c r="R93" s="201">
        <v>410.41</v>
      </c>
      <c r="S93" s="201">
        <v>1392.95</v>
      </c>
      <c r="T93" s="201">
        <v>1672.38</v>
      </c>
      <c r="U93" s="201">
        <v>215.53213093132101</v>
      </c>
      <c r="V93" s="201">
        <v>300.77152000000001</v>
      </c>
      <c r="W93" s="201">
        <v>271.16825999999998</v>
      </c>
      <c r="X93" s="201">
        <v>538.25</v>
      </c>
      <c r="Y93" s="201">
        <v>506.75</v>
      </c>
      <c r="Z93" s="201">
        <v>449.25</v>
      </c>
      <c r="AA93" s="201">
        <v>519.46500000000003</v>
      </c>
      <c r="AB93" s="201">
        <v>266.39160750000002</v>
      </c>
      <c r="AC93" s="201">
        <v>303.88392977625</v>
      </c>
      <c r="AD93" s="201">
        <v>1.07581479416675</v>
      </c>
      <c r="AE93" s="201">
        <v>0.96107653125000003</v>
      </c>
      <c r="AF93" s="201">
        <v>0.97156140075328901</v>
      </c>
      <c r="AG93" s="201">
        <v>3.935908086</v>
      </c>
      <c r="AH93" s="201">
        <v>1.92553515</v>
      </c>
      <c r="AI93" s="201">
        <v>12.773568279999999</v>
      </c>
      <c r="AJ93" s="201">
        <v>0.466695448761905</v>
      </c>
      <c r="AK93" s="201">
        <v>0.83620134290000003</v>
      </c>
      <c r="AL93" s="201">
        <v>0.62214376400000004</v>
      </c>
      <c r="AM93" s="201">
        <v>4458.5666666666702</v>
      </c>
      <c r="AN93" s="201">
        <v>2.6896363999999999</v>
      </c>
      <c r="AO93" s="201">
        <v>161.875</v>
      </c>
      <c r="AP93" s="201">
        <v>597.625</v>
      </c>
      <c r="AQ93" s="201">
        <v>555</v>
      </c>
      <c r="AR93" s="201">
        <v>483.75</v>
      </c>
      <c r="AS93" s="201">
        <v>442.5</v>
      </c>
      <c r="AT93" s="201">
        <v>2525.4299999999998</v>
      </c>
      <c r="AU93" s="201">
        <v>9650.4599999999991</v>
      </c>
    </row>
    <row r="94" spans="1:47" s="8" customFormat="1">
      <c r="A94" s="288" t="s">
        <v>10</v>
      </c>
      <c r="B94" s="201">
        <v>100.48642512077301</v>
      </c>
      <c r="C94" s="201">
        <v>110.08130434782601</v>
      </c>
      <c r="D94" s="201">
        <v>105.056666666667</v>
      </c>
      <c r="E94" s="201">
        <v>86.3213043478261</v>
      </c>
      <c r="F94" s="201">
        <v>4.0538999999999996</v>
      </c>
      <c r="G94" s="201">
        <v>111.830988403832</v>
      </c>
      <c r="H94" s="201">
        <v>3.0644217999999999</v>
      </c>
      <c r="I94" s="201">
        <v>5.9621743279999997</v>
      </c>
      <c r="J94" s="201">
        <v>2.4707176340000001</v>
      </c>
      <c r="K94" s="201">
        <v>1454</v>
      </c>
      <c r="L94" s="201">
        <v>2054.3478260869601</v>
      </c>
      <c r="M94" s="201">
        <v>2076.1799999999998</v>
      </c>
      <c r="N94" s="201">
        <v>1205.48</v>
      </c>
      <c r="O94" s="201">
        <v>1377.83</v>
      </c>
      <c r="P94" s="201">
        <v>552.96</v>
      </c>
      <c r="Q94" s="201">
        <v>1328.39</v>
      </c>
      <c r="R94" s="201">
        <v>409.21</v>
      </c>
      <c r="S94" s="201">
        <v>1350.5</v>
      </c>
      <c r="T94" s="201">
        <v>1671.3</v>
      </c>
      <c r="U94" s="201">
        <v>206.09369421563099</v>
      </c>
      <c r="V94" s="201">
        <v>310.21983999999998</v>
      </c>
      <c r="W94" s="201">
        <v>302.52658317391302</v>
      </c>
      <c r="X94" s="201">
        <v>566</v>
      </c>
      <c r="Y94" s="201">
        <v>533.75</v>
      </c>
      <c r="Z94" s="201">
        <v>465.25</v>
      </c>
      <c r="AA94" s="201">
        <v>553.428</v>
      </c>
      <c r="AB94" s="201">
        <v>277.61839623587002</v>
      </c>
      <c r="AC94" s="201">
        <v>327.066589526087</v>
      </c>
      <c r="AD94" s="201">
        <v>1.02250180678861</v>
      </c>
      <c r="AE94" s="201">
        <v>0.95074237500000003</v>
      </c>
      <c r="AF94" s="201">
        <v>0.94883461569432703</v>
      </c>
      <c r="AG94" s="201">
        <v>3.929073764</v>
      </c>
      <c r="AH94" s="201">
        <v>1.9428213750000001</v>
      </c>
      <c r="AI94" s="201">
        <v>11.794717</v>
      </c>
      <c r="AJ94" s="201">
        <v>0.46817274399999997</v>
      </c>
      <c r="AK94" s="201">
        <v>0.88025683947826106</v>
      </c>
      <c r="AL94" s="201">
        <v>0.61178204999999997</v>
      </c>
      <c r="AM94" s="201">
        <v>4569.3583333333299</v>
      </c>
      <c r="AN94" s="201">
        <v>2.5154714199999999</v>
      </c>
      <c r="AO94" s="201">
        <v>182.5</v>
      </c>
      <c r="AP94" s="201">
        <v>597.4</v>
      </c>
      <c r="AQ94" s="201">
        <v>560</v>
      </c>
      <c r="AR94" s="201">
        <v>475.5</v>
      </c>
      <c r="AS94" s="201">
        <v>442.5</v>
      </c>
      <c r="AT94" s="201">
        <v>2379.35</v>
      </c>
      <c r="AU94" s="201">
        <v>9000.76</v>
      </c>
    </row>
    <row r="95" spans="1:47" s="8" customFormat="1">
      <c r="A95" s="288" t="s">
        <v>11</v>
      </c>
      <c r="B95" s="201">
        <v>100.81935064935099</v>
      </c>
      <c r="C95" s="201">
        <v>110.879090909091</v>
      </c>
      <c r="D95" s="201">
        <v>106.001818181818</v>
      </c>
      <c r="E95" s="201">
        <v>85.577142857142903</v>
      </c>
      <c r="F95" s="201">
        <v>3.9013</v>
      </c>
      <c r="G95" s="201">
        <v>109.978370238709</v>
      </c>
      <c r="H95" s="201">
        <v>2.8739426319999999</v>
      </c>
      <c r="I95" s="201">
        <v>6.0600594560000003</v>
      </c>
      <c r="J95" s="201">
        <v>2.3382199720000001</v>
      </c>
      <c r="K95" s="201">
        <v>1305</v>
      </c>
      <c r="L95" s="201">
        <v>2131.10367892977</v>
      </c>
      <c r="M95" s="201">
        <v>2113.4299999999998</v>
      </c>
      <c r="N95" s="201">
        <v>1137.25</v>
      </c>
      <c r="O95" s="201">
        <v>1264.32</v>
      </c>
      <c r="P95" s="201">
        <v>531.95000000000005</v>
      </c>
      <c r="Q95" s="201">
        <v>1307.8499999999999</v>
      </c>
      <c r="R95" s="201">
        <v>404.09</v>
      </c>
      <c r="S95" s="201">
        <v>1309.99</v>
      </c>
      <c r="T95" s="201">
        <v>1591.59</v>
      </c>
      <c r="U95" s="201">
        <v>209.57357284058199</v>
      </c>
      <c r="V95" s="201">
        <v>295.26</v>
      </c>
      <c r="W95" s="201">
        <v>288.80522000000002</v>
      </c>
      <c r="X95" s="201">
        <v>598.75</v>
      </c>
      <c r="Y95" s="201">
        <v>555.5</v>
      </c>
      <c r="Z95" s="201">
        <v>514</v>
      </c>
      <c r="AA95" s="201">
        <v>561.42999999999995</v>
      </c>
      <c r="AB95" s="201">
        <v>267.49391759999997</v>
      </c>
      <c r="AC95" s="201">
        <v>315.91622907613601</v>
      </c>
      <c r="AD95" s="201">
        <v>0.99134458596249997</v>
      </c>
      <c r="AE95" s="201">
        <v>0.94729765624999995</v>
      </c>
      <c r="AF95" s="201">
        <v>1.1949378460867099</v>
      </c>
      <c r="AG95" s="201">
        <v>3.8292044779999999</v>
      </c>
      <c r="AH95" s="201">
        <v>1.9616525041666699</v>
      </c>
      <c r="AI95" s="201">
        <v>11.243562000000001</v>
      </c>
      <c r="AJ95" s="201">
        <v>0.44907937454545499</v>
      </c>
      <c r="AK95" s="201">
        <v>0.88525991190476205</v>
      </c>
      <c r="AL95" s="201">
        <v>0.58775169199999999</v>
      </c>
      <c r="AM95" s="201">
        <v>4595.3</v>
      </c>
      <c r="AN95" s="201">
        <v>2.576318932</v>
      </c>
      <c r="AO95" s="201">
        <v>182.5</v>
      </c>
      <c r="AP95" s="201">
        <v>587.875</v>
      </c>
      <c r="AQ95" s="201">
        <v>560</v>
      </c>
      <c r="AR95" s="201">
        <v>508.75</v>
      </c>
      <c r="AS95" s="201">
        <v>442.5</v>
      </c>
      <c r="AT95" s="201">
        <v>2293.46</v>
      </c>
      <c r="AU95" s="201">
        <v>8300.14</v>
      </c>
    </row>
    <row r="96" spans="1:47" s="8" customFormat="1">
      <c r="A96" s="288" t="s">
        <v>12</v>
      </c>
      <c r="B96" s="201">
        <v>99.847753968253997</v>
      </c>
      <c r="C96" s="201">
        <v>109.468571428571</v>
      </c>
      <c r="D96" s="201">
        <v>103.66849999999999</v>
      </c>
      <c r="E96" s="201">
        <v>86.406190476190503</v>
      </c>
      <c r="F96" s="201">
        <v>3.5680000000000001</v>
      </c>
      <c r="G96" s="201">
        <v>108.78302204739801</v>
      </c>
      <c r="H96" s="201">
        <v>2.680156534</v>
      </c>
      <c r="I96" s="201">
        <v>5.4634892839999996</v>
      </c>
      <c r="J96" s="201">
        <v>2.1627322200000001</v>
      </c>
      <c r="K96" s="201">
        <v>1208</v>
      </c>
      <c r="L96" s="201">
        <v>2167.2240802675601</v>
      </c>
      <c r="M96" s="201">
        <v>2116.44</v>
      </c>
      <c r="N96" s="201">
        <v>1044.75</v>
      </c>
      <c r="O96" s="201">
        <v>1082.6199999999999</v>
      </c>
      <c r="P96" s="201">
        <v>491.42</v>
      </c>
      <c r="Q96" s="201">
        <v>1223.0999999999999</v>
      </c>
      <c r="R96" s="201">
        <v>381</v>
      </c>
      <c r="S96" s="201">
        <v>1270.51</v>
      </c>
      <c r="T96" s="201">
        <v>1483.81</v>
      </c>
      <c r="U96" s="201">
        <v>208.846052025218</v>
      </c>
      <c r="V96" s="201">
        <v>274.78863999999999</v>
      </c>
      <c r="W96" s="201">
        <v>263.672552</v>
      </c>
      <c r="X96" s="201">
        <v>599.4</v>
      </c>
      <c r="Y96" s="201">
        <v>560.20000000000005</v>
      </c>
      <c r="Z96" s="201">
        <v>489</v>
      </c>
      <c r="AA96" s="201">
        <v>580.53750000000002</v>
      </c>
      <c r="AB96" s="201">
        <v>253.53132299999999</v>
      </c>
      <c r="AC96" s="201">
        <v>289.01083578214298</v>
      </c>
      <c r="AD96" s="201">
        <v>0.99208336331041702</v>
      </c>
      <c r="AE96" s="201">
        <v>0.95418709374999999</v>
      </c>
      <c r="AF96" s="201">
        <v>1.0326995968113499</v>
      </c>
      <c r="AG96" s="201">
        <v>3.9178302020000002</v>
      </c>
      <c r="AH96" s="201">
        <v>1.9621118</v>
      </c>
      <c r="AI96" s="201">
        <v>11.133331</v>
      </c>
      <c r="AJ96" s="201">
        <v>0.448223038095238</v>
      </c>
      <c r="AK96" s="201">
        <v>0.82840801119999996</v>
      </c>
      <c r="AL96" s="201">
        <v>0.56107578999999996</v>
      </c>
      <c r="AM96" s="201">
        <v>4582.7583333333296</v>
      </c>
      <c r="AN96" s="201">
        <v>2.438530182</v>
      </c>
      <c r="AO96" s="201">
        <v>188.75</v>
      </c>
      <c r="AP96" s="201">
        <v>571.4</v>
      </c>
      <c r="AQ96" s="201">
        <v>592.5</v>
      </c>
      <c r="AR96" s="201">
        <v>493.5</v>
      </c>
      <c r="AS96" s="201">
        <v>435</v>
      </c>
      <c r="AT96" s="201">
        <v>2180.65</v>
      </c>
      <c r="AU96" s="201">
        <v>7394.19</v>
      </c>
    </row>
    <row r="97" spans="1:47" s="8" customFormat="1">
      <c r="A97" s="288" t="s">
        <v>13</v>
      </c>
      <c r="B97" s="201">
        <v>105.40501443001401</v>
      </c>
      <c r="C97" s="201">
        <v>110.504090909091</v>
      </c>
      <c r="D97" s="201">
        <v>108.587619047619</v>
      </c>
      <c r="E97" s="201">
        <v>97.123333333333306</v>
      </c>
      <c r="F97" s="201">
        <v>3.2424499999999998</v>
      </c>
      <c r="G97" s="201">
        <v>104.55759796356</v>
      </c>
      <c r="H97" s="201">
        <v>2.5273763680000001</v>
      </c>
      <c r="I97" s="201">
        <v>5.4033031579999999</v>
      </c>
      <c r="J97" s="201">
        <v>2.1437724880000002</v>
      </c>
      <c r="K97" s="201">
        <v>1479</v>
      </c>
      <c r="L97" s="201">
        <v>2472.4414715719099</v>
      </c>
      <c r="M97" s="201">
        <v>2116.44</v>
      </c>
      <c r="N97" s="201">
        <v>1113.3800000000001</v>
      </c>
      <c r="O97" s="201">
        <v>1294.32</v>
      </c>
      <c r="P97" s="201">
        <v>478.35</v>
      </c>
      <c r="Q97" s="201">
        <v>1213.96</v>
      </c>
      <c r="R97" s="201">
        <v>359.59</v>
      </c>
      <c r="S97" s="201">
        <v>1273.54</v>
      </c>
      <c r="T97" s="201">
        <v>1502.5</v>
      </c>
      <c r="U97" s="201">
        <v>211.45547127679501</v>
      </c>
      <c r="V97" s="201">
        <v>274.39496000000003</v>
      </c>
      <c r="W97" s="201">
        <v>265.43624799999998</v>
      </c>
      <c r="X97" s="201">
        <v>615.25</v>
      </c>
      <c r="Y97" s="201">
        <v>584.25</v>
      </c>
      <c r="Z97" s="201">
        <v>549.75</v>
      </c>
      <c r="AA97" s="201">
        <v>568.74749999999995</v>
      </c>
      <c r="AB97" s="201">
        <v>253.1638863</v>
      </c>
      <c r="AC97" s="201">
        <v>281.00640224249997</v>
      </c>
      <c r="AD97" s="201">
        <v>0.97059896478783303</v>
      </c>
      <c r="AE97" s="201">
        <v>0.95625392499999995</v>
      </c>
      <c r="AF97" s="201">
        <v>0.68164967499999995</v>
      </c>
      <c r="AG97" s="201">
        <v>4.2048717260000004</v>
      </c>
      <c r="AH97" s="201">
        <v>1.9671223</v>
      </c>
      <c r="AI97" s="201">
        <v>11.17080954</v>
      </c>
      <c r="AJ97" s="201">
        <v>0.442596416363637</v>
      </c>
      <c r="AK97" s="201">
        <v>0.83607588952380896</v>
      </c>
      <c r="AL97" s="201">
        <v>0.529549724</v>
      </c>
      <c r="AM97" s="201">
        <v>4522.5749999999998</v>
      </c>
      <c r="AN97" s="201">
        <v>2.3077962159999998</v>
      </c>
      <c r="AO97" s="201">
        <v>195</v>
      </c>
      <c r="AP97" s="201">
        <v>563.5</v>
      </c>
      <c r="AQ97" s="201">
        <v>570</v>
      </c>
      <c r="AR97" s="201">
        <v>481.25</v>
      </c>
      <c r="AS97" s="201">
        <v>435</v>
      </c>
      <c r="AT97" s="201">
        <v>2079.98</v>
      </c>
      <c r="AU97" s="201">
        <v>7581.02</v>
      </c>
    </row>
    <row r="98" spans="1:47" s="8" customFormat="1">
      <c r="A98" s="288" t="s">
        <v>14</v>
      </c>
      <c r="B98" s="201">
        <v>104.230476190476</v>
      </c>
      <c r="C98" s="201">
        <v>107.909047619048</v>
      </c>
      <c r="D98" s="201">
        <v>106.218571428571</v>
      </c>
      <c r="E98" s="201">
        <v>98.563809523809496</v>
      </c>
      <c r="F98" s="201">
        <v>3.1642380952381002</v>
      </c>
      <c r="G98" s="201">
        <v>104.40292760817999</v>
      </c>
      <c r="H98" s="201">
        <v>2.1969038300000001</v>
      </c>
      <c r="I98" s="201">
        <v>5.2185560019999997</v>
      </c>
      <c r="J98" s="201">
        <v>2.1695665420000001</v>
      </c>
      <c r="K98" s="201">
        <v>1445</v>
      </c>
      <c r="L98" s="201">
        <v>2528.4280936454902</v>
      </c>
      <c r="M98" s="201">
        <v>2116.44</v>
      </c>
      <c r="N98" s="201">
        <v>1121.5</v>
      </c>
      <c r="O98" s="201">
        <v>1376.58</v>
      </c>
      <c r="P98" s="201">
        <v>483.03</v>
      </c>
      <c r="Q98" s="201">
        <v>1203.28</v>
      </c>
      <c r="R98" s="201">
        <v>351.62</v>
      </c>
      <c r="S98" s="201">
        <v>1244.6600000000001</v>
      </c>
      <c r="T98" s="201">
        <v>1439.77</v>
      </c>
      <c r="U98" s="201">
        <v>212.27336667708701</v>
      </c>
      <c r="V98" s="201">
        <v>258.64776000000001</v>
      </c>
      <c r="W98" s="201">
        <v>256.39730600000001</v>
      </c>
      <c r="X98" s="201">
        <v>585.75</v>
      </c>
      <c r="Y98" s="201">
        <v>565.5</v>
      </c>
      <c r="Z98" s="201">
        <v>544</v>
      </c>
      <c r="AA98" s="201">
        <v>504.42599999999999</v>
      </c>
      <c r="AB98" s="201">
        <v>244.71284220000001</v>
      </c>
      <c r="AC98" s="201">
        <v>269.03000713749998</v>
      </c>
      <c r="AD98" s="201">
        <v>0.93996398782000001</v>
      </c>
      <c r="AE98" s="201">
        <v>0.94247504999999998</v>
      </c>
      <c r="AF98" s="201">
        <v>0.75773020000000002</v>
      </c>
      <c r="AG98" s="201">
        <v>4.2218473000000003</v>
      </c>
      <c r="AH98" s="201">
        <v>1.9801496000000001</v>
      </c>
      <c r="AI98" s="201">
        <v>11.353793</v>
      </c>
      <c r="AJ98" s="201">
        <v>0.42934179127272698</v>
      </c>
      <c r="AK98" s="201">
        <v>0.79828240380952398</v>
      </c>
      <c r="AL98" s="201">
        <v>0.50794444800000005</v>
      </c>
      <c r="AM98" s="201">
        <v>4438.6833333333298</v>
      </c>
      <c r="AN98" s="201">
        <v>2.1043097899999998</v>
      </c>
      <c r="AO98" s="201">
        <v>195</v>
      </c>
      <c r="AP98" s="201">
        <v>488.75</v>
      </c>
      <c r="AQ98" s="201">
        <v>530</v>
      </c>
      <c r="AR98" s="201">
        <v>423.125</v>
      </c>
      <c r="AS98" s="201">
        <v>450</v>
      </c>
      <c r="AT98" s="201">
        <v>2022.25</v>
      </c>
      <c r="AU98" s="201">
        <v>7565.48</v>
      </c>
    </row>
    <row r="99" spans="1:47" s="291" customFormat="1" ht="15">
      <c r="A99" s="198" t="s">
        <v>1</v>
      </c>
      <c r="B99" s="241">
        <v>104.0093975255259</v>
      </c>
      <c r="C99" s="241">
        <v>110.93992536388731</v>
      </c>
      <c r="D99" s="241">
        <v>106.03393828554682</v>
      </c>
      <c r="E99" s="241">
        <v>95.054328927143317</v>
      </c>
      <c r="F99" s="241">
        <v>3.9985785533910536</v>
      </c>
      <c r="G99" s="241">
        <v>108.47349086895925</v>
      </c>
      <c r="H99" s="241">
        <v>2.9800767131666661</v>
      </c>
      <c r="I99" s="241">
        <v>5.9761369213333326</v>
      </c>
      <c r="J99" s="241">
        <v>2.4075920146666667</v>
      </c>
      <c r="K99" s="241">
        <v>1730.0833333333333</v>
      </c>
      <c r="L99" s="241">
        <v>1883.8294314381283</v>
      </c>
      <c r="M99" s="241">
        <v>1866.09</v>
      </c>
      <c r="N99" s="241">
        <v>1193.3699999999999</v>
      </c>
      <c r="O99" s="241">
        <v>1653.6449999999998</v>
      </c>
      <c r="P99" s="241">
        <v>537.51916666666671</v>
      </c>
      <c r="Q99" s="241">
        <v>1297.6600000000001</v>
      </c>
      <c r="R99" s="241">
        <v>408.67166666666668</v>
      </c>
      <c r="S99" s="241">
        <v>1362.82</v>
      </c>
      <c r="T99" s="241">
        <v>1597.7091666666665</v>
      </c>
      <c r="U99" s="241">
        <v>207.19691870517065</v>
      </c>
      <c r="V99" s="241">
        <v>291.68407333333329</v>
      </c>
      <c r="W99" s="241">
        <v>268.7479387011594</v>
      </c>
      <c r="X99" s="241">
        <v>543.02916666666658</v>
      </c>
      <c r="Y99" s="241">
        <v>506.03749999999997</v>
      </c>
      <c r="Z99" s="241">
        <v>458.55833333333334</v>
      </c>
      <c r="AA99" s="241">
        <v>513.63970833333337</v>
      </c>
      <c r="AB99" s="241">
        <v>285.91334630298917</v>
      </c>
      <c r="AC99" s="241">
        <v>316.26413255853845</v>
      </c>
      <c r="AD99" s="241">
        <v>1.1247367516040232</v>
      </c>
      <c r="AE99" s="241">
        <v>0.96799467473958334</v>
      </c>
      <c r="AF99" s="241">
        <v>0.89110049952401471</v>
      </c>
      <c r="AG99" s="241">
        <v>4.0773528308333331</v>
      </c>
      <c r="AH99" s="241">
        <v>1.9263298174412389</v>
      </c>
      <c r="AI99" s="241">
        <v>12.111814843333335</v>
      </c>
      <c r="AJ99" s="241">
        <v>0.45461721115081261</v>
      </c>
      <c r="AK99" s="241">
        <v>0.83915666337838457</v>
      </c>
      <c r="AL99" s="241">
        <v>0.57316445633333324</v>
      </c>
      <c r="AM99" s="241">
        <v>4485.0506944444442</v>
      </c>
      <c r="AN99" s="241">
        <v>3.3285061872638888</v>
      </c>
      <c r="AO99" s="241">
        <v>163.55208333333334</v>
      </c>
      <c r="AP99" s="241">
        <v>516.28750000000002</v>
      </c>
      <c r="AQ99" s="241">
        <v>538.26041666666663</v>
      </c>
      <c r="AR99" s="241">
        <v>398.92291666666665</v>
      </c>
      <c r="AS99" s="241">
        <v>392.82291666666669</v>
      </c>
      <c r="AT99" s="241">
        <v>2401.3866666666668</v>
      </c>
      <c r="AU99" s="241">
        <v>8828.1875</v>
      </c>
    </row>
    <row r="100" spans="1:47" s="291" customFormat="1" ht="15">
      <c r="A100" s="198" t="s">
        <v>172</v>
      </c>
      <c r="B100" s="241">
        <v>31.589552046398907</v>
      </c>
      <c r="C100" s="241">
        <v>39.309408856131171</v>
      </c>
      <c r="D100" s="241">
        <v>35.834447403247523</v>
      </c>
      <c r="E100" s="241">
        <v>19.677298046558288</v>
      </c>
      <c r="F100" s="241">
        <v>-8.8176246289211271</v>
      </c>
      <c r="G100" s="241">
        <v>8.4734908689592547</v>
      </c>
      <c r="H100" s="241">
        <v>-4.8811666950091865</v>
      </c>
      <c r="I100" s="241">
        <v>38.333304982394047</v>
      </c>
      <c r="J100" s="241">
        <v>38.691276233212314</v>
      </c>
      <c r="K100" s="241">
        <v>53.979084773418371</v>
      </c>
      <c r="L100" s="241">
        <v>51.841232546266738</v>
      </c>
      <c r="M100" s="241">
        <v>33.197794419429094</v>
      </c>
      <c r="N100" s="241">
        <v>27.903553680329551</v>
      </c>
      <c r="O100" s="241">
        <v>39.265457026035747</v>
      </c>
      <c r="P100" s="241">
        <v>20.223029064977794</v>
      </c>
      <c r="Q100" s="241">
        <v>29.655036897588506</v>
      </c>
      <c r="R100" s="241">
        <v>2.5921780697258479</v>
      </c>
      <c r="S100" s="241">
        <v>34.711710494667173</v>
      </c>
      <c r="T100" s="241">
        <v>48.716335712069501</v>
      </c>
      <c r="U100" s="241">
        <v>30.817148365452663</v>
      </c>
      <c r="V100" s="241">
        <v>56.891759886560543</v>
      </c>
      <c r="W100" s="241">
        <v>62.479808855312392</v>
      </c>
      <c r="X100" s="241">
        <v>11.070045708539155</v>
      </c>
      <c r="Y100" s="241">
        <v>14.615616919272911</v>
      </c>
      <c r="Z100" s="241">
        <v>19.522578683290259</v>
      </c>
      <c r="AA100" s="241">
        <v>19.677554581964806</v>
      </c>
      <c r="AB100" s="241">
        <v>24.48491702916953</v>
      </c>
      <c r="AC100" s="241">
        <v>41.453240180312534</v>
      </c>
      <c r="AD100" s="241">
        <v>12.222159580703229</v>
      </c>
      <c r="AE100" s="241">
        <v>11.478948358360231</v>
      </c>
      <c r="AF100" s="241">
        <v>-13.753610957677742</v>
      </c>
      <c r="AG100" s="241">
        <v>19.258980628173795</v>
      </c>
      <c r="AH100" s="241">
        <v>1.7987989834477025</v>
      </c>
      <c r="AI100" s="241">
        <v>13.879532224352653</v>
      </c>
      <c r="AJ100" s="241">
        <v>2.9031244233489462</v>
      </c>
      <c r="AK100" s="241">
        <v>5.889324435167187</v>
      </c>
      <c r="AL100" s="241">
        <v>22.119579528713441</v>
      </c>
      <c r="AM100" s="241">
        <v>3.5037574657315274</v>
      </c>
      <c r="AN100" s="241">
        <v>45.770983763654115</v>
      </c>
      <c r="AO100" s="241">
        <v>55.301681503461928</v>
      </c>
      <c r="AP100" s="241">
        <v>13.115001026998673</v>
      </c>
      <c r="AQ100" s="241">
        <v>40.946608694703414</v>
      </c>
      <c r="AR100" s="241">
        <v>38.081399541370416</v>
      </c>
      <c r="AS100" s="241">
        <v>18.268205482029742</v>
      </c>
      <c r="AT100" s="241">
        <v>10.504251113339347</v>
      </c>
      <c r="AU100" s="241">
        <v>17.165836138427192</v>
      </c>
    </row>
    <row r="101" spans="1:47"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</row>
    <row r="102" spans="1:47">
      <c r="A102" s="292">
        <v>2012</v>
      </c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</row>
    <row r="103" spans="1:47">
      <c r="A103" s="288" t="s">
        <v>3</v>
      </c>
      <c r="B103" s="201">
        <v>107.07457226399301</v>
      </c>
      <c r="C103" s="201">
        <v>111.15619047619001</v>
      </c>
      <c r="D103" s="201">
        <v>109.780526315789</v>
      </c>
      <c r="E103" s="201">
        <v>100.28700000000001</v>
      </c>
      <c r="F103" s="201">
        <v>2.6797</v>
      </c>
      <c r="G103" s="201">
        <v>98.294506647053495</v>
      </c>
      <c r="H103" s="201">
        <v>2.30762</v>
      </c>
      <c r="I103" s="201">
        <v>5.229508955</v>
      </c>
      <c r="J103" s="201">
        <v>2.1323084639999998</v>
      </c>
      <c r="K103" s="201">
        <v>1451</v>
      </c>
      <c r="L103" s="201">
        <v>2528.4280936454902</v>
      </c>
      <c r="M103" s="201">
        <v>2116.44</v>
      </c>
      <c r="N103" s="201">
        <v>1123.5</v>
      </c>
      <c r="O103" s="201">
        <v>1362.05</v>
      </c>
      <c r="P103" s="201">
        <v>503.18</v>
      </c>
      <c r="Q103" s="201">
        <v>1216.28</v>
      </c>
      <c r="R103" s="201">
        <v>385.86</v>
      </c>
      <c r="S103" s="201">
        <v>1252.78</v>
      </c>
      <c r="T103" s="201">
        <v>1451.82</v>
      </c>
      <c r="U103" s="201">
        <v>210.55817656619101</v>
      </c>
      <c r="V103" s="201">
        <v>272.84484500000002</v>
      </c>
      <c r="W103" s="201">
        <v>265.65670999999998</v>
      </c>
      <c r="X103" s="201">
        <v>542</v>
      </c>
      <c r="Y103" s="201">
        <v>534</v>
      </c>
      <c r="Z103" s="201">
        <v>516.25</v>
      </c>
      <c r="AA103" s="201">
        <v>451.43</v>
      </c>
      <c r="AB103" s="201">
        <v>253.8987597</v>
      </c>
      <c r="AC103" s="201">
        <v>274.89317414624998</v>
      </c>
      <c r="AD103" s="201">
        <v>0.96192371196793702</v>
      </c>
      <c r="AE103" s="201">
        <v>0.945230825</v>
      </c>
      <c r="AF103" s="201">
        <v>0.73058219061929897</v>
      </c>
      <c r="AG103" s="201">
        <v>4.2571212200000002</v>
      </c>
      <c r="AH103" s="201">
        <v>1.9919660291666701</v>
      </c>
      <c r="AI103" s="201">
        <v>11.353793</v>
      </c>
      <c r="AJ103" s="201">
        <v>0.42159415527272698</v>
      </c>
      <c r="AK103" s="201">
        <v>0.76484881660000004</v>
      </c>
      <c r="AL103" s="201">
        <v>0.51940847199999995</v>
      </c>
      <c r="AM103" s="201">
        <v>4414.5833333333303</v>
      </c>
      <c r="AN103" s="201">
        <v>2.2290912820000002</v>
      </c>
      <c r="AO103" s="201">
        <v>195</v>
      </c>
      <c r="AP103" s="201">
        <v>451.4</v>
      </c>
      <c r="AQ103" s="201">
        <v>435</v>
      </c>
      <c r="AR103" s="201">
        <v>368</v>
      </c>
      <c r="AS103" s="201">
        <v>495</v>
      </c>
      <c r="AT103" s="201">
        <v>2144.1999999999998</v>
      </c>
      <c r="AU103" s="201">
        <v>8040.47</v>
      </c>
    </row>
    <row r="104" spans="1:47">
      <c r="A104" s="288" t="s">
        <v>4</v>
      </c>
      <c r="B104" s="201">
        <v>112.687523809524</v>
      </c>
      <c r="C104" s="201">
        <v>119.70238095238101</v>
      </c>
      <c r="D104" s="201">
        <v>116.14619047619</v>
      </c>
      <c r="E104" s="201">
        <v>102.214</v>
      </c>
      <c r="F104" s="201">
        <v>2.5192000000000001</v>
      </c>
      <c r="G104" s="201">
        <v>94.315988415645407</v>
      </c>
      <c r="H104" s="201">
        <v>2.3562400000000001</v>
      </c>
      <c r="I104" s="201">
        <v>4.9418761919999996</v>
      </c>
      <c r="J104" s="201">
        <v>2.2471691659999999</v>
      </c>
      <c r="K104" s="201">
        <v>1411</v>
      </c>
      <c r="L104" s="201">
        <v>2528.4280936454902</v>
      </c>
      <c r="M104" s="201">
        <v>2116.44</v>
      </c>
      <c r="N104" s="201">
        <v>1146.25</v>
      </c>
      <c r="O104" s="201">
        <v>1365.48</v>
      </c>
      <c r="P104" s="201">
        <v>522.96</v>
      </c>
      <c r="Q104" s="201">
        <v>1249.1199999999999</v>
      </c>
      <c r="R104" s="201">
        <v>406.19</v>
      </c>
      <c r="S104" s="201">
        <v>1287.68</v>
      </c>
      <c r="T104" s="201">
        <v>1485</v>
      </c>
      <c r="U104" s="201">
        <v>213.400872661618</v>
      </c>
      <c r="V104" s="201">
        <v>279.45866899999999</v>
      </c>
      <c r="W104" s="201">
        <v>269.184102</v>
      </c>
      <c r="X104" s="201">
        <v>537.5</v>
      </c>
      <c r="Y104" s="201">
        <v>529</v>
      </c>
      <c r="Z104" s="201">
        <v>518.25</v>
      </c>
      <c r="AA104" s="201">
        <v>430.43</v>
      </c>
      <c r="AB104" s="201">
        <v>263.08467719999999</v>
      </c>
      <c r="AC104" s="201">
        <v>277.77295928249998</v>
      </c>
      <c r="AD104" s="201">
        <v>1.24455195609365</v>
      </c>
      <c r="AE104" s="201">
        <v>1.0678628125</v>
      </c>
      <c r="AF104" s="201">
        <v>0.77864096152749895</v>
      </c>
      <c r="AG104" s="201">
        <v>4.3095911759999996</v>
      </c>
      <c r="AH104" s="201">
        <v>2.0098785666666701</v>
      </c>
      <c r="AI104" s="201">
        <v>11.422136220000001</v>
      </c>
      <c r="AJ104" s="201">
        <v>0.43228146742857199</v>
      </c>
      <c r="AK104" s="201">
        <v>0.74144677530000003</v>
      </c>
      <c r="AL104" s="201">
        <v>0.53175434399999999</v>
      </c>
      <c r="AM104" s="201">
        <v>4417.5249999999996</v>
      </c>
      <c r="AN104" s="201">
        <v>2.2211546499999999</v>
      </c>
      <c r="AO104" s="201">
        <v>190</v>
      </c>
      <c r="AP104" s="201">
        <v>435.5</v>
      </c>
      <c r="AQ104" s="201">
        <v>445</v>
      </c>
      <c r="AR104" s="201">
        <v>375</v>
      </c>
      <c r="AS104" s="201">
        <v>495</v>
      </c>
      <c r="AT104" s="201">
        <v>2207.92</v>
      </c>
      <c r="AU104" s="201">
        <v>8441.49</v>
      </c>
    </row>
    <row r="105" spans="1:47">
      <c r="A105" s="288" t="s">
        <v>5</v>
      </c>
      <c r="B105" s="201">
        <v>117.785</v>
      </c>
      <c r="C105" s="201">
        <v>124.928636363636</v>
      </c>
      <c r="D105" s="201">
        <v>122.275909090909</v>
      </c>
      <c r="E105" s="201">
        <v>106.15045454545501</v>
      </c>
      <c r="F105" s="201">
        <v>2.1661000000000001</v>
      </c>
      <c r="G105" s="201">
        <v>94.279063117469406</v>
      </c>
      <c r="H105" s="201">
        <v>2.3592499999999998</v>
      </c>
      <c r="I105" s="201">
        <v>4.4370182119999999</v>
      </c>
      <c r="J105" s="201">
        <v>2.2833249339999999</v>
      </c>
      <c r="K105" s="201">
        <v>1338</v>
      </c>
      <c r="L105" s="201">
        <v>2528.4280936454902</v>
      </c>
      <c r="M105" s="201">
        <v>2138.48</v>
      </c>
      <c r="N105" s="201">
        <v>1195.3399999999999</v>
      </c>
      <c r="O105" s="201">
        <v>1366.43</v>
      </c>
      <c r="P105" s="201">
        <v>547.46</v>
      </c>
      <c r="Q105" s="201">
        <v>1285.3800000000001</v>
      </c>
      <c r="R105" s="201">
        <v>440.73</v>
      </c>
      <c r="S105" s="201">
        <v>1289.1199999999999</v>
      </c>
      <c r="T105" s="201">
        <v>1500.68</v>
      </c>
      <c r="U105" s="201">
        <v>222.78858648900899</v>
      </c>
      <c r="V105" s="201">
        <v>280.69384000000002</v>
      </c>
      <c r="W105" s="201">
        <v>274.034266</v>
      </c>
      <c r="X105" s="201">
        <v>548</v>
      </c>
      <c r="Y105" s="201">
        <v>544.4</v>
      </c>
      <c r="Z105" s="201">
        <v>526.75</v>
      </c>
      <c r="AA105" s="201">
        <v>428.7475</v>
      </c>
      <c r="AB105" s="201">
        <v>259.77774690000001</v>
      </c>
      <c r="AC105" s="201">
        <v>283.878254086364</v>
      </c>
      <c r="AD105" s="201">
        <v>1.2210655536314601</v>
      </c>
      <c r="AE105" s="201">
        <v>1.1436466249999999</v>
      </c>
      <c r="AF105" s="201">
        <v>0.802572942125518</v>
      </c>
      <c r="AG105" s="201">
        <v>4.347069716</v>
      </c>
      <c r="AH105" s="201">
        <v>2.0456329807692302</v>
      </c>
      <c r="AI105" s="201">
        <v>11.561027279999999</v>
      </c>
      <c r="AJ105" s="201">
        <v>0.43150005600000002</v>
      </c>
      <c r="AK105" s="201">
        <v>0.76353005299999999</v>
      </c>
      <c r="AL105" s="201">
        <v>0.53131342000000004</v>
      </c>
      <c r="AM105" s="201">
        <v>4379.0083333333296</v>
      </c>
      <c r="AN105" s="201">
        <v>2.1935969000000002</v>
      </c>
      <c r="AO105" s="201">
        <v>160</v>
      </c>
      <c r="AP105" s="201">
        <v>442.875</v>
      </c>
      <c r="AQ105" s="201">
        <v>441.25</v>
      </c>
      <c r="AR105" s="201">
        <v>393.125</v>
      </c>
      <c r="AS105" s="201">
        <v>495</v>
      </c>
      <c r="AT105" s="201">
        <v>2184.16</v>
      </c>
      <c r="AU105" s="201">
        <v>8470.7800000000007</v>
      </c>
    </row>
    <row r="106" spans="1:47">
      <c r="A106" s="288" t="s">
        <v>6</v>
      </c>
      <c r="B106" s="201">
        <v>113.66549999999999</v>
      </c>
      <c r="C106" s="201">
        <v>120.4635</v>
      </c>
      <c r="D106" s="201">
        <v>117.25</v>
      </c>
      <c r="E106" s="201">
        <v>103.283</v>
      </c>
      <c r="F106" s="201">
        <v>1.9467000000000001</v>
      </c>
      <c r="G106" s="201">
        <v>89.345644258126399</v>
      </c>
      <c r="H106" s="201">
        <v>2.2667799999999998</v>
      </c>
      <c r="I106" s="201">
        <v>4.22074499</v>
      </c>
      <c r="J106" s="201">
        <v>2.2443031599999999</v>
      </c>
      <c r="K106" s="201">
        <v>1348</v>
      </c>
      <c r="L106" s="201">
        <v>2528.4280936454902</v>
      </c>
      <c r="M106" s="201">
        <v>2274.96</v>
      </c>
      <c r="N106" s="201">
        <v>1233.6099999999999</v>
      </c>
      <c r="O106" s="201">
        <v>1394.72</v>
      </c>
      <c r="P106" s="201">
        <v>583.83000000000004</v>
      </c>
      <c r="Q106" s="201">
        <v>1308.8900000000001</v>
      </c>
      <c r="R106" s="201">
        <v>482.37</v>
      </c>
      <c r="S106" s="201">
        <v>1303.5899999999999</v>
      </c>
      <c r="T106" s="201">
        <v>1551.9</v>
      </c>
      <c r="U106" s="201">
        <v>237.17206304446299</v>
      </c>
      <c r="V106" s="201">
        <v>274.00128000000001</v>
      </c>
      <c r="W106" s="201">
        <v>254.854072</v>
      </c>
      <c r="X106" s="201">
        <v>547.75</v>
      </c>
      <c r="Y106" s="201">
        <v>550.66666666666697</v>
      </c>
      <c r="Z106" s="201">
        <v>533.25</v>
      </c>
      <c r="AA106" s="201">
        <v>440.71499999999997</v>
      </c>
      <c r="AB106" s="201">
        <v>254.6336331</v>
      </c>
      <c r="AC106" s="201">
        <v>266.32392179210501</v>
      </c>
      <c r="AD106" s="201">
        <v>1.25723456083385</v>
      </c>
      <c r="AE106" s="201">
        <v>1.02997090625</v>
      </c>
      <c r="AF106" s="201">
        <v>0.82289048765762496</v>
      </c>
      <c r="AG106" s="201">
        <v>4.2868835900000004</v>
      </c>
      <c r="AH106" s="201">
        <v>2.0558081499999998</v>
      </c>
      <c r="AI106" s="201">
        <v>11.768261559999999</v>
      </c>
      <c r="AJ106" s="201">
        <v>0.429872698666667</v>
      </c>
      <c r="AK106" s="201">
        <v>0.70255727850000005</v>
      </c>
      <c r="AL106" s="201">
        <v>0.50155105</v>
      </c>
      <c r="AM106" s="201">
        <v>4354.0749999999998</v>
      </c>
      <c r="AN106" s="201">
        <v>2.2032972279999998</v>
      </c>
      <c r="AO106" s="201">
        <v>185</v>
      </c>
      <c r="AP106" s="201">
        <v>478</v>
      </c>
      <c r="AQ106" s="201">
        <v>441.25</v>
      </c>
      <c r="AR106" s="201">
        <v>494.375</v>
      </c>
      <c r="AS106" s="201">
        <v>477.5</v>
      </c>
      <c r="AT106" s="201">
        <v>2049.67</v>
      </c>
      <c r="AU106" s="201">
        <v>8289.48</v>
      </c>
    </row>
    <row r="107" spans="1:47">
      <c r="A107" s="288" t="s">
        <v>7</v>
      </c>
      <c r="B107" s="201">
        <v>104.086034255599</v>
      </c>
      <c r="C107" s="201">
        <v>110.52173913043499</v>
      </c>
      <c r="D107" s="201">
        <v>107.05454545454501</v>
      </c>
      <c r="E107" s="201">
        <v>94.681818181818201</v>
      </c>
      <c r="F107" s="201">
        <v>2.4373999999999998</v>
      </c>
      <c r="G107" s="201">
        <v>96.533194706074099</v>
      </c>
      <c r="H107" s="201">
        <v>2.31393</v>
      </c>
      <c r="I107" s="201">
        <v>4.0708308300000002</v>
      </c>
      <c r="J107" s="201">
        <v>2.3562978559999999</v>
      </c>
      <c r="K107" s="201">
        <v>1155</v>
      </c>
      <c r="L107" s="201">
        <v>2400</v>
      </c>
      <c r="M107" s="201">
        <v>2408.0500000000002</v>
      </c>
      <c r="N107" s="201">
        <v>1125</v>
      </c>
      <c r="O107" s="201">
        <v>1236.75</v>
      </c>
      <c r="P107" s="201">
        <v>577.48</v>
      </c>
      <c r="Q107" s="201">
        <v>1220.55</v>
      </c>
      <c r="R107" s="201">
        <v>502.8</v>
      </c>
      <c r="S107" s="201">
        <v>1234.8800000000001</v>
      </c>
      <c r="T107" s="201">
        <v>1522.17</v>
      </c>
      <c r="U107" s="201">
        <v>239.458475666667</v>
      </c>
      <c r="V107" s="201">
        <v>269.27712000000002</v>
      </c>
      <c r="W107" s="201">
        <v>259.35389539455599</v>
      </c>
      <c r="X107" s="201">
        <v>600.5</v>
      </c>
      <c r="Y107" s="201">
        <v>553.25</v>
      </c>
      <c r="Z107" s="201">
        <v>561.75</v>
      </c>
      <c r="AA107" s="201">
        <v>433.28800000000001</v>
      </c>
      <c r="AB107" s="201">
        <v>251.32670279999999</v>
      </c>
      <c r="AC107" s="201">
        <v>264.35872401847797</v>
      </c>
      <c r="AD107" s="201">
        <v>1.2071220187787299</v>
      </c>
      <c r="AE107" s="201">
        <v>0.95349815000000004</v>
      </c>
      <c r="AF107" s="201">
        <v>0.75583243958903901</v>
      </c>
      <c r="AG107" s="201">
        <v>4.2174380600000001</v>
      </c>
      <c r="AH107" s="201">
        <v>2.0737206874999998</v>
      </c>
      <c r="AI107" s="201">
        <v>11.794717</v>
      </c>
      <c r="AJ107" s="201">
        <v>0.4182515168</v>
      </c>
      <c r="AK107" s="201">
        <v>0.66579524000000001</v>
      </c>
      <c r="AL107" s="201">
        <v>0.45878142199999999</v>
      </c>
      <c r="AM107" s="201">
        <v>4355.2333333333299</v>
      </c>
      <c r="AN107" s="201">
        <v>1.9518402749999999</v>
      </c>
      <c r="AO107" s="201">
        <v>195</v>
      </c>
      <c r="AP107" s="201">
        <v>490.5</v>
      </c>
      <c r="AQ107" s="201">
        <v>485</v>
      </c>
      <c r="AR107" s="201">
        <v>513.125</v>
      </c>
      <c r="AS107" s="201">
        <v>477.5</v>
      </c>
      <c r="AT107" s="201">
        <v>2007.63095238095</v>
      </c>
      <c r="AU107" s="201">
        <v>7955.6428571428596</v>
      </c>
    </row>
    <row r="108" spans="1:47">
      <c r="A108" s="288" t="s">
        <v>8</v>
      </c>
      <c r="B108" s="201">
        <v>90.728253968253995</v>
      </c>
      <c r="C108" s="201">
        <v>95.589047619047605</v>
      </c>
      <c r="D108" s="201">
        <v>94.236190476190501</v>
      </c>
      <c r="E108" s="201">
        <v>82.359523809523793</v>
      </c>
      <c r="F108" s="201">
        <v>2.4552</v>
      </c>
      <c r="G108" s="201">
        <v>96.090450413675597</v>
      </c>
      <c r="H108" s="201">
        <v>2.2642099999999998</v>
      </c>
      <c r="I108" s="201">
        <v>3.7189734780000001</v>
      </c>
      <c r="J108" s="201">
        <v>2.3302833399999998</v>
      </c>
      <c r="K108" s="201">
        <v>1058</v>
      </c>
      <c r="L108" s="201">
        <v>2400</v>
      </c>
      <c r="M108" s="201">
        <v>2425.08</v>
      </c>
      <c r="N108" s="201">
        <v>1027.74</v>
      </c>
      <c r="O108" s="201">
        <v>1089.05</v>
      </c>
      <c r="P108" s="201">
        <v>578.01</v>
      </c>
      <c r="Q108" s="201">
        <v>1181.93</v>
      </c>
      <c r="R108" s="201">
        <v>514.95000000000005</v>
      </c>
      <c r="S108" s="201">
        <v>1183.3699999999999</v>
      </c>
      <c r="T108" s="201">
        <v>1430.48</v>
      </c>
      <c r="U108" s="201">
        <v>236.757816166667</v>
      </c>
      <c r="V108" s="201">
        <v>267.30871999999999</v>
      </c>
      <c r="W108" s="201">
        <v>263.93316978796503</v>
      </c>
      <c r="X108" s="201">
        <v>600</v>
      </c>
      <c r="Y108" s="201">
        <v>578</v>
      </c>
      <c r="Z108" s="201">
        <v>541.20000000000005</v>
      </c>
      <c r="AA108" s="201">
        <v>411.96249999999998</v>
      </c>
      <c r="AB108" s="201">
        <v>249.48951930000001</v>
      </c>
      <c r="AC108" s="201">
        <v>276.18991949999997</v>
      </c>
      <c r="AD108" s="201">
        <v>1.0493064800304199</v>
      </c>
      <c r="AE108" s="201">
        <v>0.95418709374999999</v>
      </c>
      <c r="AF108" s="201">
        <v>0.95276366103577903</v>
      </c>
      <c r="AG108" s="201">
        <v>4.1241826340000003</v>
      </c>
      <c r="AH108" s="201">
        <v>2.0833659</v>
      </c>
      <c r="AI108" s="201">
        <v>11.794717</v>
      </c>
      <c r="AJ108" s="201">
        <v>0.40975427009523802</v>
      </c>
      <c r="AK108" s="201">
        <v>0.63063680009523804</v>
      </c>
      <c r="AL108" s="201">
        <v>0.451285714</v>
      </c>
      <c r="AM108" s="201">
        <v>4282.9666666666699</v>
      </c>
      <c r="AN108" s="201">
        <v>1.8117567160000001</v>
      </c>
      <c r="AO108" s="201">
        <v>193.125</v>
      </c>
      <c r="AP108" s="201">
        <v>501.625</v>
      </c>
      <c r="AQ108" s="201">
        <v>485</v>
      </c>
      <c r="AR108" s="201">
        <v>456.875</v>
      </c>
      <c r="AS108" s="201">
        <v>477.5</v>
      </c>
      <c r="AT108" s="201">
        <v>1890.17857142857</v>
      </c>
      <c r="AU108" s="201">
        <v>7423.0238095238101</v>
      </c>
    </row>
    <row r="109" spans="1:47">
      <c r="A109" s="288" t="s">
        <v>9</v>
      </c>
      <c r="B109" s="201">
        <v>96.754112554112595</v>
      </c>
      <c r="C109" s="201">
        <v>103.14090909090901</v>
      </c>
      <c r="D109" s="201">
        <v>99.22</v>
      </c>
      <c r="E109" s="201">
        <v>87.901428571428596</v>
      </c>
      <c r="F109" s="201">
        <v>2.9455</v>
      </c>
      <c r="G109" s="201">
        <v>100.949435743397</v>
      </c>
      <c r="H109" s="201">
        <v>2.34981863636364</v>
      </c>
      <c r="I109" s="201">
        <v>4.1986987899999999</v>
      </c>
      <c r="J109" s="201">
        <v>2.3602661720000002</v>
      </c>
      <c r="K109" s="201">
        <v>1070</v>
      </c>
      <c r="L109" s="201">
        <v>2400</v>
      </c>
      <c r="M109" s="201">
        <v>2450.2800000000002</v>
      </c>
      <c r="N109" s="201">
        <v>1052.8399999999999</v>
      </c>
      <c r="O109" s="201">
        <v>1063.18</v>
      </c>
      <c r="P109" s="201">
        <v>670.19</v>
      </c>
      <c r="Q109" s="201">
        <v>1239.49</v>
      </c>
      <c r="R109" s="201">
        <v>608.67999999999995</v>
      </c>
      <c r="S109" s="201">
        <v>1214.67</v>
      </c>
      <c r="T109" s="201">
        <v>1472.27</v>
      </c>
      <c r="U109" s="201">
        <v>253.379732375</v>
      </c>
      <c r="V109" s="201">
        <v>333.05327999999997</v>
      </c>
      <c r="W109" s="201">
        <v>268.59329800444198</v>
      </c>
      <c r="X109" s="201">
        <v>573.75</v>
      </c>
      <c r="Y109" s="201">
        <v>555</v>
      </c>
      <c r="Z109" s="201">
        <v>518.75</v>
      </c>
      <c r="AA109" s="201">
        <v>409.28500000000003</v>
      </c>
      <c r="AB109" s="201">
        <v>322.9768593</v>
      </c>
      <c r="AC109" s="201">
        <v>345.68794675714298</v>
      </c>
      <c r="AD109" s="201">
        <v>0.85025370560395797</v>
      </c>
      <c r="AE109" s="201">
        <v>0.96452125</v>
      </c>
      <c r="AF109" s="201">
        <v>1.01515810558403</v>
      </c>
      <c r="AG109" s="201">
        <v>4.0318090560000002</v>
      </c>
      <c r="AH109" s="201">
        <v>2.08841815416667</v>
      </c>
      <c r="AI109" s="201">
        <v>11.794717</v>
      </c>
      <c r="AJ109" s="201">
        <v>0.40143723927272701</v>
      </c>
      <c r="AK109" s="201">
        <v>0.63230601238095197</v>
      </c>
      <c r="AL109" s="201">
        <v>0.50441705599999997</v>
      </c>
      <c r="AM109" s="201">
        <v>4191.4166666666697</v>
      </c>
      <c r="AN109" s="201">
        <v>1.851219414</v>
      </c>
      <c r="AO109" s="201">
        <v>188.5</v>
      </c>
      <c r="AP109" s="201">
        <v>436.875</v>
      </c>
      <c r="AQ109" s="201">
        <v>485</v>
      </c>
      <c r="AR109" s="201">
        <v>307.5</v>
      </c>
      <c r="AS109" s="201">
        <v>279.5</v>
      </c>
      <c r="AT109" s="201">
        <v>1876.25</v>
      </c>
      <c r="AU109" s="201">
        <v>7584.2613636363603</v>
      </c>
    </row>
    <row r="110" spans="1:47">
      <c r="A110" s="288" t="s">
        <v>10</v>
      </c>
      <c r="B110" s="201">
        <v>105.273636991028</v>
      </c>
      <c r="C110" s="201">
        <v>113.34</v>
      </c>
      <c r="D110" s="201">
        <v>108.370476190476</v>
      </c>
      <c r="E110" s="201">
        <v>94.110434782608706</v>
      </c>
      <c r="F110" s="201">
        <v>2.8382999999999998</v>
      </c>
      <c r="G110" s="201">
        <v>99.634691967163405</v>
      </c>
      <c r="H110" s="201">
        <v>2.5122599999999999</v>
      </c>
      <c r="I110" s="201">
        <v>3.8542125370434799</v>
      </c>
      <c r="J110" s="201">
        <v>2.3483803946087001</v>
      </c>
      <c r="K110" s="201">
        <v>1001</v>
      </c>
      <c r="L110" s="201">
        <v>2400</v>
      </c>
      <c r="M110" s="201">
        <v>2469.1799999999998</v>
      </c>
      <c r="N110" s="201">
        <v>1022.38</v>
      </c>
      <c r="O110" s="201">
        <v>1007.61</v>
      </c>
      <c r="P110" s="201">
        <v>684.02</v>
      </c>
      <c r="Q110" s="201">
        <v>1250.27</v>
      </c>
      <c r="R110" s="201">
        <v>651.35</v>
      </c>
      <c r="S110" s="201">
        <v>1230.73</v>
      </c>
      <c r="T110" s="201">
        <v>1525.43</v>
      </c>
      <c r="U110" s="201">
        <v>265.69345366666698</v>
      </c>
      <c r="V110" s="201">
        <v>331.99205565217397</v>
      </c>
      <c r="W110" s="201">
        <v>273.33570763712498</v>
      </c>
      <c r="X110" s="201">
        <v>567.75</v>
      </c>
      <c r="Y110" s="201">
        <v>545</v>
      </c>
      <c r="Z110" s="201">
        <v>509</v>
      </c>
      <c r="AA110" s="201">
        <v>436.428</v>
      </c>
      <c r="AB110" s="201">
        <v>333.73237052934797</v>
      </c>
      <c r="AC110" s="201">
        <v>349.40035068260897</v>
      </c>
      <c r="AD110" s="201">
        <v>0.98487190125377799</v>
      </c>
      <c r="AE110" s="201">
        <v>0.95074237500000003</v>
      </c>
      <c r="AF110" s="201">
        <v>0.97038912808461997</v>
      </c>
      <c r="AG110" s="201">
        <v>4.09508165</v>
      </c>
      <c r="AH110" s="201">
        <v>2.0947826821428599</v>
      </c>
      <c r="AI110" s="201">
        <v>11.75723846</v>
      </c>
      <c r="AJ110" s="201">
        <v>0.40505721495652203</v>
      </c>
      <c r="AK110" s="201">
        <v>0.63361737330434797</v>
      </c>
      <c r="AL110" s="201">
        <v>0.460324656</v>
      </c>
      <c r="AM110" s="201">
        <v>4207.9333333333298</v>
      </c>
      <c r="AN110" s="201">
        <v>1.86069928</v>
      </c>
      <c r="AO110" s="201">
        <v>182.5</v>
      </c>
      <c r="AP110" s="201">
        <v>504.5</v>
      </c>
      <c r="AQ110" s="201">
        <v>485</v>
      </c>
      <c r="AR110" s="201">
        <v>382.5</v>
      </c>
      <c r="AS110" s="201">
        <v>477.5</v>
      </c>
      <c r="AT110" s="201">
        <v>1845.3760869565201</v>
      </c>
      <c r="AU110" s="201">
        <v>7515.5326086956502</v>
      </c>
    </row>
    <row r="111" spans="1:47">
      <c r="A111" s="288" t="s">
        <v>11</v>
      </c>
      <c r="B111" s="201">
        <v>106.284964912281</v>
      </c>
      <c r="C111" s="201">
        <v>113.38249999999999</v>
      </c>
      <c r="D111" s="201">
        <v>110.9645</v>
      </c>
      <c r="E111" s="201">
        <v>94.507894736842104</v>
      </c>
      <c r="F111" s="201">
        <v>2.8414999999999999</v>
      </c>
      <c r="G111" s="201">
        <v>98.581633900695195</v>
      </c>
      <c r="H111" s="201">
        <v>2.6202800000000002</v>
      </c>
      <c r="I111" s="201">
        <v>3.9458288760000002</v>
      </c>
      <c r="J111" s="201">
        <v>2.3137486900000002</v>
      </c>
      <c r="K111" s="201">
        <v>967</v>
      </c>
      <c r="L111" s="201">
        <v>2400</v>
      </c>
      <c r="M111" s="201">
        <v>2469.1799999999998</v>
      </c>
      <c r="N111" s="201">
        <v>1001.38</v>
      </c>
      <c r="O111" s="201">
        <v>980</v>
      </c>
      <c r="P111" s="201">
        <v>677.32</v>
      </c>
      <c r="Q111" s="201">
        <v>1280.95</v>
      </c>
      <c r="R111" s="201">
        <v>647.17999999999995</v>
      </c>
      <c r="S111" s="201">
        <v>1268.69</v>
      </c>
      <c r="T111" s="201">
        <v>1572.25</v>
      </c>
      <c r="U111" s="201">
        <v>256.23655245833299</v>
      </c>
      <c r="V111" s="201">
        <v>320.8492</v>
      </c>
      <c r="W111" s="201">
        <v>278.16185148541001</v>
      </c>
      <c r="X111" s="201">
        <v>563.25</v>
      </c>
      <c r="Y111" s="201">
        <v>543.75</v>
      </c>
      <c r="Z111" s="201">
        <v>512</v>
      </c>
      <c r="AA111" s="201">
        <v>455.17750000000001</v>
      </c>
      <c r="AB111" s="201">
        <v>343.5533145</v>
      </c>
      <c r="AC111" s="201">
        <v>353.42092377236798</v>
      </c>
      <c r="AD111" s="201">
        <v>1.1118808410221901</v>
      </c>
      <c r="AE111" s="201">
        <v>0.96452125</v>
      </c>
      <c r="AF111" s="201">
        <v>1.000894425</v>
      </c>
      <c r="AG111" s="201">
        <v>4.0622328120000004</v>
      </c>
      <c r="AH111" s="201">
        <v>2.10862717083333</v>
      </c>
      <c r="AI111" s="201">
        <v>11.367020719999999</v>
      </c>
      <c r="AJ111" s="201">
        <v>0.42040517999999999</v>
      </c>
      <c r="AK111" s="201">
        <v>0.57904924463157903</v>
      </c>
      <c r="AL111" s="201">
        <v>0.44065712494736797</v>
      </c>
      <c r="AM111" s="201">
        <v>4191.4666666666699</v>
      </c>
      <c r="AN111" s="201">
        <v>1.8551877299999999</v>
      </c>
      <c r="AO111" s="201">
        <v>182.5</v>
      </c>
      <c r="AP111" s="201">
        <v>527.375</v>
      </c>
      <c r="AQ111" s="201">
        <v>485</v>
      </c>
      <c r="AR111" s="201">
        <v>384.375</v>
      </c>
      <c r="AS111" s="201">
        <v>477.5</v>
      </c>
      <c r="AT111" s="201">
        <v>2064.12</v>
      </c>
      <c r="AU111" s="201">
        <v>8087.74</v>
      </c>
    </row>
    <row r="112" spans="1:47">
      <c r="A112" s="288" t="s">
        <v>12</v>
      </c>
      <c r="B112" s="201">
        <v>103.407865612648</v>
      </c>
      <c r="C112" s="201">
        <v>111.97347826087</v>
      </c>
      <c r="D112" s="201">
        <v>108.732727272727</v>
      </c>
      <c r="E112" s="201">
        <v>89.517391304347797</v>
      </c>
      <c r="F112" s="201">
        <v>3.3174000000000001</v>
      </c>
      <c r="G112" s="201">
        <v>105.701085337492</v>
      </c>
      <c r="H112" s="201">
        <v>2.4635400000000001</v>
      </c>
      <c r="I112" s="201">
        <v>3.8210473839999999</v>
      </c>
      <c r="J112" s="201">
        <v>2.3031665139999999</v>
      </c>
      <c r="K112" s="201">
        <v>898</v>
      </c>
      <c r="L112" s="201">
        <v>2400</v>
      </c>
      <c r="M112" s="201">
        <v>2469.1799999999998</v>
      </c>
      <c r="N112" s="201">
        <v>886</v>
      </c>
      <c r="O112" s="201">
        <v>863.04</v>
      </c>
      <c r="P112" s="201">
        <v>625.76</v>
      </c>
      <c r="Q112" s="201">
        <v>1177.95</v>
      </c>
      <c r="R112" s="201">
        <v>595.41</v>
      </c>
      <c r="S112" s="201">
        <v>1214.2</v>
      </c>
      <c r="T112" s="201">
        <v>1302.6099999999999</v>
      </c>
      <c r="U112" s="201">
        <v>252.91125062500001</v>
      </c>
      <c r="V112" s="201">
        <v>321.24288000000001</v>
      </c>
      <c r="W112" s="201">
        <v>283.07320800000002</v>
      </c>
      <c r="X112" s="201">
        <v>558.25</v>
      </c>
      <c r="Y112" s="201">
        <v>532.5</v>
      </c>
      <c r="Z112" s="201">
        <v>520.25</v>
      </c>
      <c r="AA112" s="201">
        <v>453.74400000000003</v>
      </c>
      <c r="AB112" s="201">
        <v>340.24638420000002</v>
      </c>
      <c r="AC112" s="201">
        <v>358.19566699500001</v>
      </c>
      <c r="AD112" s="201">
        <v>1.1173274917554401</v>
      </c>
      <c r="AE112" s="201">
        <v>0.95625392499999995</v>
      </c>
      <c r="AF112" s="201">
        <v>0.98084851102196102</v>
      </c>
      <c r="AG112" s="201">
        <v>4.0736968359999999</v>
      </c>
      <c r="AH112" s="201">
        <v>2.11289206071429</v>
      </c>
      <c r="AI112" s="201">
        <v>10.92609672</v>
      </c>
      <c r="AJ112" s="201">
        <v>0.42354051095652201</v>
      </c>
      <c r="AK112" s="201">
        <v>0.52540103000000005</v>
      </c>
      <c r="AL112" s="201">
        <v>0.44778707791304301</v>
      </c>
      <c r="AM112" s="201">
        <v>4223.95</v>
      </c>
      <c r="AN112" s="201">
        <v>1.8066860899999999</v>
      </c>
      <c r="AO112" s="201">
        <v>182.5</v>
      </c>
      <c r="AP112" s="201">
        <v>533.5</v>
      </c>
      <c r="AQ112" s="201">
        <v>474</v>
      </c>
      <c r="AR112" s="201">
        <v>349</v>
      </c>
      <c r="AS112" s="201">
        <v>477.5</v>
      </c>
      <c r="AT112" s="201">
        <v>1974.3</v>
      </c>
      <c r="AU112" s="201">
        <v>8062.03</v>
      </c>
    </row>
    <row r="113" spans="1:47">
      <c r="A113" s="288" t="s">
        <v>13</v>
      </c>
      <c r="B113" s="201">
        <v>101.174415584416</v>
      </c>
      <c r="C113" s="201">
        <v>109.711818181818</v>
      </c>
      <c r="D113" s="201">
        <v>107.133333333333</v>
      </c>
      <c r="E113" s="201">
        <v>86.678095238095295</v>
      </c>
      <c r="F113" s="201">
        <v>3.5379999999999998</v>
      </c>
      <c r="G113" s="201">
        <v>109.365158286195</v>
      </c>
      <c r="H113" s="201">
        <v>2.4781599999999999</v>
      </c>
      <c r="I113" s="201">
        <v>3.5254078419999999</v>
      </c>
      <c r="J113" s="201">
        <v>2.1532523540000001</v>
      </c>
      <c r="K113" s="201">
        <v>848</v>
      </c>
      <c r="L113" s="201">
        <v>2400</v>
      </c>
      <c r="M113" s="201">
        <v>2469.1799999999998</v>
      </c>
      <c r="N113" s="201">
        <v>863.18</v>
      </c>
      <c r="O113" s="201">
        <v>806.7</v>
      </c>
      <c r="P113" s="201">
        <v>584.59</v>
      </c>
      <c r="Q113" s="201">
        <v>1137.78</v>
      </c>
      <c r="R113" s="201">
        <v>567.61</v>
      </c>
      <c r="S113" s="201">
        <v>1184.6099999999999</v>
      </c>
      <c r="T113" s="201">
        <v>1285.23</v>
      </c>
      <c r="U113" s="201">
        <v>252.066146291667</v>
      </c>
      <c r="V113" s="201">
        <v>321.63655999999997</v>
      </c>
      <c r="W113" s="201">
        <v>289.02568200000002</v>
      </c>
      <c r="X113" s="201">
        <v>559.25</v>
      </c>
      <c r="Y113" s="201">
        <v>530</v>
      </c>
      <c r="Z113" s="201">
        <v>523</v>
      </c>
      <c r="AA113" s="201">
        <v>448.32249999999999</v>
      </c>
      <c r="AB113" s="201">
        <v>346.49280809999999</v>
      </c>
      <c r="AC113" s="201">
        <v>360.82283940000002</v>
      </c>
      <c r="AD113" s="201">
        <v>1.06778975001531</v>
      </c>
      <c r="AE113" s="201">
        <v>0.93351878124999998</v>
      </c>
      <c r="AF113" s="201">
        <v>0.84683615000000001</v>
      </c>
      <c r="AG113" s="201">
        <v>4.293056526</v>
      </c>
      <c r="AH113" s="201">
        <v>2.1304645999999998</v>
      </c>
      <c r="AI113" s="201">
        <v>10.96137064</v>
      </c>
      <c r="AJ113" s="201">
        <v>0.41925182945454498</v>
      </c>
      <c r="AK113" s="201">
        <v>0.49645942761904799</v>
      </c>
      <c r="AL113" s="201">
        <v>0.42635251161904802</v>
      </c>
      <c r="AM113" s="201">
        <v>4268.7749999999996</v>
      </c>
      <c r="AN113" s="201">
        <v>1.782876194</v>
      </c>
      <c r="AO113" s="201">
        <v>182.5</v>
      </c>
      <c r="AP113" s="201">
        <v>487.875</v>
      </c>
      <c r="AQ113" s="201">
        <v>447.5</v>
      </c>
      <c r="AR113" s="201">
        <v>383.5</v>
      </c>
      <c r="AS113" s="201">
        <v>477.5</v>
      </c>
      <c r="AT113" s="201">
        <v>1948.82954545455</v>
      </c>
      <c r="AU113" s="201">
        <v>7711.2272727272702</v>
      </c>
    </row>
    <row r="114" spans="1:47">
      <c r="A114" s="288" t="s">
        <v>14</v>
      </c>
      <c r="B114" s="201">
        <v>101.193666666667</v>
      </c>
      <c r="C114" s="201">
        <v>109.6765</v>
      </c>
      <c r="D114" s="201">
        <v>105.68899999999999</v>
      </c>
      <c r="E114" s="201">
        <v>88.215500000000006</v>
      </c>
      <c r="F114" s="201">
        <v>3.3395000000000001</v>
      </c>
      <c r="G114" s="201">
        <v>107.042312431836</v>
      </c>
      <c r="H114" s="201">
        <v>2.4103400000000001</v>
      </c>
      <c r="I114" s="201">
        <v>3.3673365880000001</v>
      </c>
      <c r="J114" s="201">
        <v>2.1294424580000002</v>
      </c>
      <c r="K114" s="201">
        <v>785</v>
      </c>
      <c r="L114" s="201">
        <v>2400</v>
      </c>
      <c r="M114" s="201">
        <v>2502.25</v>
      </c>
      <c r="N114" s="201">
        <v>843.55</v>
      </c>
      <c r="O114" s="201">
        <v>753.53</v>
      </c>
      <c r="P114" s="201">
        <v>591.29</v>
      </c>
      <c r="Q114" s="201">
        <v>1158.6400000000001</v>
      </c>
      <c r="R114" s="201">
        <v>577.22</v>
      </c>
      <c r="S114" s="201">
        <v>1188.18</v>
      </c>
      <c r="T114" s="201">
        <v>1271.9000000000001</v>
      </c>
      <c r="U114" s="201">
        <v>242.94453104166701</v>
      </c>
      <c r="V114" s="201">
        <v>308.64512000000002</v>
      </c>
      <c r="W114" s="201">
        <v>283.95505600000001</v>
      </c>
      <c r="X114" s="201">
        <v>557.79999999999995</v>
      </c>
      <c r="Y114" s="201">
        <v>530</v>
      </c>
      <c r="Z114" s="201">
        <v>520.4</v>
      </c>
      <c r="AA114" s="201">
        <v>413.75</v>
      </c>
      <c r="AB114" s="201">
        <v>325.18147950000002</v>
      </c>
      <c r="AC114" s="201">
        <v>347.96255489999999</v>
      </c>
      <c r="AD114" s="201">
        <v>1.1233965702506301</v>
      </c>
      <c r="AE114" s="201">
        <v>0.94385293749999999</v>
      </c>
      <c r="AF114" s="201">
        <v>0.75808699999999996</v>
      </c>
      <c r="AG114" s="201">
        <v>4.3746274659999997</v>
      </c>
      <c r="AH114" s="201">
        <v>2.1527195708333302</v>
      </c>
      <c r="AI114" s="201">
        <v>11.071601640000001</v>
      </c>
      <c r="AJ114" s="201">
        <v>0.42867686704761898</v>
      </c>
      <c r="AK114" s="201">
        <v>0.49202709160000002</v>
      </c>
      <c r="AL114" s="201">
        <v>0.42571212200000003</v>
      </c>
      <c r="AM114" s="201">
        <v>4341.3083333333298</v>
      </c>
      <c r="AN114" s="201">
        <v>1.8379916940000001</v>
      </c>
      <c r="AO114" s="201">
        <v>182.5</v>
      </c>
      <c r="AP114" s="201">
        <v>472.83333333333297</v>
      </c>
      <c r="AQ114" s="201">
        <v>435</v>
      </c>
      <c r="AR114" s="201">
        <v>375.83333333333297</v>
      </c>
      <c r="AS114" s="201">
        <v>477.5</v>
      </c>
      <c r="AT114" s="201">
        <v>2086.7631578947398</v>
      </c>
      <c r="AU114" s="201">
        <v>7966.4868421052597</v>
      </c>
    </row>
    <row r="115" spans="1:47" s="291" customFormat="1" ht="15">
      <c r="A115" s="198" t="s">
        <v>1</v>
      </c>
      <c r="B115" s="241">
        <v>105.00962888487688</v>
      </c>
      <c r="C115" s="241">
        <v>111.96555833960723</v>
      </c>
      <c r="D115" s="241">
        <v>108.90444988417995</v>
      </c>
      <c r="E115" s="241">
        <v>94.158878430843288</v>
      </c>
      <c r="F115" s="241">
        <v>2.7520416666666665</v>
      </c>
      <c r="G115" s="241">
        <v>99.177763768735261</v>
      </c>
      <c r="H115" s="241">
        <v>2.3918690530303035</v>
      </c>
      <c r="I115" s="241">
        <v>4.1109570561702897</v>
      </c>
      <c r="J115" s="241">
        <v>2.2668286252173915</v>
      </c>
      <c r="K115" s="241">
        <v>1110.8333333333333</v>
      </c>
      <c r="L115" s="241">
        <v>2442.8093645484969</v>
      </c>
      <c r="M115" s="241">
        <v>2359.0583333333334</v>
      </c>
      <c r="N115" s="241">
        <v>1043.3974999999998</v>
      </c>
      <c r="O115" s="241">
        <v>1107.3783333333336</v>
      </c>
      <c r="P115" s="241">
        <v>595.50750000000005</v>
      </c>
      <c r="Q115" s="241">
        <v>1225.6025000000002</v>
      </c>
      <c r="R115" s="241">
        <v>531.69583333333333</v>
      </c>
      <c r="S115" s="241">
        <v>1237.7083333333335</v>
      </c>
      <c r="T115" s="241">
        <v>1447.6450000000002</v>
      </c>
      <c r="U115" s="241">
        <v>240.28063808774573</v>
      </c>
      <c r="V115" s="241">
        <v>298.41696413768113</v>
      </c>
      <c r="W115" s="241">
        <v>271.93008485912486</v>
      </c>
      <c r="X115" s="241">
        <v>562.98333333333335</v>
      </c>
      <c r="Y115" s="241">
        <v>543.79722222222233</v>
      </c>
      <c r="Z115" s="241">
        <v>525.07083333333333</v>
      </c>
      <c r="AA115" s="241">
        <v>434.44</v>
      </c>
      <c r="AB115" s="241">
        <v>295.36618792744565</v>
      </c>
      <c r="AC115" s="241">
        <v>313.24226961106814</v>
      </c>
      <c r="AD115" s="241">
        <v>1.0997270451031127</v>
      </c>
      <c r="AE115" s="241">
        <v>0.98398391093749993</v>
      </c>
      <c r="AF115" s="241">
        <v>0.86795800018711411</v>
      </c>
      <c r="AG115" s="241">
        <v>4.2060658951666658</v>
      </c>
      <c r="AH115" s="241">
        <v>2.0790230460660877</v>
      </c>
      <c r="AI115" s="241">
        <v>11.464391436666666</v>
      </c>
      <c r="AJ115" s="241">
        <v>0.42013525049592831</v>
      </c>
      <c r="AK115" s="241">
        <v>0.63563959525259717</v>
      </c>
      <c r="AL115" s="241">
        <v>0.47494541420662162</v>
      </c>
      <c r="AM115" s="241">
        <v>4302.3534722222203</v>
      </c>
      <c r="AN115" s="241">
        <v>1.9671164544166666</v>
      </c>
      <c r="AO115" s="241">
        <v>184.92708333333334</v>
      </c>
      <c r="AP115" s="241">
        <v>480.23819444444439</v>
      </c>
      <c r="AQ115" s="241">
        <v>462</v>
      </c>
      <c r="AR115" s="241">
        <v>398.6006944444444</v>
      </c>
      <c r="AS115" s="241">
        <v>465.375</v>
      </c>
      <c r="AT115" s="241">
        <v>2023.2831928429443</v>
      </c>
      <c r="AU115" s="241">
        <v>7962.3470628192663</v>
      </c>
    </row>
    <row r="116" spans="1:47" s="291" customFormat="1" ht="15">
      <c r="A116" s="198" t="s">
        <v>172</v>
      </c>
      <c r="B116" s="241">
        <v>0.96167402479714337</v>
      </c>
      <c r="C116" s="241">
        <v>0.92449401994438851</v>
      </c>
      <c r="D116" s="241">
        <v>2.7071630508553879</v>
      </c>
      <c r="E116" s="241">
        <v>-0.94204073229149365</v>
      </c>
      <c r="F116" s="241">
        <v>-31.174500390075941</v>
      </c>
      <c r="G116" s="241">
        <v>-8.5695841682219225</v>
      </c>
      <c r="H116" s="241">
        <v>-19.738003976123352</v>
      </c>
      <c r="I116" s="241">
        <v>-31.210460699198695</v>
      </c>
      <c r="J116" s="241">
        <v>-5.8466463001940134</v>
      </c>
      <c r="K116" s="241">
        <v>-35.793073551370355</v>
      </c>
      <c r="L116" s="241">
        <v>29.672534242319347</v>
      </c>
      <c r="M116" s="241">
        <v>26.417178878474967</v>
      </c>
      <c r="N116" s="241">
        <v>-12.567141791732661</v>
      </c>
      <c r="O116" s="241">
        <v>-33.034095387260642</v>
      </c>
      <c r="P116" s="241">
        <v>10.788142438331661</v>
      </c>
      <c r="Q116" s="241">
        <v>-5.5528797990228469</v>
      </c>
      <c r="R116" s="241">
        <v>30.103424509488043</v>
      </c>
      <c r="S116" s="241">
        <v>-9.1803515260024398</v>
      </c>
      <c r="T116" s="241">
        <v>-9.3924582644629986</v>
      </c>
      <c r="U116" s="241">
        <v>15.967283485354965</v>
      </c>
      <c r="V116" s="241">
        <v>2.3082819460812809</v>
      </c>
      <c r="W116" s="241">
        <v>1.1840634660658544</v>
      </c>
      <c r="X116" s="241">
        <v>3.6746031137063095</v>
      </c>
      <c r="Y116" s="241">
        <v>7.4618426939154547</v>
      </c>
      <c r="Z116" s="241">
        <v>14.504697693859381</v>
      </c>
      <c r="AA116" s="241">
        <v>-15.419311834422212</v>
      </c>
      <c r="AB116" s="241">
        <v>3.3061911053424931</v>
      </c>
      <c r="AC116" s="241">
        <v>-0.95548708701925777</v>
      </c>
      <c r="AD116" s="241">
        <v>-2.2236053427829527</v>
      </c>
      <c r="AE116" s="241">
        <v>1.6517896859523651</v>
      </c>
      <c r="AF116" s="241">
        <v>-2.5970695055453685</v>
      </c>
      <c r="AG116" s="241">
        <v>3.1567801383287852</v>
      </c>
      <c r="AH116" s="241">
        <v>7.9266399368552953</v>
      </c>
      <c r="AI116" s="241">
        <v>-5.3453872523738895</v>
      </c>
      <c r="AJ116" s="241">
        <v>-7.5848339678115329</v>
      </c>
      <c r="AK116" s="241">
        <v>-24.252571302531557</v>
      </c>
      <c r="AL116" s="241">
        <v>-17.136275817771697</v>
      </c>
      <c r="AM116" s="241">
        <v>-4.0734706175902913</v>
      </c>
      <c r="AN116" s="241">
        <v>-40.900922403461628</v>
      </c>
      <c r="AO116" s="241">
        <v>13.069231259155467</v>
      </c>
      <c r="AP116" s="241">
        <v>-6.9824091335846106</v>
      </c>
      <c r="AQ116" s="241">
        <v>-14.167940704042724</v>
      </c>
      <c r="AR116" s="241">
        <v>-8.0773053830718311E-2</v>
      </c>
      <c r="AS116" s="241">
        <v>18.46941210787303</v>
      </c>
      <c r="AT116" s="241">
        <v>-15.745214174465405</v>
      </c>
      <c r="AU116" s="241">
        <v>-9.8076806499718501</v>
      </c>
    </row>
    <row r="117" spans="1:47"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01"/>
      <c r="AT117" s="201"/>
      <c r="AU117" s="201"/>
    </row>
    <row r="118" spans="1:47">
      <c r="A118" s="292">
        <v>2013</v>
      </c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  <c r="AR118" s="201"/>
      <c r="AS118" s="201"/>
      <c r="AT118" s="201"/>
      <c r="AU118" s="201"/>
    </row>
    <row r="119" spans="1:47">
      <c r="A119" s="288" t="s">
        <v>3</v>
      </c>
      <c r="B119" s="201">
        <v>105.100216450216</v>
      </c>
      <c r="C119" s="201">
        <v>112.973636363636</v>
      </c>
      <c r="D119" s="201">
        <v>107.582727272727</v>
      </c>
      <c r="E119" s="201">
        <v>94.744285714285695</v>
      </c>
      <c r="F119" s="201">
        <v>3.3279999999999998</v>
      </c>
      <c r="G119" s="201">
        <v>107.60817859654701</v>
      </c>
      <c r="H119" s="201">
        <v>2.2754400000000001</v>
      </c>
      <c r="I119" s="201">
        <v>3.4676467980000001</v>
      </c>
      <c r="J119" s="201">
        <v>2.1977856779999998</v>
      </c>
      <c r="K119" s="201">
        <v>828.64</v>
      </c>
      <c r="L119" s="201">
        <v>2400</v>
      </c>
      <c r="M119" s="201">
        <v>2270.7600000000002</v>
      </c>
      <c r="N119" s="201">
        <v>884.52</v>
      </c>
      <c r="O119" s="201">
        <v>801.36</v>
      </c>
      <c r="P119" s="201">
        <v>595.29999999999995</v>
      </c>
      <c r="Q119" s="201">
        <v>1192.3499999999999</v>
      </c>
      <c r="R119" s="201">
        <v>526.20000000000005</v>
      </c>
      <c r="S119" s="201">
        <v>1210.92</v>
      </c>
      <c r="T119" s="201">
        <v>1298.48</v>
      </c>
      <c r="U119" s="201">
        <v>233.32228333333299</v>
      </c>
      <c r="V119" s="201">
        <v>303.1336</v>
      </c>
      <c r="W119" s="201">
        <v>291.00984</v>
      </c>
      <c r="X119" s="201">
        <v>564.20000000000005</v>
      </c>
      <c r="Y119" s="201">
        <v>540</v>
      </c>
      <c r="Z119" s="201">
        <v>530</v>
      </c>
      <c r="AA119" s="201">
        <v>401.245</v>
      </c>
      <c r="AB119" s="201">
        <v>309.01426470000001</v>
      </c>
      <c r="AC119" s="201">
        <v>335.46970709999999</v>
      </c>
      <c r="AD119" s="201">
        <v>1.0955721301250001</v>
      </c>
      <c r="AE119" s="201">
        <v>0.92869617500000001</v>
      </c>
      <c r="AF119" s="201">
        <v>0.75002570306745198</v>
      </c>
      <c r="AG119" s="201">
        <v>4.3596360499999998</v>
      </c>
      <c r="AH119" s="201">
        <v>2.2166451999999999</v>
      </c>
      <c r="AI119" s="201">
        <v>11.243562000000001</v>
      </c>
      <c r="AJ119" s="201">
        <v>0.43439011199999999</v>
      </c>
      <c r="AK119" s="201">
        <v>0.47559952314285697</v>
      </c>
      <c r="AL119" s="201">
        <v>0.41610198300000001</v>
      </c>
      <c r="AM119" s="201">
        <v>4416.9333333333298</v>
      </c>
      <c r="AN119" s="201">
        <v>1.8851705620000001</v>
      </c>
      <c r="AO119" s="201">
        <v>182.5</v>
      </c>
      <c r="AP119" s="201">
        <v>462.25</v>
      </c>
      <c r="AQ119" s="201">
        <v>428</v>
      </c>
      <c r="AR119" s="201">
        <v>380</v>
      </c>
      <c r="AS119" s="201">
        <v>395</v>
      </c>
      <c r="AT119" s="201">
        <v>2037.75</v>
      </c>
      <c r="AU119" s="201">
        <v>8047.36</v>
      </c>
    </row>
    <row r="120" spans="1:47">
      <c r="A120" s="288" t="s">
        <v>4</v>
      </c>
      <c r="B120" s="201">
        <v>107.637435672515</v>
      </c>
      <c r="C120" s="201">
        <v>116.51949999999999</v>
      </c>
      <c r="D120" s="201">
        <v>111.09333333333301</v>
      </c>
      <c r="E120" s="201">
        <v>95.299473684210497</v>
      </c>
      <c r="F120" s="201">
        <v>3.3292000000000002</v>
      </c>
      <c r="G120" s="201">
        <v>107.540299976784</v>
      </c>
      <c r="H120" s="201">
        <v>2.1977000000000002</v>
      </c>
      <c r="I120" s="201">
        <v>3.2950250520000002</v>
      </c>
      <c r="J120" s="201">
        <v>2.2934661859999999</v>
      </c>
      <c r="K120" s="201">
        <v>853.25</v>
      </c>
      <c r="L120" s="201">
        <v>1635</v>
      </c>
      <c r="M120" s="201">
        <v>1821.71</v>
      </c>
      <c r="N120" s="201">
        <v>919.58</v>
      </c>
      <c r="O120" s="201">
        <v>836</v>
      </c>
      <c r="P120" s="201">
        <v>610.73</v>
      </c>
      <c r="Q120" s="201">
        <v>1173.48</v>
      </c>
      <c r="R120" s="201">
        <v>518.9</v>
      </c>
      <c r="S120" s="201">
        <v>1216.99</v>
      </c>
      <c r="T120" s="201">
        <v>1285.75</v>
      </c>
      <c r="U120" s="201">
        <v>236.99664999999999</v>
      </c>
      <c r="V120" s="201">
        <v>302.73991999999998</v>
      </c>
      <c r="W120" s="201">
        <v>288.14383400000003</v>
      </c>
      <c r="X120" s="201">
        <v>563</v>
      </c>
      <c r="Y120" s="201">
        <v>538.75</v>
      </c>
      <c r="Z120" s="201">
        <v>535</v>
      </c>
      <c r="AA120" s="201">
        <v>401.64499999999998</v>
      </c>
      <c r="AB120" s="201">
        <v>297.99116370000002</v>
      </c>
      <c r="AC120" s="201">
        <v>318.9350556</v>
      </c>
      <c r="AD120" s="201">
        <v>1.1124236236332701</v>
      </c>
      <c r="AE120" s="201">
        <v>0.92318462499999998</v>
      </c>
      <c r="AF120" s="201">
        <v>0.81957741643565296</v>
      </c>
      <c r="AG120" s="201">
        <v>4.3547858860000002</v>
      </c>
      <c r="AH120" s="201">
        <v>2.18918766</v>
      </c>
      <c r="AI120" s="201">
        <v>11.574255000000001</v>
      </c>
      <c r="AJ120" s="201">
        <v>0.43559675120000002</v>
      </c>
      <c r="AK120" s="201">
        <v>0.45716470066666698</v>
      </c>
      <c r="AL120" s="201">
        <v>0.40283306555555598</v>
      </c>
      <c r="AM120" s="201">
        <v>4390.5916666666699</v>
      </c>
      <c r="AN120" s="201">
        <v>1.9777646019999999</v>
      </c>
      <c r="AO120" s="201">
        <v>182.5</v>
      </c>
      <c r="AP120" s="201">
        <v>464.5</v>
      </c>
      <c r="AQ120" s="201">
        <v>419</v>
      </c>
      <c r="AR120" s="201">
        <v>415.625</v>
      </c>
      <c r="AS120" s="201">
        <v>395</v>
      </c>
      <c r="AT120" s="201">
        <v>2053.5949999999998</v>
      </c>
      <c r="AU120" s="201">
        <v>8060.9250000000002</v>
      </c>
    </row>
    <row r="121" spans="1:47">
      <c r="A121" s="288" t="s">
        <v>5</v>
      </c>
      <c r="B121" s="201">
        <v>102.52249999999999</v>
      </c>
      <c r="C121" s="201">
        <v>109.24</v>
      </c>
      <c r="D121" s="201">
        <v>105.41500000000001</v>
      </c>
      <c r="E121" s="201">
        <v>92.912499999999994</v>
      </c>
      <c r="F121" s="201">
        <v>3.8069000000000002</v>
      </c>
      <c r="G121" s="201">
        <v>113.681087667469</v>
      </c>
      <c r="H121" s="201">
        <v>2.1533600000000002</v>
      </c>
      <c r="I121" s="201">
        <v>3.3020798359999999</v>
      </c>
      <c r="J121" s="201">
        <v>2.3426292119999998</v>
      </c>
      <c r="K121" s="201">
        <v>818.75</v>
      </c>
      <c r="L121" s="201">
        <v>1500</v>
      </c>
      <c r="M121" s="201">
        <v>1763.7</v>
      </c>
      <c r="N121" s="201">
        <v>891.5</v>
      </c>
      <c r="O121" s="201">
        <v>832.75</v>
      </c>
      <c r="P121" s="201">
        <v>584.70000000000005</v>
      </c>
      <c r="Q121" s="201">
        <v>1117.43</v>
      </c>
      <c r="R121" s="201">
        <v>513.95000000000005</v>
      </c>
      <c r="S121" s="201">
        <v>1161.6600000000001</v>
      </c>
      <c r="T121" s="201">
        <v>1249.76</v>
      </c>
      <c r="U121" s="201">
        <v>239.75242499999999</v>
      </c>
      <c r="V121" s="201">
        <v>309.03879999999998</v>
      </c>
      <c r="W121" s="201">
        <v>296.74185199999999</v>
      </c>
      <c r="X121" s="201">
        <v>559</v>
      </c>
      <c r="Y121" s="201">
        <v>535</v>
      </c>
      <c r="Z121" s="201">
        <v>532.5</v>
      </c>
      <c r="AA121" s="201">
        <v>401.61</v>
      </c>
      <c r="AB121" s="201">
        <v>285.86575260000001</v>
      </c>
      <c r="AC121" s="201">
        <v>309.74913809999998</v>
      </c>
      <c r="AD121" s="201">
        <v>1.0791836838308</v>
      </c>
      <c r="AE121" s="201">
        <v>0.93696349999999995</v>
      </c>
      <c r="AF121" s="201">
        <v>0.90809637423697898</v>
      </c>
      <c r="AG121" s="201">
        <v>4.29239514</v>
      </c>
      <c r="AH121" s="201">
        <v>2.30933945</v>
      </c>
      <c r="AI121" s="201">
        <v>11.904947999999999</v>
      </c>
      <c r="AJ121" s="201">
        <v>0.42310513142857098</v>
      </c>
      <c r="AK121" s="201">
        <v>0.459454411263158</v>
      </c>
      <c r="AL121" s="201">
        <v>0.40773866736842101</v>
      </c>
      <c r="AM121" s="201">
        <v>4377.3583333333299</v>
      </c>
      <c r="AN121" s="201">
        <v>2.0822635900000002</v>
      </c>
      <c r="AO121" s="201">
        <v>160</v>
      </c>
      <c r="AP121" s="201">
        <v>467.625</v>
      </c>
      <c r="AQ121" s="201">
        <v>415</v>
      </c>
      <c r="AR121" s="201">
        <v>395.625</v>
      </c>
      <c r="AS121" s="201">
        <v>395</v>
      </c>
      <c r="AT121" s="201">
        <v>1909.56666666667</v>
      </c>
      <c r="AU121" s="201">
        <v>7645.5833333333303</v>
      </c>
    </row>
    <row r="122" spans="1:47">
      <c r="A122" s="288" t="s">
        <v>6</v>
      </c>
      <c r="B122" s="201">
        <v>98.851969696969704</v>
      </c>
      <c r="C122" s="201">
        <v>102.875454545455</v>
      </c>
      <c r="D122" s="201">
        <v>101.661363636364</v>
      </c>
      <c r="E122" s="201">
        <v>92.019090909090906</v>
      </c>
      <c r="F122" s="201">
        <v>4.1669</v>
      </c>
      <c r="G122" s="201">
        <v>122.806789465335</v>
      </c>
      <c r="H122" s="201">
        <v>2.2944886363636399</v>
      </c>
      <c r="I122" s="201">
        <v>3.3027412219999999</v>
      </c>
      <c r="J122" s="201">
        <v>2.2416576159999999</v>
      </c>
      <c r="K122" s="201">
        <v>791.43</v>
      </c>
      <c r="L122" s="201">
        <v>1500</v>
      </c>
      <c r="M122" s="201">
        <v>1763.7</v>
      </c>
      <c r="N122" s="201">
        <v>874.17</v>
      </c>
      <c r="O122" s="201">
        <v>830.71</v>
      </c>
      <c r="P122" s="201">
        <v>563.88</v>
      </c>
      <c r="Q122" s="201">
        <v>1094.52</v>
      </c>
      <c r="R122" s="201">
        <v>495.55</v>
      </c>
      <c r="S122" s="201">
        <v>1131.82</v>
      </c>
      <c r="T122" s="201">
        <v>1221.1400000000001</v>
      </c>
      <c r="U122" s="201">
        <v>229.64791666666699</v>
      </c>
      <c r="V122" s="201">
        <v>279.90647999999999</v>
      </c>
      <c r="W122" s="201">
        <v>269.184102</v>
      </c>
      <c r="X122" s="201">
        <v>557</v>
      </c>
      <c r="Y122" s="201">
        <v>535.6</v>
      </c>
      <c r="Z122" s="201">
        <v>530.6</v>
      </c>
      <c r="AA122" s="201">
        <v>390.755675675676</v>
      </c>
      <c r="AB122" s="201">
        <v>278.14958189999999</v>
      </c>
      <c r="AC122" s="201">
        <v>308.27939129999999</v>
      </c>
      <c r="AD122" s="201">
        <v>1.1033332364810899</v>
      </c>
      <c r="AE122" s="201">
        <v>0.90251631249999997</v>
      </c>
      <c r="AF122" s="201">
        <v>0.98048854404193997</v>
      </c>
      <c r="AG122" s="201">
        <v>4.2696875539999999</v>
      </c>
      <c r="AH122" s="201">
        <v>2.2928047999999999</v>
      </c>
      <c r="AI122" s="201">
        <v>12.370122820000001</v>
      </c>
      <c r="AJ122" s="201">
        <v>0.42536072800000002</v>
      </c>
      <c r="AK122" s="201">
        <v>0.44805895200000001</v>
      </c>
      <c r="AL122" s="201">
        <v>0.39251254899999999</v>
      </c>
      <c r="AM122" s="201">
        <v>4366.8999999999996</v>
      </c>
      <c r="AN122" s="201">
        <v>2.0344233360000001</v>
      </c>
      <c r="AO122" s="201">
        <v>111.5</v>
      </c>
      <c r="AP122" s="201">
        <v>461.125</v>
      </c>
      <c r="AQ122" s="201">
        <v>409</v>
      </c>
      <c r="AR122" s="201">
        <v>365.625</v>
      </c>
      <c r="AS122" s="201">
        <v>395</v>
      </c>
      <c r="AT122" s="201">
        <v>1861.67045454545</v>
      </c>
      <c r="AU122" s="201">
        <v>7234.2795454545403</v>
      </c>
    </row>
    <row r="123" spans="1:47">
      <c r="A123" s="288" t="s">
        <v>7</v>
      </c>
      <c r="B123" s="201">
        <v>99.366633414894295</v>
      </c>
      <c r="C123" s="201">
        <v>103.026956521739</v>
      </c>
      <c r="D123" s="201">
        <v>100.31476190476199</v>
      </c>
      <c r="E123" s="201">
        <v>94.758181818181797</v>
      </c>
      <c r="F123" s="201">
        <v>4.0403000000000002</v>
      </c>
      <c r="G123" s="201">
        <v>118.478144618738</v>
      </c>
      <c r="H123" s="201">
        <v>2.3428599999999999</v>
      </c>
      <c r="I123" s="201">
        <v>3.24489391026087</v>
      </c>
      <c r="J123" s="201">
        <v>2.18643667765217</v>
      </c>
      <c r="K123" s="201">
        <v>822.5</v>
      </c>
      <c r="L123" s="201">
        <v>1500</v>
      </c>
      <c r="M123" s="201">
        <v>1780.73</v>
      </c>
      <c r="N123" s="201">
        <v>879.47</v>
      </c>
      <c r="O123" s="201">
        <v>827.5</v>
      </c>
      <c r="P123" s="201">
        <v>498.01</v>
      </c>
      <c r="Q123" s="201">
        <v>1073.2</v>
      </c>
      <c r="R123" s="201">
        <v>514.78</v>
      </c>
      <c r="S123" s="201">
        <v>1116.6600000000001</v>
      </c>
      <c r="T123" s="201">
        <v>1227.73</v>
      </c>
      <c r="U123" s="201">
        <v>231.48509999999999</v>
      </c>
      <c r="V123" s="201">
        <v>295.5375444</v>
      </c>
      <c r="W123" s="201">
        <v>273.59334200000001</v>
      </c>
      <c r="X123" s="201">
        <v>543.5</v>
      </c>
      <c r="Y123" s="201">
        <v>508.75</v>
      </c>
      <c r="Z123" s="201">
        <v>510.75</v>
      </c>
      <c r="AA123" s="201">
        <v>386.848118918919</v>
      </c>
      <c r="AB123" s="201">
        <v>279.251892</v>
      </c>
      <c r="AC123" s="201">
        <v>319.66992900000002</v>
      </c>
      <c r="AD123" s="201">
        <v>1.05399770151219</v>
      </c>
      <c r="AE123" s="201">
        <v>0.90940575000000001</v>
      </c>
      <c r="AF123" s="201">
        <v>1.05701086065571</v>
      </c>
      <c r="AG123" s="201">
        <v>4.1030182819999999</v>
      </c>
      <c r="AH123" s="201">
        <v>2.3769811999999999</v>
      </c>
      <c r="AI123" s="201">
        <v>12.80002372</v>
      </c>
      <c r="AJ123" s="201">
        <v>0.42381737704347799</v>
      </c>
      <c r="AK123" s="201">
        <v>0.43019150900000003</v>
      </c>
      <c r="AL123" s="201">
        <v>0.38851416999999999</v>
      </c>
      <c r="AM123" s="201">
        <v>4342.7166666666699</v>
      </c>
      <c r="AN123" s="201">
        <v>2.043021354</v>
      </c>
      <c r="AO123" s="201">
        <v>157.5</v>
      </c>
      <c r="AP123" s="201">
        <v>421.25</v>
      </c>
      <c r="AQ123" s="201">
        <v>410</v>
      </c>
      <c r="AR123" s="201">
        <v>358.125</v>
      </c>
      <c r="AS123" s="201">
        <v>395</v>
      </c>
      <c r="AT123" s="201">
        <v>1832.02173913043</v>
      </c>
      <c r="AU123" s="201">
        <v>7249.4130434782601</v>
      </c>
    </row>
    <row r="124" spans="1:47">
      <c r="A124" s="288" t="s">
        <v>8</v>
      </c>
      <c r="B124" s="201">
        <v>99.742666666666693</v>
      </c>
      <c r="C124" s="201">
        <v>103.11</v>
      </c>
      <c r="D124" s="201">
        <v>100.32850000000001</v>
      </c>
      <c r="E124" s="201">
        <v>95.789500000000004</v>
      </c>
      <c r="F124" s="201">
        <v>3.8254000000000001</v>
      </c>
      <c r="G124" s="201">
        <v>114.373786677235</v>
      </c>
      <c r="H124" s="201">
        <v>2.2835800000000002</v>
      </c>
      <c r="I124" s="201">
        <v>3.0480965889</v>
      </c>
      <c r="J124" s="201">
        <v>2.0014752901000001</v>
      </c>
      <c r="K124" s="201">
        <v>890.63</v>
      </c>
      <c r="L124" s="201">
        <v>1500</v>
      </c>
      <c r="M124" s="201">
        <v>1807.79</v>
      </c>
      <c r="N124" s="201">
        <v>876.88</v>
      </c>
      <c r="O124" s="201">
        <v>853.5</v>
      </c>
      <c r="P124" s="201">
        <v>524.66</v>
      </c>
      <c r="Q124" s="201">
        <v>1037.75</v>
      </c>
      <c r="R124" s="201">
        <v>545.20000000000005</v>
      </c>
      <c r="S124" s="201">
        <v>1147.3399999999999</v>
      </c>
      <c r="T124" s="201">
        <v>1245.25</v>
      </c>
      <c r="U124" s="201">
        <v>229.64791666666699</v>
      </c>
      <c r="V124" s="201">
        <v>298.40944000000002</v>
      </c>
      <c r="W124" s="201">
        <v>236.77618799999999</v>
      </c>
      <c r="X124" s="201">
        <v>524.25</v>
      </c>
      <c r="Y124" s="201">
        <v>483.75</v>
      </c>
      <c r="Z124" s="201">
        <v>492</v>
      </c>
      <c r="AA124" s="201">
        <v>385.93153153153202</v>
      </c>
      <c r="AB124" s="201">
        <v>268.228791</v>
      </c>
      <c r="AC124" s="201">
        <v>313.4235051</v>
      </c>
      <c r="AD124" s="201">
        <v>1.0599706165106999</v>
      </c>
      <c r="AE124" s="201">
        <v>0.90975022187499999</v>
      </c>
      <c r="AF124" s="201">
        <v>1.15764697355155</v>
      </c>
      <c r="AG124" s="201">
        <v>3.933923928</v>
      </c>
      <c r="AH124" s="201">
        <v>2.3986265599999999</v>
      </c>
      <c r="AI124" s="201">
        <v>13.71053178</v>
      </c>
      <c r="AJ124" s="201">
        <v>0.43108287560000003</v>
      </c>
      <c r="AK124" s="201">
        <v>0.4225925847</v>
      </c>
      <c r="AL124" s="201">
        <v>0.37683569659999999</v>
      </c>
      <c r="AM124" s="201">
        <v>4493.375</v>
      </c>
      <c r="AN124" s="201">
        <v>2.0520602960000001</v>
      </c>
      <c r="AO124" s="201">
        <v>125.625</v>
      </c>
      <c r="AP124" s="201">
        <v>424.125</v>
      </c>
      <c r="AQ124" s="201">
        <v>410</v>
      </c>
      <c r="AR124" s="201">
        <v>329.375</v>
      </c>
      <c r="AS124" s="201">
        <v>395</v>
      </c>
      <c r="AT124" s="201">
        <v>1814.5374999999999</v>
      </c>
      <c r="AU124" s="201">
        <v>7000.2375000000002</v>
      </c>
    </row>
    <row r="125" spans="1:47">
      <c r="A125" s="288" t="s">
        <v>9</v>
      </c>
      <c r="B125" s="201">
        <v>105.25790513834001</v>
      </c>
      <c r="C125" s="201">
        <v>107.71608695652201</v>
      </c>
      <c r="D125" s="201">
        <v>103.36217391304299</v>
      </c>
      <c r="E125" s="201">
        <v>104.69545454545499</v>
      </c>
      <c r="F125" s="201">
        <v>3.6227</v>
      </c>
      <c r="G125" s="201">
        <v>110.092956411602</v>
      </c>
      <c r="H125" s="201">
        <v>2.3086600000000002</v>
      </c>
      <c r="I125" s="201">
        <v>3.0509161061739101</v>
      </c>
      <c r="J125" s="201">
        <v>2.09895160486957</v>
      </c>
      <c r="K125" s="201">
        <v>860.43</v>
      </c>
      <c r="L125" s="201">
        <v>1433.48</v>
      </c>
      <c r="M125" s="201">
        <v>1816.31</v>
      </c>
      <c r="N125" s="201">
        <v>827.09</v>
      </c>
      <c r="O125" s="201">
        <v>835.54</v>
      </c>
      <c r="P125" s="201">
        <v>511.3</v>
      </c>
      <c r="Q125" s="201">
        <v>990.31</v>
      </c>
      <c r="R125" s="201">
        <v>569.26</v>
      </c>
      <c r="S125" s="201">
        <v>1008.78</v>
      </c>
      <c r="T125" s="201">
        <v>1210.8699999999999</v>
      </c>
      <c r="U125" s="201">
        <v>214.03185833333299</v>
      </c>
      <c r="V125" s="201">
        <v>279.51280000000003</v>
      </c>
      <c r="W125" s="201">
        <v>220.02107599999999</v>
      </c>
      <c r="X125" s="201">
        <v>509</v>
      </c>
      <c r="Y125" s="201">
        <v>454</v>
      </c>
      <c r="Z125" s="201">
        <v>461.8</v>
      </c>
      <c r="AA125" s="201">
        <v>387.74058558558602</v>
      </c>
      <c r="AB125" s="201">
        <v>260.88005700000002</v>
      </c>
      <c r="AC125" s="201">
        <v>304.60502430000003</v>
      </c>
      <c r="AD125" s="201">
        <v>0.99815795328903201</v>
      </c>
      <c r="AE125" s="201">
        <v>0.92318462499999998</v>
      </c>
      <c r="AF125" s="201">
        <v>1.1212294726088301</v>
      </c>
      <c r="AG125" s="201">
        <v>3.9376717819999998</v>
      </c>
      <c r="AH125" s="201">
        <v>2.2156430999999999</v>
      </c>
      <c r="AI125" s="201">
        <v>14.612221359999999</v>
      </c>
      <c r="AJ125" s="201">
        <v>0.42762819026087001</v>
      </c>
      <c r="AK125" s="201">
        <v>0.42366783800000002</v>
      </c>
      <c r="AL125" s="201">
        <v>0.37118786100000001</v>
      </c>
      <c r="AM125" s="201">
        <v>4635.3583333333299</v>
      </c>
      <c r="AN125" s="201">
        <v>2.0419190440000001</v>
      </c>
      <c r="AO125" s="201">
        <v>115</v>
      </c>
      <c r="AP125" s="201">
        <v>409.625</v>
      </c>
      <c r="AQ125" s="201">
        <v>410</v>
      </c>
      <c r="AR125" s="201">
        <v>312.5</v>
      </c>
      <c r="AS125" s="201">
        <v>395</v>
      </c>
      <c r="AT125" s="201">
        <v>1769.6086956521699</v>
      </c>
      <c r="AU125" s="201">
        <v>6906.6413043478296</v>
      </c>
    </row>
    <row r="126" spans="1:47">
      <c r="A126" s="288" t="s">
        <v>10</v>
      </c>
      <c r="B126" s="201">
        <v>108.157636363636</v>
      </c>
      <c r="C126" s="201">
        <v>110.964545454545</v>
      </c>
      <c r="D126" s="201">
        <v>106.962</v>
      </c>
      <c r="E126" s="201">
        <v>106.54636363636401</v>
      </c>
      <c r="F126" s="201">
        <v>3.4251</v>
      </c>
      <c r="G126" s="201">
        <v>107.497413176845</v>
      </c>
      <c r="H126" s="201">
        <v>2.4836100000000001</v>
      </c>
      <c r="I126" s="201">
        <v>2.979634119</v>
      </c>
      <c r="J126" s="201">
        <v>2.0725833040000001</v>
      </c>
      <c r="K126" s="201">
        <v>892.61</v>
      </c>
      <c r="L126" s="201">
        <v>1343.1</v>
      </c>
      <c r="M126" s="201">
        <v>1807.79</v>
      </c>
      <c r="N126" s="201">
        <v>819.29</v>
      </c>
      <c r="O126" s="201">
        <v>868.64</v>
      </c>
      <c r="P126" s="201">
        <v>511.71</v>
      </c>
      <c r="Q126" s="201">
        <v>994.65</v>
      </c>
      <c r="R126" s="201">
        <v>539.39</v>
      </c>
      <c r="S126" s="201">
        <v>993.85</v>
      </c>
      <c r="T126" s="201">
        <v>1111.67</v>
      </c>
      <c r="U126" s="201">
        <v>185.09622083333301</v>
      </c>
      <c r="V126" s="201">
        <v>238.735604545455</v>
      </c>
      <c r="W126" s="201">
        <v>220.61582235</v>
      </c>
      <c r="X126" s="201">
        <v>478.75</v>
      </c>
      <c r="Y126" s="201">
        <v>425</v>
      </c>
      <c r="Z126" s="201">
        <v>428.25</v>
      </c>
      <c r="AA126" s="201">
        <v>399.43913513513502</v>
      </c>
      <c r="AB126" s="201">
        <v>252.4290129</v>
      </c>
      <c r="AC126" s="201">
        <v>305.33989769999999</v>
      </c>
      <c r="AD126" s="201">
        <v>0.97737992238496796</v>
      </c>
      <c r="AE126" s="201">
        <v>0.94040821875000002</v>
      </c>
      <c r="AF126" s="201">
        <v>1.19080504573596</v>
      </c>
      <c r="AG126" s="201">
        <v>3.9491358060000001</v>
      </c>
      <c r="AH126" s="201">
        <v>2.0412777000000002</v>
      </c>
      <c r="AI126" s="201">
        <v>15.652801999999999</v>
      </c>
      <c r="AJ126" s="201">
        <v>0.43495417018181798</v>
      </c>
      <c r="AK126" s="201">
        <v>0.45056420200000002</v>
      </c>
      <c r="AL126" s="201">
        <v>0.37548686999999997</v>
      </c>
      <c r="AM126" s="201">
        <v>4675.55</v>
      </c>
      <c r="AN126" s="201">
        <v>2.0447850500000002</v>
      </c>
      <c r="AO126" s="201">
        <v>115</v>
      </c>
      <c r="AP126" s="201">
        <v>400.375</v>
      </c>
      <c r="AQ126" s="201">
        <v>360</v>
      </c>
      <c r="AR126" s="201">
        <v>310.625</v>
      </c>
      <c r="AS126" s="201">
        <v>395</v>
      </c>
      <c r="AT126" s="201">
        <v>1817.61590909091</v>
      </c>
      <c r="AU126" s="201">
        <v>7192.9204545454504</v>
      </c>
    </row>
    <row r="127" spans="1:47">
      <c r="A127" s="288" t="s">
        <v>11</v>
      </c>
      <c r="B127" s="201">
        <v>108.75773015873</v>
      </c>
      <c r="C127" s="201">
        <v>111.62142857142901</v>
      </c>
      <c r="D127" s="201">
        <v>108.404761904762</v>
      </c>
      <c r="E127" s="201">
        <v>106.247</v>
      </c>
      <c r="F127" s="201">
        <v>3.6154000000000002</v>
      </c>
      <c r="G127" s="201">
        <v>107.52065160478099</v>
      </c>
      <c r="H127" s="201">
        <v>2.61605142857143</v>
      </c>
      <c r="I127" s="201">
        <v>2.9163028305714298</v>
      </c>
      <c r="J127" s="201">
        <v>1.9351419486666701</v>
      </c>
      <c r="K127" s="201">
        <v>985.24</v>
      </c>
      <c r="L127" s="201">
        <v>1325</v>
      </c>
      <c r="M127" s="201">
        <v>1797.87</v>
      </c>
      <c r="N127" s="201">
        <v>826.25</v>
      </c>
      <c r="O127" s="201">
        <v>909.76</v>
      </c>
      <c r="P127" s="201">
        <v>560.17999999999995</v>
      </c>
      <c r="Q127" s="201">
        <v>1019.72</v>
      </c>
      <c r="R127" s="201">
        <v>576.80999999999995</v>
      </c>
      <c r="S127" s="201">
        <v>983.52</v>
      </c>
      <c r="T127" s="201">
        <v>1005.71</v>
      </c>
      <c r="U127" s="201">
        <v>159.83494999999999</v>
      </c>
      <c r="V127" s="201">
        <v>207.40538699999999</v>
      </c>
      <c r="W127" s="201">
        <v>216.934608</v>
      </c>
      <c r="X127" s="201">
        <v>444</v>
      </c>
      <c r="Y127" s="201">
        <v>428</v>
      </c>
      <c r="Z127" s="201">
        <v>431.47619047619003</v>
      </c>
      <c r="AA127" s="201">
        <v>362</v>
      </c>
      <c r="AB127" s="201">
        <v>259.79611873499999</v>
      </c>
      <c r="AC127" s="201">
        <v>307.50777423</v>
      </c>
      <c r="AD127" s="201">
        <v>0.97394214897636899</v>
      </c>
      <c r="AE127" s="201">
        <v>0.93696349999999995</v>
      </c>
      <c r="AF127" s="201">
        <v>1.11971564761905</v>
      </c>
      <c r="AG127" s="201">
        <v>3.9872757320000001</v>
      </c>
      <c r="AH127" s="201">
        <v>1.98195338</v>
      </c>
      <c r="AI127" s="201">
        <v>16.08049828</v>
      </c>
      <c r="AJ127" s="201">
        <v>0.43634169676190498</v>
      </c>
      <c r="AK127" s="201">
        <v>0.4641717179</v>
      </c>
      <c r="AL127" s="201">
        <v>0.3835928569</v>
      </c>
      <c r="AM127" s="201">
        <v>4709.9666666666699</v>
      </c>
      <c r="AN127" s="201">
        <v>1.986142158</v>
      </c>
      <c r="AO127" s="201">
        <v>97.5</v>
      </c>
      <c r="AP127" s="201">
        <v>374.8</v>
      </c>
      <c r="AQ127" s="201">
        <v>344</v>
      </c>
      <c r="AR127" s="201">
        <v>301</v>
      </c>
      <c r="AS127" s="201">
        <v>395</v>
      </c>
      <c r="AT127" s="201">
        <v>1761.30476190476</v>
      </c>
      <c r="AU127" s="201">
        <v>7159.2690476190501</v>
      </c>
    </row>
    <row r="128" spans="1:47">
      <c r="A128" s="288" t="s">
        <v>12</v>
      </c>
      <c r="B128" s="201">
        <v>105.427134387352</v>
      </c>
      <c r="C128" s="201">
        <v>109.478695652174</v>
      </c>
      <c r="D128" s="201">
        <v>106.30227272727301</v>
      </c>
      <c r="E128" s="201">
        <v>100.50043478260901</v>
      </c>
      <c r="F128" s="201">
        <v>3.6739000000000002</v>
      </c>
      <c r="G128" s="201">
        <v>109.03186360077299</v>
      </c>
      <c r="H128" s="201">
        <v>2.7307000000000001</v>
      </c>
      <c r="I128" s="201">
        <v>2.8373459400000001</v>
      </c>
      <c r="J128" s="201">
        <v>1.8452669399999999</v>
      </c>
      <c r="K128" s="201">
        <v>985.65</v>
      </c>
      <c r="L128" s="201">
        <v>1335.87</v>
      </c>
      <c r="M128" s="201">
        <v>1764.66</v>
      </c>
      <c r="N128" s="201">
        <v>859.66</v>
      </c>
      <c r="O128" s="201">
        <v>912.17</v>
      </c>
      <c r="P128" s="201">
        <v>540.85</v>
      </c>
      <c r="Q128" s="201">
        <v>990.96</v>
      </c>
      <c r="R128" s="201">
        <v>584.87</v>
      </c>
      <c r="S128" s="201">
        <v>1010.85</v>
      </c>
      <c r="T128" s="201">
        <v>1008.48</v>
      </c>
      <c r="U128" s="201">
        <v>155.70128750000001</v>
      </c>
      <c r="V128" s="201">
        <v>201.725210909091</v>
      </c>
      <c r="W128" s="201">
        <v>205.24731611999999</v>
      </c>
      <c r="X128" s="201">
        <v>439</v>
      </c>
      <c r="Y128" s="201">
        <v>423</v>
      </c>
      <c r="Z128" s="201">
        <v>420.43478260869603</v>
      </c>
      <c r="AA128" s="201">
        <v>376.31578947368399</v>
      </c>
      <c r="AB128" s="201">
        <v>287.719637768182</v>
      </c>
      <c r="AC128" s="201">
        <v>325.68670496250002</v>
      </c>
      <c r="AD128" s="201">
        <v>0.95769166793299998</v>
      </c>
      <c r="AE128" s="201">
        <v>0.93145195000000003</v>
      </c>
      <c r="AF128" s="201">
        <v>0.99726336074993105</v>
      </c>
      <c r="AG128" s="201">
        <v>4.0393047639999997</v>
      </c>
      <c r="AH128" s="201">
        <v>1.9554020869565201</v>
      </c>
      <c r="AI128" s="201">
        <v>16.457488300000001</v>
      </c>
      <c r="AJ128" s="201">
        <v>0.445395184</v>
      </c>
      <c r="AK128" s="201">
        <v>0.479677385478261</v>
      </c>
      <c r="AL128" s="201">
        <v>0.41145877443478301</v>
      </c>
      <c r="AM128" s="201">
        <v>4770.0416666666697</v>
      </c>
      <c r="AN128" s="201">
        <v>1.9702688939999999</v>
      </c>
      <c r="AO128" s="201">
        <v>84.375</v>
      </c>
      <c r="AP128" s="201">
        <v>370</v>
      </c>
      <c r="AQ128" s="201">
        <v>324</v>
      </c>
      <c r="AR128" s="201">
        <v>296.875</v>
      </c>
      <c r="AS128" s="201">
        <v>395</v>
      </c>
      <c r="AT128" s="201">
        <v>1814.5826086956499</v>
      </c>
      <c r="AU128" s="201">
        <v>7203.0217391304304</v>
      </c>
    </row>
    <row r="129" spans="1:47">
      <c r="A129" s="288" t="s">
        <v>13</v>
      </c>
      <c r="B129" s="201">
        <v>102.62649122806999</v>
      </c>
      <c r="C129" s="201">
        <v>108.07619047619001</v>
      </c>
      <c r="D129" s="201">
        <v>105.85380952381</v>
      </c>
      <c r="E129" s="201">
        <v>93.949473684210503</v>
      </c>
      <c r="F129" s="201">
        <v>3.6173999999999999</v>
      </c>
      <c r="G129" s="201">
        <v>108.65121105614701</v>
      </c>
      <c r="H129" s="201">
        <v>2.7551700000000001</v>
      </c>
      <c r="I129" s="201">
        <v>2.6900353312381</v>
      </c>
      <c r="J129" s="201">
        <v>1.75721861647619</v>
      </c>
      <c r="K129" s="201">
        <v>1274.5</v>
      </c>
      <c r="L129" s="201">
        <v>1357.14</v>
      </c>
      <c r="M129" s="201">
        <v>1754.88</v>
      </c>
      <c r="N129" s="201">
        <v>904.05</v>
      </c>
      <c r="O129" s="201">
        <v>1108.0999999999999</v>
      </c>
      <c r="P129" s="201">
        <v>551.32000000000005</v>
      </c>
      <c r="Q129" s="201">
        <v>989.83</v>
      </c>
      <c r="R129" s="201">
        <v>567.19000000000005</v>
      </c>
      <c r="S129" s="201">
        <v>1021.7</v>
      </c>
      <c r="T129" s="201">
        <v>1004.05</v>
      </c>
      <c r="U129" s="201">
        <v>158.91635833333299</v>
      </c>
      <c r="V129" s="201">
        <v>199.13473999999999</v>
      </c>
      <c r="W129" s="201">
        <v>195.23082029578899</v>
      </c>
      <c r="X129" s="201">
        <v>438</v>
      </c>
      <c r="Y129" s="201">
        <v>405</v>
      </c>
      <c r="Z129" s="201">
        <v>414.3</v>
      </c>
      <c r="AA129" s="201">
        <v>395.88235294117601</v>
      </c>
      <c r="AB129" s="201">
        <v>274.42686796578897</v>
      </c>
      <c r="AC129" s="201">
        <v>306.75162817894699</v>
      </c>
      <c r="AD129" s="201">
        <v>0.88063411720003004</v>
      </c>
      <c r="AE129" s="201">
        <v>0.92318462499999998</v>
      </c>
      <c r="AF129" s="201">
        <v>0.765997988095238</v>
      </c>
      <c r="AG129" s="201">
        <v>4.137410354</v>
      </c>
      <c r="AH129" s="201">
        <v>2.0340520315789501</v>
      </c>
      <c r="AI129" s="201">
        <v>16.82345522</v>
      </c>
      <c r="AJ129" s="201">
        <v>0.44078291276190501</v>
      </c>
      <c r="AK129" s="201">
        <v>0.45940973870000001</v>
      </c>
      <c r="AL129" s="201">
        <v>0.38937788476190499</v>
      </c>
      <c r="AM129" s="201">
        <v>5051.8916666666701</v>
      </c>
      <c r="AN129" s="201">
        <v>1.8657699059999999</v>
      </c>
      <c r="AO129" s="201">
        <v>87.5</v>
      </c>
      <c r="AP129" s="201">
        <v>334.375</v>
      </c>
      <c r="AQ129" s="201">
        <v>320</v>
      </c>
      <c r="AR129" s="201">
        <v>305</v>
      </c>
      <c r="AS129" s="201">
        <v>395</v>
      </c>
      <c r="AT129" s="201">
        <v>1747.9642857142901</v>
      </c>
      <c r="AU129" s="201">
        <v>7070.6547619047597</v>
      </c>
    </row>
    <row r="130" spans="1:47">
      <c r="A130" s="288" t="s">
        <v>14</v>
      </c>
      <c r="B130" s="201">
        <v>105.481650793651</v>
      </c>
      <c r="C130" s="201">
        <v>110.67400000000001</v>
      </c>
      <c r="D130" s="201">
        <v>107.91952380952399</v>
      </c>
      <c r="E130" s="201">
        <v>97.851428571428599</v>
      </c>
      <c r="F130" s="201">
        <v>4.2366000000000001</v>
      </c>
      <c r="G130" s="201">
        <v>117.45234821935</v>
      </c>
      <c r="H130" s="201">
        <v>2.8245399999999998</v>
      </c>
      <c r="I130" s="201">
        <v>2.777159814</v>
      </c>
      <c r="J130" s="201">
        <v>1.937640518</v>
      </c>
      <c r="K130" s="201">
        <v>1270</v>
      </c>
      <c r="L130" s="201">
        <v>1342</v>
      </c>
      <c r="M130" s="201">
        <v>1697.56</v>
      </c>
      <c r="N130" s="201">
        <v>886.25</v>
      </c>
      <c r="O130" s="201">
        <v>1147</v>
      </c>
      <c r="P130" s="201">
        <v>564.03</v>
      </c>
      <c r="Q130" s="201">
        <v>990.52</v>
      </c>
      <c r="R130" s="201">
        <v>569.45000000000005</v>
      </c>
      <c r="S130" s="201">
        <v>1007.11</v>
      </c>
      <c r="T130" s="201">
        <v>996</v>
      </c>
      <c r="U130" s="201">
        <v>161.67213333333299</v>
      </c>
      <c r="V130" s="201">
        <v>197.39115200000001</v>
      </c>
      <c r="W130" s="201">
        <v>205.896296122</v>
      </c>
      <c r="X130" s="201">
        <v>451</v>
      </c>
      <c r="Y130" s="201">
        <v>398.66666666666703</v>
      </c>
      <c r="Z130" s="201">
        <v>400.76190476190499</v>
      </c>
      <c r="AA130" s="201">
        <v>419.41176470588198</v>
      </c>
      <c r="AB130" s="201">
        <v>267.04840060125002</v>
      </c>
      <c r="AC130" s="201">
        <v>291.556647203571</v>
      </c>
      <c r="AD130" s="201">
        <v>0.97146151745671905</v>
      </c>
      <c r="AE130" s="201">
        <v>0.92318462499999998</v>
      </c>
      <c r="AF130" s="201">
        <v>0.73998040909090901</v>
      </c>
      <c r="AG130" s="201">
        <v>4.1755502800000004</v>
      </c>
      <c r="AH130" s="201">
        <v>2.0723427999999999</v>
      </c>
      <c r="AI130" s="201">
        <v>16.865342999999999</v>
      </c>
      <c r="AJ130" s="201">
        <v>0.44749630072727298</v>
      </c>
      <c r="AK130" s="201">
        <v>0.43545444276190498</v>
      </c>
      <c r="AL130" s="201">
        <v>0.36489610457142901</v>
      </c>
      <c r="AM130" s="201">
        <v>4835.1499999999996</v>
      </c>
      <c r="AN130" s="201">
        <v>1.9287669224999999</v>
      </c>
      <c r="AO130" s="201">
        <v>96.875</v>
      </c>
      <c r="AP130" s="201">
        <v>341.625</v>
      </c>
      <c r="AQ130" s="201">
        <v>320</v>
      </c>
      <c r="AR130" s="201">
        <v>305</v>
      </c>
      <c r="AS130" s="201">
        <v>395</v>
      </c>
      <c r="AT130" s="201">
        <v>1739.81</v>
      </c>
      <c r="AU130" s="201">
        <v>7214.9</v>
      </c>
    </row>
    <row r="131" spans="1:47" s="291" customFormat="1" ht="15">
      <c r="A131" s="198" t="s">
        <v>1</v>
      </c>
      <c r="B131" s="241">
        <v>104.07749749758672</v>
      </c>
      <c r="C131" s="241">
        <v>108.85637454514084</v>
      </c>
      <c r="D131" s="241">
        <v>105.43335233546649</v>
      </c>
      <c r="E131" s="241">
        <v>97.942765612152996</v>
      </c>
      <c r="F131" s="241">
        <v>3.7239833333333348</v>
      </c>
      <c r="G131" s="241">
        <v>112.06122758930051</v>
      </c>
      <c r="H131" s="241">
        <v>2.4388466720779225</v>
      </c>
      <c r="I131" s="241">
        <v>3.0759897956786921</v>
      </c>
      <c r="J131" s="241">
        <v>2.0758544659803833</v>
      </c>
      <c r="K131" s="241">
        <v>939.46916666666664</v>
      </c>
      <c r="L131" s="241">
        <v>1514.2991666666667</v>
      </c>
      <c r="M131" s="241">
        <v>1820.6216666666667</v>
      </c>
      <c r="N131" s="241">
        <v>870.7258333333333</v>
      </c>
      <c r="O131" s="241">
        <v>896.91916666666668</v>
      </c>
      <c r="P131" s="241">
        <v>551.38916666666671</v>
      </c>
      <c r="Q131" s="241">
        <v>1055.3933333333332</v>
      </c>
      <c r="R131" s="241">
        <v>543.46249999999998</v>
      </c>
      <c r="S131" s="241">
        <v>1084.2666666666667</v>
      </c>
      <c r="T131" s="241">
        <v>1155.4075</v>
      </c>
      <c r="U131" s="241">
        <v>203.00875833333325</v>
      </c>
      <c r="V131" s="241">
        <v>259.38922323787881</v>
      </c>
      <c r="W131" s="241">
        <v>243.28292474064907</v>
      </c>
      <c r="X131" s="241">
        <v>505.89166666666665</v>
      </c>
      <c r="Y131" s="241">
        <v>472.9597222222223</v>
      </c>
      <c r="Z131" s="241">
        <v>473.9894064872326</v>
      </c>
      <c r="AA131" s="241">
        <v>392.40207949729916</v>
      </c>
      <c r="AB131" s="241">
        <v>276.73346173918509</v>
      </c>
      <c r="AC131" s="241">
        <v>312.24786689791819</v>
      </c>
      <c r="AD131" s="241">
        <v>1.0219790266110973</v>
      </c>
      <c r="AE131" s="241">
        <v>0.92407451067708324</v>
      </c>
      <c r="AF131" s="241">
        <v>0.96731981632410025</v>
      </c>
      <c r="AG131" s="241">
        <v>4.1283162965000004</v>
      </c>
      <c r="AH131" s="241">
        <v>2.1736879973779559</v>
      </c>
      <c r="AI131" s="241">
        <v>14.17460429</v>
      </c>
      <c r="AJ131" s="241">
        <v>0.43382928583048502</v>
      </c>
      <c r="AK131" s="241">
        <v>0.45050058380107066</v>
      </c>
      <c r="AL131" s="241">
        <v>0.39004470693267451</v>
      </c>
      <c r="AM131" s="241">
        <v>4588.8194444444453</v>
      </c>
      <c r="AN131" s="241">
        <v>1.9926963095416668</v>
      </c>
      <c r="AO131" s="241">
        <v>126.32291666666667</v>
      </c>
      <c r="AP131" s="241">
        <v>410.97291666666666</v>
      </c>
      <c r="AQ131" s="241">
        <v>380.75</v>
      </c>
      <c r="AR131" s="241">
        <v>339.61458333333331</v>
      </c>
      <c r="AS131" s="241">
        <v>395</v>
      </c>
      <c r="AT131" s="241">
        <v>1846.6689684500277</v>
      </c>
      <c r="AU131" s="241">
        <v>7332.1004774844705</v>
      </c>
    </row>
    <row r="132" spans="1:47" s="291" customFormat="1" ht="15">
      <c r="A132" s="198" t="s">
        <v>172</v>
      </c>
      <c r="B132" s="241">
        <v>-0.88766277644125591</v>
      </c>
      <c r="C132" s="241">
        <v>-2.7769109006144599</v>
      </c>
      <c r="D132" s="241">
        <v>-3.1872871608138897</v>
      </c>
      <c r="E132" s="241">
        <v>4.0186196398769303</v>
      </c>
      <c r="F132" s="241">
        <v>35.317113052430841</v>
      </c>
      <c r="G132" s="241">
        <v>12.990274564575955</v>
      </c>
      <c r="H132" s="241">
        <v>1.9640548042587191</v>
      </c>
      <c r="I132" s="241">
        <v>-25.175822718414842</v>
      </c>
      <c r="J132" s="241">
        <v>-8.4247285883242924</v>
      </c>
      <c r="K132" s="241">
        <v>-15.426631657914481</v>
      </c>
      <c r="L132" s="241">
        <v>-38.009932799379385</v>
      </c>
      <c r="M132" s="241">
        <v>-22.824220116077388</v>
      </c>
      <c r="N132" s="241">
        <v>-16.548982211157927</v>
      </c>
      <c r="O132" s="241">
        <v>-19.005172878284615</v>
      </c>
      <c r="P132" s="241">
        <v>-7.4085269007247323</v>
      </c>
      <c r="Q132" s="241">
        <v>-13.887795322436681</v>
      </c>
      <c r="R132" s="241">
        <v>2.2130447389249852</v>
      </c>
      <c r="S132" s="241">
        <v>-12.397239521966007</v>
      </c>
      <c r="T132" s="241">
        <v>-20.187096974741749</v>
      </c>
      <c r="U132" s="241">
        <v>-15.511811542968157</v>
      </c>
      <c r="V132" s="241">
        <v>-13.07825813876855</v>
      </c>
      <c r="W132" s="241">
        <v>-10.534752023968451</v>
      </c>
      <c r="X132" s="241">
        <v>-10.140915953699048</v>
      </c>
      <c r="Y132" s="241">
        <v>-13.026454918346818</v>
      </c>
      <c r="Z132" s="241">
        <v>-9.7284830166280543</v>
      </c>
      <c r="AA132" s="241">
        <v>-9.6763466768025168</v>
      </c>
      <c r="AB132" s="241">
        <v>-6.308347722196805</v>
      </c>
      <c r="AC132" s="241">
        <v>-0.31745482957477034</v>
      </c>
      <c r="AD132" s="241">
        <v>-7.0697559761045632</v>
      </c>
      <c r="AE132" s="241">
        <v>-6.0884532353112863</v>
      </c>
      <c r="AF132" s="241">
        <v>11.447767762445382</v>
      </c>
      <c r="AG132" s="241">
        <v>-1.8485111884721128</v>
      </c>
      <c r="AH132" s="241">
        <v>4.5533382369662867</v>
      </c>
      <c r="AI132" s="241">
        <v>23.640267940130123</v>
      </c>
      <c r="AJ132" s="241">
        <v>3.2594349839467851</v>
      </c>
      <c r="AK132" s="241">
        <v>-29.126412645510857</v>
      </c>
      <c r="AL132" s="241">
        <v>-17.875887361870944</v>
      </c>
      <c r="AM132" s="241">
        <v>6.658355108936731</v>
      </c>
      <c r="AN132" s="241">
        <v>1.300373196897775</v>
      </c>
      <c r="AO132" s="241">
        <v>-31.690418520813381</v>
      </c>
      <c r="AP132" s="241">
        <v>-14.423108902844783</v>
      </c>
      <c r="AQ132" s="241">
        <v>-17.586580086580085</v>
      </c>
      <c r="AR132" s="241">
        <v>-14.798296122720977</v>
      </c>
      <c r="AS132" s="241">
        <v>-15.122213268869189</v>
      </c>
      <c r="AT132" s="241">
        <v>-8.7290906689514554</v>
      </c>
      <c r="AU132" s="241">
        <v>-7.9153367764861144</v>
      </c>
    </row>
    <row r="133" spans="1:47"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  <c r="AT133" s="201"/>
      <c r="AU133" s="201"/>
    </row>
    <row r="134" spans="1:47">
      <c r="A134" s="292">
        <v>2014</v>
      </c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  <c r="AQ134" s="201"/>
      <c r="AR134" s="201"/>
      <c r="AS134" s="201"/>
      <c r="AT134" s="201"/>
      <c r="AU134" s="201"/>
    </row>
    <row r="135" spans="1:47">
      <c r="A135" s="288" t="s">
        <v>3</v>
      </c>
      <c r="B135" s="201">
        <v>102.09666666666701</v>
      </c>
      <c r="C135" s="201">
        <v>107.42</v>
      </c>
      <c r="D135" s="201">
        <v>104.01</v>
      </c>
      <c r="E135" s="201">
        <v>94.86</v>
      </c>
      <c r="F135" s="201">
        <v>4.7008000000000001</v>
      </c>
      <c r="G135" s="201">
        <v>123.475934135134</v>
      </c>
      <c r="H135" s="201">
        <v>2.8194300000000001</v>
      </c>
      <c r="I135" s="201">
        <v>2.9261921260000001</v>
      </c>
      <c r="J135" s="201">
        <v>1.934113126</v>
      </c>
      <c r="K135" s="201">
        <v>1269.0899999999999</v>
      </c>
      <c r="L135" s="201">
        <v>1298.6400000000001</v>
      </c>
      <c r="M135" s="201">
        <v>1560.64</v>
      </c>
      <c r="N135" s="201">
        <v>862.63</v>
      </c>
      <c r="O135" s="201">
        <v>1158.6400000000001</v>
      </c>
      <c r="P135" s="201">
        <v>565.5</v>
      </c>
      <c r="Q135" s="201">
        <v>942.1</v>
      </c>
      <c r="R135" s="201">
        <v>539.52</v>
      </c>
      <c r="S135" s="201">
        <v>948.01</v>
      </c>
      <c r="T135" s="201">
        <v>951.82</v>
      </c>
      <c r="U135" s="201">
        <v>167.642979166667</v>
      </c>
      <c r="V135" s="201">
        <v>198.06434479999999</v>
      </c>
      <c r="W135" s="201">
        <v>210.21051700000001</v>
      </c>
      <c r="X135" s="201">
        <v>450</v>
      </c>
      <c r="Y135" s="201">
        <v>377</v>
      </c>
      <c r="Z135" s="201">
        <v>405</v>
      </c>
      <c r="AA135" s="201">
        <v>402</v>
      </c>
      <c r="AB135" s="201">
        <v>246.54635133299999</v>
      </c>
      <c r="AC135" s="201">
        <v>275.57752499999998</v>
      </c>
      <c r="AD135" s="201">
        <v>0.99254824857434798</v>
      </c>
      <c r="AE135" s="201">
        <v>0.9259404</v>
      </c>
      <c r="AF135" s="201">
        <v>0.753839503177822</v>
      </c>
      <c r="AG135" s="201">
        <v>4.1808413680000003</v>
      </c>
      <c r="AH135" s="201">
        <v>2.1144310000000002</v>
      </c>
      <c r="AI135" s="201">
        <v>16.92707236</v>
      </c>
      <c r="AJ135" s="201">
        <v>0.44484571130434802</v>
      </c>
      <c r="AK135" s="201">
        <v>0.44687647400000002</v>
      </c>
      <c r="AL135" s="201">
        <v>0.344582106</v>
      </c>
      <c r="AM135" s="201">
        <v>4924.3333333333303</v>
      </c>
      <c r="AN135" s="201">
        <v>2.0053223519999999</v>
      </c>
      <c r="AO135" s="201">
        <v>97.5</v>
      </c>
      <c r="AP135" s="201">
        <v>403.375</v>
      </c>
      <c r="AQ135" s="201">
        <v>333</v>
      </c>
      <c r="AR135" s="201">
        <v>330</v>
      </c>
      <c r="AS135" s="201">
        <v>395</v>
      </c>
      <c r="AT135" s="201">
        <v>1727.41</v>
      </c>
      <c r="AU135" s="201">
        <v>7291.47</v>
      </c>
    </row>
    <row r="136" spans="1:47">
      <c r="A136" s="288" t="s">
        <v>4</v>
      </c>
      <c r="B136" s="201">
        <v>104.82666666666699</v>
      </c>
      <c r="C136" s="201">
        <v>108.81</v>
      </c>
      <c r="D136" s="201">
        <v>104.94</v>
      </c>
      <c r="E136" s="201">
        <v>100.73</v>
      </c>
      <c r="F136" s="201">
        <v>5.9733000000000001</v>
      </c>
      <c r="G136" s="201">
        <v>137.610698719135</v>
      </c>
      <c r="H136" s="201">
        <v>2.9928400000000002</v>
      </c>
      <c r="I136" s="201">
        <v>3.828102168</v>
      </c>
      <c r="J136" s="201">
        <v>2.1142305800000001</v>
      </c>
      <c r="K136" s="201">
        <v>1364</v>
      </c>
      <c r="L136" s="201">
        <v>1250</v>
      </c>
      <c r="M136" s="201">
        <v>1409.8</v>
      </c>
      <c r="N136" s="201">
        <v>904.34</v>
      </c>
      <c r="O136" s="201">
        <v>1292</v>
      </c>
      <c r="P136" s="201">
        <v>490.73</v>
      </c>
      <c r="Q136" s="201">
        <v>970.96</v>
      </c>
      <c r="R136" s="201">
        <v>570.75</v>
      </c>
      <c r="S136" s="201">
        <v>971.77</v>
      </c>
      <c r="T136" s="201">
        <v>953</v>
      </c>
      <c r="U136" s="201">
        <v>169.93945833333299</v>
      </c>
      <c r="V136" s="201">
        <v>209.3235928</v>
      </c>
      <c r="W136" s="201">
        <v>221.12338600000001</v>
      </c>
      <c r="X136" s="201">
        <v>459</v>
      </c>
      <c r="Y136" s="201">
        <v>382</v>
      </c>
      <c r="Z136" s="201">
        <v>449.85</v>
      </c>
      <c r="AA136" s="201">
        <v>393.16</v>
      </c>
      <c r="AB136" s="201">
        <v>258.67176243300003</v>
      </c>
      <c r="AC136" s="201">
        <v>292.11217649999998</v>
      </c>
      <c r="AD136" s="201">
        <v>1.0456354891881201</v>
      </c>
      <c r="AE136" s="201">
        <v>0.95418709374999999</v>
      </c>
      <c r="AF136" s="201">
        <v>0.77092533291092402</v>
      </c>
      <c r="AG136" s="201">
        <v>4.2809311159999996</v>
      </c>
      <c r="AH136" s="201">
        <v>2.0238411599999999</v>
      </c>
      <c r="AI136" s="201">
        <v>16.975574000000002</v>
      </c>
      <c r="AJ136" s="201">
        <v>0.44611361599999999</v>
      </c>
      <c r="AK136" s="201">
        <v>0.47730022999999999</v>
      </c>
      <c r="AL136" s="201">
        <v>0.36618738200000001</v>
      </c>
      <c r="AM136" s="201">
        <v>5051.8916666666701</v>
      </c>
      <c r="AN136" s="201">
        <v>2.0734451100000002</v>
      </c>
      <c r="AO136" s="201">
        <v>97.5</v>
      </c>
      <c r="AP136" s="201">
        <v>450.125</v>
      </c>
      <c r="AQ136" s="201">
        <v>367</v>
      </c>
      <c r="AR136" s="201">
        <v>353.125</v>
      </c>
      <c r="AS136" s="201">
        <v>307.625</v>
      </c>
      <c r="AT136" s="201">
        <v>1695.17</v>
      </c>
      <c r="AU136" s="201">
        <v>7149.21</v>
      </c>
    </row>
    <row r="137" spans="1:47">
      <c r="A137" s="288" t="s">
        <v>5</v>
      </c>
      <c r="B137" s="201">
        <v>104.04</v>
      </c>
      <c r="C137" s="201">
        <v>107.4</v>
      </c>
      <c r="D137" s="201">
        <v>104.15</v>
      </c>
      <c r="E137" s="201">
        <v>100.57</v>
      </c>
      <c r="F137" s="201">
        <v>4.8783000000000003</v>
      </c>
      <c r="G137" s="201">
        <v>122.17476315060399</v>
      </c>
      <c r="H137" s="201">
        <v>3.0416699999999999</v>
      </c>
      <c r="I137" s="201">
        <v>4.7198709579999996</v>
      </c>
      <c r="J137" s="201">
        <v>2.323008094</v>
      </c>
      <c r="K137" s="201">
        <v>1389.05</v>
      </c>
      <c r="L137" s="201">
        <v>1235.71</v>
      </c>
      <c r="M137" s="201">
        <v>1366.87</v>
      </c>
      <c r="N137" s="201">
        <v>953.81</v>
      </c>
      <c r="O137" s="201">
        <v>1376.9</v>
      </c>
      <c r="P137" s="201">
        <v>530.80999999999995</v>
      </c>
      <c r="Q137" s="201">
        <v>996.67</v>
      </c>
      <c r="R137" s="201">
        <v>601.52</v>
      </c>
      <c r="S137" s="201">
        <v>1009.95</v>
      </c>
      <c r="T137" s="201">
        <v>984.76</v>
      </c>
      <c r="U137" s="201">
        <v>177.74748750000001</v>
      </c>
      <c r="V137" s="201">
        <v>222.33078</v>
      </c>
      <c r="W137" s="201">
        <v>234.35110599999999</v>
      </c>
      <c r="X137" s="201">
        <v>422</v>
      </c>
      <c r="Y137" s="201">
        <v>366</v>
      </c>
      <c r="Z137" s="201">
        <v>425.1</v>
      </c>
      <c r="AA137" s="201">
        <v>378.57</v>
      </c>
      <c r="AB137" s="201">
        <v>286.91662156199999</v>
      </c>
      <c r="AC137" s="201">
        <v>323.71173270000003</v>
      </c>
      <c r="AD137" s="201">
        <v>1.1213649784734401</v>
      </c>
      <c r="AE137" s="201">
        <v>0.96452125</v>
      </c>
      <c r="AF137" s="201">
        <v>0.80641942501900898</v>
      </c>
      <c r="AG137" s="201">
        <v>4.4711898220000004</v>
      </c>
      <c r="AH137" s="201">
        <v>2.2571109523809501</v>
      </c>
      <c r="AI137" s="201">
        <v>17.085805000000001</v>
      </c>
      <c r="AJ137" s="201">
        <v>0.45140388799999998</v>
      </c>
      <c r="AK137" s="201">
        <v>0.485677786</v>
      </c>
      <c r="AL137" s="201">
        <v>0.39462698000000002</v>
      </c>
      <c r="AM137" s="201">
        <v>5083.5916666666699</v>
      </c>
      <c r="AN137" s="201">
        <v>2.13737909</v>
      </c>
      <c r="AO137" s="201">
        <v>106.6</v>
      </c>
      <c r="AP137" s="201">
        <v>486.5</v>
      </c>
      <c r="AQ137" s="201">
        <v>384</v>
      </c>
      <c r="AR137" s="201">
        <v>327.5</v>
      </c>
      <c r="AS137" s="201">
        <v>278.5</v>
      </c>
      <c r="AT137" s="201">
        <v>1705.37</v>
      </c>
      <c r="AU137" s="201">
        <v>6650.04</v>
      </c>
    </row>
    <row r="138" spans="1:47">
      <c r="A138" s="288" t="s">
        <v>6</v>
      </c>
      <c r="B138" s="201">
        <v>104.866666666667</v>
      </c>
      <c r="C138" s="201">
        <v>107.79</v>
      </c>
      <c r="D138" s="201">
        <v>104.73</v>
      </c>
      <c r="E138" s="201">
        <v>102.08</v>
      </c>
      <c r="F138" s="201">
        <v>4.6338999999999997</v>
      </c>
      <c r="G138" s="201">
        <v>118.65642551875401</v>
      </c>
      <c r="H138" s="201">
        <v>3.0506099999999998</v>
      </c>
      <c r="I138" s="201">
        <v>4.9268847759999996</v>
      </c>
      <c r="J138" s="201">
        <v>2.3269764099999999</v>
      </c>
      <c r="K138" s="201">
        <v>1356.13</v>
      </c>
      <c r="L138" s="201">
        <v>1197</v>
      </c>
      <c r="M138" s="201">
        <v>1366.87</v>
      </c>
      <c r="N138" s="201">
        <v>926.63</v>
      </c>
      <c r="O138" s="201">
        <v>1291.75</v>
      </c>
      <c r="P138" s="201">
        <v>516.17999999999995</v>
      </c>
      <c r="Q138" s="201">
        <v>1001.69</v>
      </c>
      <c r="R138" s="201">
        <v>584.36</v>
      </c>
      <c r="S138" s="201">
        <v>1011.42</v>
      </c>
      <c r="T138" s="201">
        <v>952.25</v>
      </c>
      <c r="U138" s="201">
        <v>181.421854166667</v>
      </c>
      <c r="V138" s="201">
        <v>222.3583376</v>
      </c>
      <c r="W138" s="201">
        <v>232.36694800000001</v>
      </c>
      <c r="X138" s="201">
        <v>395</v>
      </c>
      <c r="Y138" s="201">
        <v>352</v>
      </c>
      <c r="Z138" s="201">
        <v>399.29</v>
      </c>
      <c r="AA138" s="201">
        <v>370.91</v>
      </c>
      <c r="AB138" s="201">
        <v>277.091364204</v>
      </c>
      <c r="AC138" s="201">
        <v>324.81404279999998</v>
      </c>
      <c r="AD138" s="201">
        <v>1.2259495332871899</v>
      </c>
      <c r="AE138" s="201">
        <v>0.93007406250000002</v>
      </c>
      <c r="AF138" s="201">
        <v>0.84688586386056597</v>
      </c>
      <c r="AG138" s="201">
        <v>4.3514789560000002</v>
      </c>
      <c r="AH138" s="201">
        <v>2.3767903238095198</v>
      </c>
      <c r="AI138" s="201">
        <v>17.661210820000001</v>
      </c>
      <c r="AJ138" s="201">
        <v>0.45114263999999998</v>
      </c>
      <c r="AK138" s="201">
        <v>0.536384046</v>
      </c>
      <c r="AL138" s="201">
        <v>0.39132004999999997</v>
      </c>
      <c r="AM138" s="201">
        <v>5089.1000000000004</v>
      </c>
      <c r="AN138" s="201">
        <v>2.0767520400000001</v>
      </c>
      <c r="AO138" s="201">
        <v>111.5</v>
      </c>
      <c r="AP138" s="201">
        <v>409</v>
      </c>
      <c r="AQ138" s="201">
        <v>383</v>
      </c>
      <c r="AR138" s="201">
        <v>260</v>
      </c>
      <c r="AS138" s="201">
        <v>299</v>
      </c>
      <c r="AT138" s="201">
        <v>1810.67</v>
      </c>
      <c r="AU138" s="201">
        <v>6673.56</v>
      </c>
    </row>
    <row r="139" spans="1:47">
      <c r="A139" s="288" t="s">
        <v>7</v>
      </c>
      <c r="B139" s="201">
        <v>105.713333333333</v>
      </c>
      <c r="C139" s="201">
        <v>109.68</v>
      </c>
      <c r="D139" s="201">
        <v>105.6</v>
      </c>
      <c r="E139" s="201">
        <v>101.86</v>
      </c>
      <c r="F139" s="201">
        <v>4.5625</v>
      </c>
      <c r="G139" s="201">
        <v>114.951361100059</v>
      </c>
      <c r="H139" s="201">
        <v>3.0299900000000002</v>
      </c>
      <c r="I139" s="201">
        <v>4.7222960399999998</v>
      </c>
      <c r="J139" s="201">
        <v>2.270538138</v>
      </c>
      <c r="K139" s="201">
        <v>1413.25</v>
      </c>
      <c r="L139" s="201">
        <v>1180</v>
      </c>
      <c r="M139" s="201">
        <v>1366.87</v>
      </c>
      <c r="N139" s="201">
        <v>898.42</v>
      </c>
      <c r="O139" s="201">
        <v>1255.25</v>
      </c>
      <c r="P139" s="201">
        <v>519.41999999999996</v>
      </c>
      <c r="Q139" s="201">
        <v>961.81</v>
      </c>
      <c r="R139" s="201">
        <v>568</v>
      </c>
      <c r="S139" s="201">
        <v>954.94</v>
      </c>
      <c r="T139" s="201">
        <v>951.5</v>
      </c>
      <c r="U139" s="201">
        <v>181.88114999999999</v>
      </c>
      <c r="V139" s="201">
        <v>217.29561279999999</v>
      </c>
      <c r="W139" s="201">
        <v>220.68246199999999</v>
      </c>
      <c r="X139" s="201">
        <v>388</v>
      </c>
      <c r="Y139" s="201">
        <v>346</v>
      </c>
      <c r="Z139" s="201">
        <v>391.55</v>
      </c>
      <c r="AA139" s="201">
        <v>390.48</v>
      </c>
      <c r="AB139" s="201">
        <v>277.21261831499999</v>
      </c>
      <c r="AC139" s="201">
        <v>334.73483370000002</v>
      </c>
      <c r="AD139" s="201">
        <v>1.12031141124375</v>
      </c>
      <c r="AE139" s="201">
        <v>0.91491730000000004</v>
      </c>
      <c r="AF139" s="201">
        <v>0.84080267370791395</v>
      </c>
      <c r="AG139" s="201">
        <v>4.3821231740000002</v>
      </c>
      <c r="AH139" s="201">
        <v>2.56470793333333</v>
      </c>
      <c r="AI139" s="201">
        <v>17.967652999999999</v>
      </c>
      <c r="AJ139" s="201">
        <v>0.44869344</v>
      </c>
      <c r="AK139" s="201">
        <v>0.54365929199999996</v>
      </c>
      <c r="AL139" s="201">
        <v>0.40278407399999999</v>
      </c>
      <c r="AM139" s="201">
        <v>5117.5583333333298</v>
      </c>
      <c r="AN139" s="201">
        <v>2.0439032020000001</v>
      </c>
      <c r="AO139" s="201">
        <v>112.625</v>
      </c>
      <c r="AP139" s="201">
        <v>413.5625</v>
      </c>
      <c r="AQ139" s="201">
        <v>385</v>
      </c>
      <c r="AR139" s="201">
        <v>265</v>
      </c>
      <c r="AS139" s="201">
        <v>300.875</v>
      </c>
      <c r="AT139" s="201">
        <v>1751.05</v>
      </c>
      <c r="AU139" s="201">
        <v>6891.13</v>
      </c>
    </row>
    <row r="140" spans="1:47">
      <c r="A140" s="288" t="s">
        <v>8</v>
      </c>
      <c r="B140" s="201">
        <v>108.37333333333299</v>
      </c>
      <c r="C140" s="201">
        <v>111.87</v>
      </c>
      <c r="D140" s="201">
        <v>108.01</v>
      </c>
      <c r="E140" s="201">
        <v>105.24</v>
      </c>
      <c r="F140" s="201">
        <v>4.5692000000000004</v>
      </c>
      <c r="G140" s="201">
        <v>112.859789694505</v>
      </c>
      <c r="H140" s="201">
        <v>3.1743299999999999</v>
      </c>
      <c r="I140" s="201">
        <v>4.362722518</v>
      </c>
      <c r="J140" s="201">
        <v>2.1805896420000002</v>
      </c>
      <c r="K140" s="201">
        <v>1393.25</v>
      </c>
      <c r="L140" s="201">
        <v>1180</v>
      </c>
      <c r="M140" s="201">
        <v>1366.87</v>
      </c>
      <c r="N140" s="201">
        <v>861.88</v>
      </c>
      <c r="O140" s="201">
        <v>1233.75</v>
      </c>
      <c r="P140" s="201">
        <v>511.14</v>
      </c>
      <c r="Q140" s="201">
        <v>925.82</v>
      </c>
      <c r="R140" s="201">
        <v>543.86</v>
      </c>
      <c r="S140" s="201">
        <v>948.33</v>
      </c>
      <c r="T140" s="201">
        <v>942.38</v>
      </c>
      <c r="U140" s="201">
        <v>160.29424583333301</v>
      </c>
      <c r="V140" s="201">
        <v>202.39482480000001</v>
      </c>
      <c r="W140" s="201">
        <v>204.69896700000001</v>
      </c>
      <c r="X140" s="201">
        <v>397</v>
      </c>
      <c r="Y140" s="201">
        <v>356</v>
      </c>
      <c r="Z140" s="201">
        <v>402.57</v>
      </c>
      <c r="AA140" s="201">
        <v>404.5</v>
      </c>
      <c r="AB140" s="201">
        <v>236.64760663499999</v>
      </c>
      <c r="AC140" s="201">
        <v>306.44220780000001</v>
      </c>
      <c r="AD140" s="201">
        <v>1.0711769075149999</v>
      </c>
      <c r="AE140" s="201">
        <v>0.92662934374999995</v>
      </c>
      <c r="AF140" s="201">
        <v>0.83456079163823604</v>
      </c>
      <c r="AG140" s="201">
        <v>4.5439422819999997</v>
      </c>
      <c r="AH140" s="201">
        <v>2.5510602857142901</v>
      </c>
      <c r="AI140" s="201">
        <v>18.14622722</v>
      </c>
      <c r="AJ140" s="201">
        <v>0.44382769599999999</v>
      </c>
      <c r="AK140" s="201">
        <v>0.56548503000000006</v>
      </c>
      <c r="AL140" s="201">
        <v>0.400579454</v>
      </c>
      <c r="AM140" s="201">
        <v>4996.0749999999998</v>
      </c>
      <c r="AN140" s="201">
        <v>2.0039995799999999</v>
      </c>
      <c r="AO140" s="201">
        <v>111.4</v>
      </c>
      <c r="AP140" s="201">
        <v>421.375</v>
      </c>
      <c r="AQ140" s="201">
        <v>389</v>
      </c>
      <c r="AR140" s="201">
        <v>288.75</v>
      </c>
      <c r="AS140" s="201">
        <v>301.5</v>
      </c>
      <c r="AT140" s="201">
        <v>1838.95</v>
      </c>
      <c r="AU140" s="201">
        <v>6821.14</v>
      </c>
    </row>
    <row r="141" spans="1:47">
      <c r="A141" s="288" t="s">
        <v>9</v>
      </c>
      <c r="B141" s="201">
        <v>105.226666666667</v>
      </c>
      <c r="C141" s="201">
        <v>106.98</v>
      </c>
      <c r="D141" s="201">
        <v>105.76</v>
      </c>
      <c r="E141" s="201">
        <v>102.94</v>
      </c>
      <c r="F141" s="201">
        <v>4.0099</v>
      </c>
      <c r="G141" s="201">
        <v>103.06692548225899</v>
      </c>
      <c r="H141" s="201">
        <v>3.19604</v>
      </c>
      <c r="I141" s="201">
        <v>4.3408967799999996</v>
      </c>
      <c r="J141" s="201">
        <v>2.2440826980000002</v>
      </c>
      <c r="K141" s="201">
        <v>1255.22</v>
      </c>
      <c r="L141" s="201">
        <v>1181.74</v>
      </c>
      <c r="M141" s="201">
        <v>1373.38</v>
      </c>
      <c r="N141" s="201">
        <v>853.69</v>
      </c>
      <c r="O141" s="201">
        <v>1106.3</v>
      </c>
      <c r="P141" s="201">
        <v>471.74</v>
      </c>
      <c r="Q141" s="201">
        <v>897.43</v>
      </c>
      <c r="R141" s="201">
        <v>503.35</v>
      </c>
      <c r="S141" s="201">
        <v>892.08</v>
      </c>
      <c r="T141" s="201">
        <v>908.04</v>
      </c>
      <c r="U141" s="201">
        <v>138.70734166666699</v>
      </c>
      <c r="V141" s="201">
        <v>182.726572</v>
      </c>
      <c r="W141" s="201">
        <v>193.01448099999999</v>
      </c>
      <c r="X141" s="201">
        <v>422</v>
      </c>
      <c r="Y141" s="201">
        <v>375</v>
      </c>
      <c r="Z141" s="201">
        <v>435.39</v>
      </c>
      <c r="AA141" s="201">
        <v>420.87</v>
      </c>
      <c r="AB141" s="201">
        <v>218.308840938</v>
      </c>
      <c r="AC141" s="201">
        <v>280.35420210000001</v>
      </c>
      <c r="AD141" s="201">
        <v>1.0226080266049999</v>
      </c>
      <c r="AE141" s="201">
        <v>0.93007406250000002</v>
      </c>
      <c r="AF141" s="201">
        <v>0.78965097911995796</v>
      </c>
      <c r="AG141" s="201">
        <v>5.1702748239999998</v>
      </c>
      <c r="AH141" s="201">
        <v>2.4511365999999999</v>
      </c>
      <c r="AI141" s="201">
        <v>18.981778200000001</v>
      </c>
      <c r="AJ141" s="201">
        <v>0.44226020799999999</v>
      </c>
      <c r="AK141" s="201">
        <v>0.54630483600000002</v>
      </c>
      <c r="AL141" s="201">
        <v>0.40256361200000002</v>
      </c>
      <c r="AM141" s="201">
        <v>4991.2583333333296</v>
      </c>
      <c r="AN141" s="201">
        <v>1.8483534079999999</v>
      </c>
      <c r="AO141" s="201">
        <v>111</v>
      </c>
      <c r="AP141" s="201">
        <v>440.625</v>
      </c>
      <c r="AQ141" s="201">
        <v>390</v>
      </c>
      <c r="AR141" s="201">
        <v>305</v>
      </c>
      <c r="AS141" s="201">
        <v>279.5</v>
      </c>
      <c r="AT141" s="201">
        <v>1948.3</v>
      </c>
      <c r="AU141" s="201">
        <v>7113.38</v>
      </c>
    </row>
    <row r="142" spans="1:47">
      <c r="A142" s="288" t="s">
        <v>10</v>
      </c>
      <c r="B142" s="201">
        <v>100.05</v>
      </c>
      <c r="C142" s="201">
        <v>101.92</v>
      </c>
      <c r="D142" s="201">
        <v>101.85</v>
      </c>
      <c r="E142" s="201">
        <v>96.38</v>
      </c>
      <c r="F142" s="201">
        <v>3.8839999999999999</v>
      </c>
      <c r="G142" s="201">
        <v>101.279925232726</v>
      </c>
      <c r="H142" s="201">
        <v>3.27027</v>
      </c>
      <c r="I142" s="201">
        <v>4.6951792140000004</v>
      </c>
      <c r="J142" s="201">
        <v>2.2101315499999998</v>
      </c>
      <c r="K142" s="201">
        <v>1187.6199999999999</v>
      </c>
      <c r="L142" s="201">
        <v>1200</v>
      </c>
      <c r="M142" s="201">
        <v>1388.91</v>
      </c>
      <c r="N142" s="201">
        <v>778.69</v>
      </c>
      <c r="O142" s="201">
        <v>938.81</v>
      </c>
      <c r="P142" s="201">
        <v>458.57</v>
      </c>
      <c r="Q142" s="201">
        <v>861.77</v>
      </c>
      <c r="R142" s="201">
        <v>502.12</v>
      </c>
      <c r="S142" s="201">
        <v>851.75</v>
      </c>
      <c r="T142" s="201">
        <v>853.75</v>
      </c>
      <c r="U142" s="201">
        <v>118.49832499999999</v>
      </c>
      <c r="V142" s="201">
        <v>176.42375519999999</v>
      </c>
      <c r="W142" s="201">
        <v>191.36101600000001</v>
      </c>
      <c r="X142" s="201">
        <v>445</v>
      </c>
      <c r="Y142" s="201">
        <v>414</v>
      </c>
      <c r="Z142" s="201">
        <v>460.57</v>
      </c>
      <c r="AA142" s="201">
        <v>442.62</v>
      </c>
      <c r="AB142" s="201">
        <v>220.362812091</v>
      </c>
      <c r="AC142" s="201">
        <v>263.45211389999997</v>
      </c>
      <c r="AD142" s="201">
        <v>0.98893702380206205</v>
      </c>
      <c r="AE142" s="201">
        <v>0.95763181249999996</v>
      </c>
      <c r="AF142" s="201">
        <v>0.76817467301581099</v>
      </c>
      <c r="AG142" s="201">
        <v>5.793300436</v>
      </c>
      <c r="AH142" s="201">
        <v>2.2707586000000002</v>
      </c>
      <c r="AI142" s="201">
        <v>19.248537219999999</v>
      </c>
      <c r="AJ142" s="201">
        <v>0.43487995200000001</v>
      </c>
      <c r="AK142" s="201">
        <v>0.56526456800000002</v>
      </c>
      <c r="AL142" s="201">
        <v>0.37963556399999998</v>
      </c>
      <c r="AM142" s="201">
        <v>4919.9666666666699</v>
      </c>
      <c r="AN142" s="201">
        <v>1.6314188000000001</v>
      </c>
      <c r="AO142" s="201">
        <v>111</v>
      </c>
      <c r="AP142" s="201">
        <v>446.5</v>
      </c>
      <c r="AQ142" s="201">
        <v>391</v>
      </c>
      <c r="AR142" s="201">
        <v>311.25</v>
      </c>
      <c r="AS142" s="201">
        <v>279.5</v>
      </c>
      <c r="AT142" s="201">
        <v>2030.49</v>
      </c>
      <c r="AU142" s="201">
        <v>7001.84</v>
      </c>
    </row>
    <row r="143" spans="1:47">
      <c r="A143" s="288" t="s">
        <v>11</v>
      </c>
      <c r="B143" s="201">
        <v>95.85</v>
      </c>
      <c r="C143" s="201">
        <v>97.34</v>
      </c>
      <c r="D143" s="201">
        <v>96.99</v>
      </c>
      <c r="E143" s="201">
        <v>93.22</v>
      </c>
      <c r="F143" s="201">
        <v>3.9169999999999998</v>
      </c>
      <c r="G143" s="201">
        <v>101.763107208189</v>
      </c>
      <c r="H143" s="201">
        <v>3.2148300000000001</v>
      </c>
      <c r="I143" s="201">
        <v>4.641386486</v>
      </c>
      <c r="J143" s="201">
        <v>2.2160840240000002</v>
      </c>
      <c r="K143" s="201">
        <v>1193.4100000000001</v>
      </c>
      <c r="L143" s="201">
        <v>1213.6400000000001</v>
      </c>
      <c r="M143" s="201">
        <v>1388.91</v>
      </c>
      <c r="N143" s="201">
        <v>760.75</v>
      </c>
      <c r="O143" s="201">
        <v>904.55</v>
      </c>
      <c r="P143" s="201">
        <v>430.17</v>
      </c>
      <c r="Q143" s="201">
        <v>839.82</v>
      </c>
      <c r="R143" s="201">
        <v>459.73</v>
      </c>
      <c r="S143" s="201">
        <v>836.46</v>
      </c>
      <c r="T143" s="201">
        <v>834.09</v>
      </c>
      <c r="U143" s="201">
        <v>105.63804166666699</v>
      </c>
      <c r="V143" s="201">
        <v>163.0583192</v>
      </c>
      <c r="W143" s="201">
        <v>180.558378</v>
      </c>
      <c r="X143" s="201">
        <v>432</v>
      </c>
      <c r="Y143" s="201">
        <v>411</v>
      </c>
      <c r="Z143" s="201">
        <v>449.91</v>
      </c>
      <c r="AA143" s="201">
        <v>442.05</v>
      </c>
      <c r="AB143" s="201">
        <v>202.83240713399999</v>
      </c>
      <c r="AC143" s="201">
        <v>243.6105321</v>
      </c>
      <c r="AD143" s="201">
        <v>0.96690945973050002</v>
      </c>
      <c r="AE143" s="201">
        <v>0.92318462499999998</v>
      </c>
      <c r="AF143" s="201">
        <v>0.76880944068391399</v>
      </c>
      <c r="AG143" s="201">
        <v>6.1746996960000002</v>
      </c>
      <c r="AH143" s="201">
        <v>2.3599932190476198</v>
      </c>
      <c r="AI143" s="201">
        <v>18.34684764</v>
      </c>
      <c r="AJ143" s="201">
        <v>0.42155630399999999</v>
      </c>
      <c r="AK143" s="201">
        <v>0.55909163200000001</v>
      </c>
      <c r="AL143" s="201">
        <v>0.35340058600000002</v>
      </c>
      <c r="AM143" s="201">
        <v>4923.7666666666701</v>
      </c>
      <c r="AN143" s="201">
        <v>1.6177501560000001</v>
      </c>
      <c r="AO143" s="201">
        <v>111.375</v>
      </c>
      <c r="AP143" s="201">
        <v>438.1</v>
      </c>
      <c r="AQ143" s="201">
        <v>398</v>
      </c>
      <c r="AR143" s="201">
        <v>317.5</v>
      </c>
      <c r="AS143" s="201">
        <v>279.5</v>
      </c>
      <c r="AT143" s="201">
        <v>1990.43</v>
      </c>
      <c r="AU143" s="201">
        <v>6872.22</v>
      </c>
    </row>
    <row r="144" spans="1:47">
      <c r="A144" s="288" t="s">
        <v>12</v>
      </c>
      <c r="B144" s="201">
        <v>86.08</v>
      </c>
      <c r="C144" s="201">
        <v>87.27</v>
      </c>
      <c r="D144" s="201">
        <v>86.57</v>
      </c>
      <c r="E144" s="201">
        <v>84.4</v>
      </c>
      <c r="F144" s="201">
        <v>3.7719</v>
      </c>
      <c r="G144" s="201">
        <v>103.01527984123</v>
      </c>
      <c r="H144" s="201">
        <v>3.1008300000000002</v>
      </c>
      <c r="I144" s="201">
        <v>4.9667883980000003</v>
      </c>
      <c r="J144" s="201">
        <v>2.3082371400000001</v>
      </c>
      <c r="K144" s="201">
        <v>1148.7</v>
      </c>
      <c r="L144" s="201">
        <v>1338.7</v>
      </c>
      <c r="M144" s="201">
        <v>1388.91</v>
      </c>
      <c r="N144" s="201">
        <v>764.4</v>
      </c>
      <c r="O144" s="201">
        <v>936.09</v>
      </c>
      <c r="P144" s="201">
        <v>425.81</v>
      </c>
      <c r="Q144" s="201">
        <v>833.03</v>
      </c>
      <c r="R144" s="201">
        <v>453.13</v>
      </c>
      <c r="S144" s="201">
        <v>859.11</v>
      </c>
      <c r="T144" s="201">
        <v>888.26</v>
      </c>
      <c r="U144" s="201">
        <v>112.068183333333</v>
      </c>
      <c r="V144" s="201">
        <v>163.121308</v>
      </c>
      <c r="W144" s="201">
        <v>195.21910099999999</v>
      </c>
      <c r="X144" s="201">
        <v>428</v>
      </c>
      <c r="Y144" s="201">
        <v>409</v>
      </c>
      <c r="Z144" s="201">
        <v>437.57</v>
      </c>
      <c r="AA144" s="201">
        <v>436.96</v>
      </c>
      <c r="AB144" s="201">
        <v>220.14235007100001</v>
      </c>
      <c r="AC144" s="201">
        <v>245.44771560000001</v>
      </c>
      <c r="AD144" s="201">
        <v>1.0087932989722499</v>
      </c>
      <c r="AE144" s="201">
        <v>0.89783149500000003</v>
      </c>
      <c r="AF144" s="201">
        <v>0.732151607850974</v>
      </c>
      <c r="AG144" s="201">
        <v>5.9529149239999999</v>
      </c>
      <c r="AH144" s="201">
        <v>2.3608604608695698</v>
      </c>
      <c r="AI144" s="201">
        <v>17.502478180000001</v>
      </c>
      <c r="AJ144" s="201">
        <v>0.413784176</v>
      </c>
      <c r="AK144" s="201">
        <v>0.58224014199999996</v>
      </c>
      <c r="AL144" s="201">
        <v>0.36927385000000001</v>
      </c>
      <c r="AM144" s="201">
        <v>4943.2250000000004</v>
      </c>
      <c r="AN144" s="201">
        <v>1.550729708</v>
      </c>
      <c r="AO144" s="201">
        <v>116</v>
      </c>
      <c r="AP144" s="201">
        <v>418.75</v>
      </c>
      <c r="AQ144" s="201">
        <v>398</v>
      </c>
      <c r="AR144" s="201">
        <v>317.5</v>
      </c>
      <c r="AS144" s="201">
        <v>279.5</v>
      </c>
      <c r="AT144" s="201">
        <v>1946.19</v>
      </c>
      <c r="AU144" s="201">
        <v>6737.48</v>
      </c>
    </row>
    <row r="145" spans="1:47">
      <c r="A145" s="288" t="s">
        <v>13</v>
      </c>
      <c r="B145" s="201">
        <v>76.993333333333297</v>
      </c>
      <c r="C145" s="201">
        <v>78.44</v>
      </c>
      <c r="D145" s="201">
        <v>76.73</v>
      </c>
      <c r="E145" s="201">
        <v>75.81</v>
      </c>
      <c r="F145" s="201">
        <v>4.1002999999999998</v>
      </c>
      <c r="G145" s="201">
        <v>102.663959320053</v>
      </c>
      <c r="H145" s="201">
        <v>2.90909</v>
      </c>
      <c r="I145" s="201">
        <v>4.616033356</v>
      </c>
      <c r="J145" s="201">
        <v>2.2720813720000002</v>
      </c>
      <c r="K145" s="201">
        <v>1191.6300000000001</v>
      </c>
      <c r="L145" s="201">
        <v>1397</v>
      </c>
      <c r="M145" s="201">
        <v>1388.91</v>
      </c>
      <c r="N145" s="201">
        <v>764.75</v>
      </c>
      <c r="O145" s="201">
        <v>970</v>
      </c>
      <c r="P145" s="201">
        <v>449.9</v>
      </c>
      <c r="Q145" s="201">
        <v>825.98</v>
      </c>
      <c r="R145" s="201">
        <v>473.6</v>
      </c>
      <c r="S145" s="201">
        <v>841.33</v>
      </c>
      <c r="T145" s="201">
        <v>922.75</v>
      </c>
      <c r="U145" s="201">
        <v>113.90536666666701</v>
      </c>
      <c r="V145" s="201">
        <v>178.74253039999999</v>
      </c>
      <c r="W145" s="201">
        <v>213.84814</v>
      </c>
      <c r="X145" s="201">
        <v>418</v>
      </c>
      <c r="Y145" s="201">
        <v>400</v>
      </c>
      <c r="Z145" s="201">
        <v>423.8</v>
      </c>
      <c r="AA145" s="201">
        <v>422</v>
      </c>
      <c r="AB145" s="201">
        <v>236.026638612</v>
      </c>
      <c r="AC145" s="201">
        <v>258.6754368</v>
      </c>
      <c r="AD145" s="201">
        <v>0.99774997158375001</v>
      </c>
      <c r="AE145" s="201">
        <v>0.89907159375000001</v>
      </c>
      <c r="AF145" s="201">
        <v>0.72114896827052499</v>
      </c>
      <c r="AG145" s="201">
        <v>5.8400383800000002</v>
      </c>
      <c r="AH145" s="201">
        <v>2.314851</v>
      </c>
      <c r="AI145" s="201">
        <v>17.306266999999998</v>
      </c>
      <c r="AJ145" s="201">
        <v>0.40735094399999999</v>
      </c>
      <c r="AK145" s="201">
        <v>0.534840812</v>
      </c>
      <c r="AL145" s="201">
        <v>0.35692797799999998</v>
      </c>
      <c r="AM145" s="201">
        <v>4922.2749999999996</v>
      </c>
      <c r="AN145" s="201">
        <v>1.488559424</v>
      </c>
      <c r="AO145" s="201">
        <v>119.5</v>
      </c>
      <c r="AP145" s="201">
        <v>408.75</v>
      </c>
      <c r="AQ145" s="201">
        <v>385</v>
      </c>
      <c r="AR145" s="201">
        <v>317.5</v>
      </c>
      <c r="AS145" s="201">
        <v>279.5</v>
      </c>
      <c r="AT145" s="201">
        <v>2055.5500000000002</v>
      </c>
      <c r="AU145" s="201">
        <v>6712.85</v>
      </c>
    </row>
    <row r="146" spans="1:47">
      <c r="A146" s="288" t="s">
        <v>14</v>
      </c>
      <c r="B146" s="201">
        <v>60.703333333333298</v>
      </c>
      <c r="C146" s="201">
        <v>62.33</v>
      </c>
      <c r="D146" s="201">
        <v>60.52</v>
      </c>
      <c r="E146" s="201">
        <v>59.26</v>
      </c>
      <c r="F146" s="201">
        <v>3.4327999999999999</v>
      </c>
      <c r="G146" s="201">
        <v>98.999777005201693</v>
      </c>
      <c r="H146" s="201">
        <v>2.9469500000000002</v>
      </c>
      <c r="I146" s="201">
        <v>4.3391330840000002</v>
      </c>
      <c r="J146" s="201">
        <v>2.197344754</v>
      </c>
      <c r="K146" s="201">
        <v>1212.1400000000001</v>
      </c>
      <c r="L146" s="201">
        <v>1427.38</v>
      </c>
      <c r="M146" s="201">
        <v>1372.88</v>
      </c>
      <c r="N146" s="201">
        <v>719.64</v>
      </c>
      <c r="O146" s="201">
        <v>972.26</v>
      </c>
      <c r="P146" s="201">
        <v>448.32</v>
      </c>
      <c r="Q146" s="201">
        <v>814.55</v>
      </c>
      <c r="R146" s="201">
        <v>469.67</v>
      </c>
      <c r="S146" s="201">
        <v>814.81</v>
      </c>
      <c r="T146" s="201">
        <v>900.95</v>
      </c>
      <c r="U146" s="201">
        <v>123.091283333333</v>
      </c>
      <c r="V146" s="201">
        <v>178.73465680000001</v>
      </c>
      <c r="W146" s="201">
        <v>227.296322</v>
      </c>
      <c r="X146" s="201">
        <v>418</v>
      </c>
      <c r="Y146" s="201">
        <v>398</v>
      </c>
      <c r="Z146" s="201">
        <v>421.18</v>
      </c>
      <c r="AA146" s="201">
        <v>382.39</v>
      </c>
      <c r="AB146" s="201">
        <v>261.780276915</v>
      </c>
      <c r="AC146" s="201">
        <v>269.6985378</v>
      </c>
      <c r="AD146" s="201">
        <v>0.94885756268874999</v>
      </c>
      <c r="AE146" s="201">
        <v>0.90940575000000001</v>
      </c>
      <c r="AF146" s="201">
        <v>0.76923261912931595</v>
      </c>
      <c r="AG146" s="201">
        <v>5.4637097460000001</v>
      </c>
      <c r="AH146" s="201">
        <v>2.2235167428571398</v>
      </c>
      <c r="AI146" s="201">
        <v>17.3834287</v>
      </c>
      <c r="AJ146" s="201">
        <v>0.40228926399999998</v>
      </c>
      <c r="AK146" s="201">
        <v>0.546966222</v>
      </c>
      <c r="AL146" s="201">
        <v>0.33796824600000003</v>
      </c>
      <c r="AM146" s="201">
        <v>4926.2250000000004</v>
      </c>
      <c r="AN146" s="201">
        <v>1.50575546</v>
      </c>
      <c r="AO146" s="201">
        <v>119.5</v>
      </c>
      <c r="AP146" s="201">
        <v>418.375</v>
      </c>
      <c r="AQ146" s="201">
        <v>381</v>
      </c>
      <c r="AR146" s="201">
        <v>308.125</v>
      </c>
      <c r="AS146" s="201">
        <v>279.5</v>
      </c>
      <c r="AT146" s="201">
        <v>1909.46</v>
      </c>
      <c r="AU146" s="201">
        <v>6446.45</v>
      </c>
    </row>
    <row r="147" spans="1:47" s="291" customFormat="1" ht="15">
      <c r="A147" s="198" t="s">
        <v>1</v>
      </c>
      <c r="B147" s="241">
        <v>96.235000000000056</v>
      </c>
      <c r="C147" s="241">
        <v>98.9375</v>
      </c>
      <c r="D147" s="241">
        <v>96.655000000000015</v>
      </c>
      <c r="E147" s="241">
        <v>93.112499999999997</v>
      </c>
      <c r="F147" s="241">
        <v>4.3694916666666668</v>
      </c>
      <c r="G147" s="241">
        <v>111.70982886732081</v>
      </c>
      <c r="H147" s="241">
        <v>3.0622399999999996</v>
      </c>
      <c r="I147" s="241">
        <v>4.4237904920000011</v>
      </c>
      <c r="J147" s="241">
        <v>2.2164514606666663</v>
      </c>
      <c r="K147" s="241">
        <v>1281.1241666666667</v>
      </c>
      <c r="L147" s="241">
        <v>1258.3175000000001</v>
      </c>
      <c r="M147" s="241">
        <v>1394.9849999999999</v>
      </c>
      <c r="N147" s="241">
        <v>837.46916666666664</v>
      </c>
      <c r="O147" s="241">
        <v>1119.6916666666666</v>
      </c>
      <c r="P147" s="241">
        <v>484.8574999999999</v>
      </c>
      <c r="Q147" s="241">
        <v>905.96916666666664</v>
      </c>
      <c r="R147" s="241">
        <v>522.46750000000009</v>
      </c>
      <c r="S147" s="241">
        <v>911.6633333333333</v>
      </c>
      <c r="T147" s="241">
        <v>920.29583333333346</v>
      </c>
      <c r="U147" s="241">
        <v>145.90297638888893</v>
      </c>
      <c r="V147" s="241">
        <v>192.88121953333328</v>
      </c>
      <c r="W147" s="241">
        <v>210.39423533333334</v>
      </c>
      <c r="X147" s="241">
        <v>422.83333333333331</v>
      </c>
      <c r="Y147" s="241">
        <v>382.16666666666669</v>
      </c>
      <c r="Z147" s="241">
        <v>425.14833333333337</v>
      </c>
      <c r="AA147" s="241">
        <v>407.2091666666667</v>
      </c>
      <c r="AB147" s="241">
        <v>245.21163752024998</v>
      </c>
      <c r="AC147" s="241">
        <v>284.88592139999997</v>
      </c>
      <c r="AD147" s="241">
        <v>1.0425701593053465</v>
      </c>
      <c r="AE147" s="241">
        <v>0.92778906572916664</v>
      </c>
      <c r="AF147" s="241">
        <v>0.78355015653208071</v>
      </c>
      <c r="AG147" s="241">
        <v>5.0504537269999998</v>
      </c>
      <c r="AH147" s="241">
        <v>2.3224215231677015</v>
      </c>
      <c r="AI147" s="241">
        <v>17.794406611666666</v>
      </c>
      <c r="AJ147" s="241">
        <v>0.43401231994202899</v>
      </c>
      <c r="AK147" s="241">
        <v>0.53250758916666663</v>
      </c>
      <c r="AL147" s="241">
        <v>0.3749874901666666</v>
      </c>
      <c r="AM147" s="241">
        <v>4990.7722222222228</v>
      </c>
      <c r="AN147" s="241">
        <v>1.8319473608333334</v>
      </c>
      <c r="AO147" s="241">
        <v>110.45833333333333</v>
      </c>
      <c r="AP147" s="241">
        <v>429.58645833333338</v>
      </c>
      <c r="AQ147" s="241">
        <v>382</v>
      </c>
      <c r="AR147" s="241">
        <v>308.4375</v>
      </c>
      <c r="AS147" s="241">
        <v>296.625</v>
      </c>
      <c r="AT147" s="241">
        <v>1867.4199999999998</v>
      </c>
      <c r="AU147" s="241">
        <v>6863.3975</v>
      </c>
    </row>
    <row r="148" spans="1:47" s="291" customFormat="1" ht="15">
      <c r="A148" s="198" t="s">
        <v>172</v>
      </c>
      <c r="B148" s="241">
        <v>-7.5352479509497305</v>
      </c>
      <c r="C148" s="241">
        <v>-9.1118913215575184</v>
      </c>
      <c r="D148" s="241">
        <v>-8.3259728928428913</v>
      </c>
      <c r="E148" s="241">
        <v>-4.9317227076071557</v>
      </c>
      <c r="F148" s="241">
        <v>17.333813703068813</v>
      </c>
      <c r="G148" s="241">
        <v>-0.31357743399668125</v>
      </c>
      <c r="H148" s="241">
        <v>25.560988932155372</v>
      </c>
      <c r="I148" s="241">
        <v>43.816812988611616</v>
      </c>
      <c r="J148" s="241">
        <v>6.7729697332072902</v>
      </c>
      <c r="K148" s="241">
        <v>36.366813528561792</v>
      </c>
      <c r="L148" s="241">
        <v>-16.904299513691424</v>
      </c>
      <c r="M148" s="241">
        <v>-23.378644474002929</v>
      </c>
      <c r="N148" s="241">
        <v>-3.8194188564904197</v>
      </c>
      <c r="O148" s="241">
        <v>24.837522519216225</v>
      </c>
      <c r="P148" s="241">
        <v>-12.066190394866327</v>
      </c>
      <c r="Q148" s="241">
        <v>-14.158149568249423</v>
      </c>
      <c r="R148" s="241">
        <v>-3.8631920325689295</v>
      </c>
      <c r="S148" s="241">
        <v>-15.918900639449095</v>
      </c>
      <c r="T148" s="241">
        <v>-20.348809114244681</v>
      </c>
      <c r="U148" s="241">
        <v>-28.129713423831014</v>
      </c>
      <c r="V148" s="241">
        <v>-25.640233959740431</v>
      </c>
      <c r="W148" s="241">
        <v>-13.518700271454154</v>
      </c>
      <c r="X148" s="241">
        <v>-16.418205478775107</v>
      </c>
      <c r="Y148" s="241">
        <v>-19.196783846404596</v>
      </c>
      <c r="Z148" s="241">
        <v>-10.30425416379318</v>
      </c>
      <c r="AA148" s="241">
        <v>3.7734476810970863</v>
      </c>
      <c r="AB148" s="241">
        <v>-11.390680411696541</v>
      </c>
      <c r="AC148" s="241">
        <v>-8.7628926883473461</v>
      </c>
      <c r="AD148" s="241">
        <v>2.0148292829970993</v>
      </c>
      <c r="AE148" s="241">
        <v>0.40197570749589406</v>
      </c>
      <c r="AF148" s="241">
        <v>-18.997818166318591</v>
      </c>
      <c r="AG148" s="241">
        <v>22.336889043162465</v>
      </c>
      <c r="AH148" s="241">
        <v>6.8424505250596068</v>
      </c>
      <c r="AI148" s="241">
        <v>25.537237213883923</v>
      </c>
      <c r="AJ148" s="241">
        <v>4.2190354022220156E-2</v>
      </c>
      <c r="AK148" s="241">
        <v>18.203529210476699</v>
      </c>
      <c r="AL148" s="241">
        <v>-3.8603822839741619</v>
      </c>
      <c r="AM148" s="241">
        <v>8.7593940586267784</v>
      </c>
      <c r="AN148" s="241">
        <v>-8.0669065295407076</v>
      </c>
      <c r="AO148" s="241">
        <v>-12.558753195349226</v>
      </c>
      <c r="AP148" s="241">
        <v>4.5291407077717061</v>
      </c>
      <c r="AQ148" s="241">
        <v>0.32829940906107247</v>
      </c>
      <c r="AR148" s="241">
        <v>-9.1801367972272452</v>
      </c>
      <c r="AS148" s="241">
        <v>-24.905063291139239</v>
      </c>
      <c r="AT148" s="241">
        <v>1.1237006688529227</v>
      </c>
      <c r="AU148" s="241">
        <v>-6.3924789209282018</v>
      </c>
    </row>
    <row r="149" spans="1:47"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201"/>
      <c r="AL149" s="201"/>
      <c r="AM149" s="201"/>
      <c r="AN149" s="201"/>
      <c r="AO149" s="201"/>
      <c r="AP149" s="201"/>
      <c r="AQ149" s="201"/>
      <c r="AR149" s="201"/>
      <c r="AS149" s="201"/>
      <c r="AT149" s="201"/>
      <c r="AU149" s="201"/>
    </row>
    <row r="150" spans="1:47">
      <c r="A150" s="292">
        <v>2015</v>
      </c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  <c r="AI150" s="201"/>
      <c r="AJ150" s="201"/>
      <c r="AK150" s="201"/>
      <c r="AL150" s="201"/>
      <c r="AM150" s="201"/>
      <c r="AN150" s="201"/>
      <c r="AO150" s="201"/>
      <c r="AP150" s="201"/>
      <c r="AQ150" s="201"/>
      <c r="AR150" s="201"/>
      <c r="AS150" s="201"/>
      <c r="AT150" s="201"/>
      <c r="AU150" s="201"/>
    </row>
    <row r="151" spans="1:47">
      <c r="A151" s="288" t="s">
        <v>3</v>
      </c>
      <c r="B151" s="201">
        <v>47.106666666666698</v>
      </c>
      <c r="C151" s="201">
        <v>48.07</v>
      </c>
      <c r="D151" s="201">
        <v>45.98</v>
      </c>
      <c r="E151" s="201">
        <v>47.27</v>
      </c>
      <c r="F151" s="201">
        <v>2.9742999999999999</v>
      </c>
      <c r="G151" s="201">
        <v>91.059104632555503</v>
      </c>
      <c r="H151" s="201">
        <v>2.9159099999999998</v>
      </c>
      <c r="I151" s="201">
        <v>4.1887780000000001</v>
      </c>
      <c r="J151" s="201">
        <v>2.1607480620000001</v>
      </c>
      <c r="K151" s="201">
        <v>1145.71</v>
      </c>
      <c r="L151" s="201">
        <v>1392.86</v>
      </c>
      <c r="M151" s="201">
        <v>1350.33</v>
      </c>
      <c r="N151" s="201">
        <v>719.64</v>
      </c>
      <c r="O151" s="201">
        <v>1010.48</v>
      </c>
      <c r="P151" s="201">
        <v>433.21</v>
      </c>
      <c r="Q151" s="201">
        <v>796.58</v>
      </c>
      <c r="R151" s="201">
        <v>442.64</v>
      </c>
      <c r="S151" s="201">
        <v>777.72</v>
      </c>
      <c r="T151" s="201">
        <v>870.71</v>
      </c>
      <c r="U151" s="201">
        <v>128.14353750000001</v>
      </c>
      <c r="V151" s="201">
        <v>174.70731040000001</v>
      </c>
      <c r="W151" s="201">
        <v>215.06068099999999</v>
      </c>
      <c r="X151" s="201">
        <v>420</v>
      </c>
      <c r="Y151" s="201">
        <v>400</v>
      </c>
      <c r="Z151" s="201">
        <v>418.55</v>
      </c>
      <c r="AA151" s="201">
        <v>374.42</v>
      </c>
      <c r="AB151" s="201">
        <v>231.47042353200001</v>
      </c>
      <c r="AC151" s="201">
        <v>248.3872092</v>
      </c>
      <c r="AD151" s="201">
        <v>0.88835515639200002</v>
      </c>
      <c r="AE151" s="201">
        <v>0.90940575000000001</v>
      </c>
      <c r="AF151" s="201">
        <v>0.75791259571481495</v>
      </c>
      <c r="AG151" s="201">
        <v>5.2979223219999998</v>
      </c>
      <c r="AH151" s="201">
        <v>2.2224669238095198</v>
      </c>
      <c r="AI151" s="201">
        <v>17.416498000000001</v>
      </c>
      <c r="AJ151" s="201">
        <v>0.38031177599999999</v>
      </c>
      <c r="AK151" s="201">
        <v>0.55644608799999995</v>
      </c>
      <c r="AL151" s="201">
        <v>0.338188708</v>
      </c>
      <c r="AM151" s="201">
        <v>4922.8583333333299</v>
      </c>
      <c r="AN151" s="201">
        <v>1.48481157</v>
      </c>
      <c r="AO151" s="201">
        <v>119.5</v>
      </c>
      <c r="AP151" s="201">
        <v>440.25</v>
      </c>
      <c r="AQ151" s="201">
        <v>381.5</v>
      </c>
      <c r="AR151" s="201">
        <v>305</v>
      </c>
      <c r="AS151" s="201">
        <v>279.5</v>
      </c>
      <c r="AT151" s="201">
        <v>1814.72</v>
      </c>
      <c r="AU151" s="201">
        <v>5830.54</v>
      </c>
    </row>
    <row r="152" spans="1:47">
      <c r="A152" s="288" t="s">
        <v>4</v>
      </c>
      <c r="B152" s="201">
        <v>54.79</v>
      </c>
      <c r="C152" s="201">
        <v>57.93</v>
      </c>
      <c r="D152" s="201">
        <v>55.83</v>
      </c>
      <c r="E152" s="201">
        <v>50.61</v>
      </c>
      <c r="F152" s="201">
        <v>2.8477999999999999</v>
      </c>
      <c r="G152" s="201">
        <v>83.520262891369299</v>
      </c>
      <c r="H152" s="201">
        <v>2.9617</v>
      </c>
      <c r="I152" s="201">
        <v>3.9438447179999998</v>
      </c>
      <c r="J152" s="201">
        <v>2.1684642319999998</v>
      </c>
      <c r="K152" s="201">
        <v>1160.5</v>
      </c>
      <c r="L152" s="201">
        <v>1350</v>
      </c>
      <c r="M152" s="201">
        <v>1344.82</v>
      </c>
      <c r="N152" s="201">
        <v>723.04</v>
      </c>
      <c r="O152" s="201">
        <v>1052.3699999999999</v>
      </c>
      <c r="P152" s="201">
        <v>423.55</v>
      </c>
      <c r="Q152" s="201">
        <v>762.61</v>
      </c>
      <c r="R152" s="201">
        <v>418.25</v>
      </c>
      <c r="S152" s="201">
        <v>762.51</v>
      </c>
      <c r="T152" s="201">
        <v>825</v>
      </c>
      <c r="U152" s="201">
        <v>125.38776249999999</v>
      </c>
      <c r="V152" s="201">
        <v>173.6955528</v>
      </c>
      <c r="W152" s="201">
        <v>217.70622499999999</v>
      </c>
      <c r="X152" s="201">
        <v>420</v>
      </c>
      <c r="Y152" s="201">
        <v>400</v>
      </c>
      <c r="Z152" s="201">
        <v>417</v>
      </c>
      <c r="AA152" s="201">
        <v>353.5</v>
      </c>
      <c r="AB152" s="201">
        <v>219.84840071100001</v>
      </c>
      <c r="AC152" s="201">
        <v>236.99667149999999</v>
      </c>
      <c r="AD152" s="201">
        <v>0.93813766683312505</v>
      </c>
      <c r="AE152" s="201">
        <v>1.00241315625</v>
      </c>
      <c r="AF152" s="201">
        <v>0.70416893314877305</v>
      </c>
      <c r="AG152" s="201">
        <v>4.8834537620000003</v>
      </c>
      <c r="AH152" s="201">
        <v>2.0293527099999999</v>
      </c>
      <c r="AI152" s="201">
        <v>17.48484122</v>
      </c>
      <c r="AJ152" s="201">
        <v>0.37087419199999999</v>
      </c>
      <c r="AK152" s="201">
        <v>0.54277744400000005</v>
      </c>
      <c r="AL152" s="201">
        <v>0.32165405800000002</v>
      </c>
      <c r="AM152" s="201">
        <v>4910.9666666666699</v>
      </c>
      <c r="AN152" s="201">
        <v>1.5397066079999999</v>
      </c>
      <c r="AO152" s="201">
        <v>121.25</v>
      </c>
      <c r="AP152" s="201">
        <v>444.125</v>
      </c>
      <c r="AQ152" s="201">
        <v>382.5</v>
      </c>
      <c r="AR152" s="201">
        <v>305</v>
      </c>
      <c r="AS152" s="201">
        <v>279.5</v>
      </c>
      <c r="AT152" s="201">
        <v>1817.82</v>
      </c>
      <c r="AU152" s="201">
        <v>5729.27</v>
      </c>
    </row>
    <row r="153" spans="1:47">
      <c r="A153" s="288" t="s">
        <v>5</v>
      </c>
      <c r="B153" s="201">
        <v>52.826666666666704</v>
      </c>
      <c r="C153" s="201">
        <v>55.79</v>
      </c>
      <c r="D153" s="201">
        <v>54.91</v>
      </c>
      <c r="E153" s="201">
        <v>47.78</v>
      </c>
      <c r="F153" s="201">
        <v>2.8006000000000002</v>
      </c>
      <c r="G153" s="201">
        <v>82.159498768129197</v>
      </c>
      <c r="H153" s="201">
        <v>2.8769999999999998</v>
      </c>
      <c r="I153" s="201">
        <v>3.5437061879999998</v>
      </c>
      <c r="J153" s="201">
        <v>2.0317777920000002</v>
      </c>
      <c r="K153" s="201">
        <v>1090.68</v>
      </c>
      <c r="L153" s="201">
        <v>1350</v>
      </c>
      <c r="M153" s="201">
        <v>1344.82</v>
      </c>
      <c r="N153" s="201">
        <v>698.86</v>
      </c>
      <c r="O153" s="201">
        <v>1020.8</v>
      </c>
      <c r="P153" s="201">
        <v>409.79</v>
      </c>
      <c r="Q153" s="201">
        <v>749.93</v>
      </c>
      <c r="R153" s="201">
        <v>412.36</v>
      </c>
      <c r="S153" s="201">
        <v>751.16</v>
      </c>
      <c r="T153" s="201">
        <v>804.55</v>
      </c>
      <c r="U153" s="201">
        <v>126.30635416666701</v>
      </c>
      <c r="V153" s="201">
        <v>174.22702079999999</v>
      </c>
      <c r="W153" s="201">
        <v>227.737246</v>
      </c>
      <c r="X153" s="201">
        <v>410</v>
      </c>
      <c r="Y153" s="201">
        <v>392</v>
      </c>
      <c r="Z153" s="201">
        <v>411</v>
      </c>
      <c r="AA153" s="201">
        <v>360.74</v>
      </c>
      <c r="AB153" s="201">
        <v>218.797531749</v>
      </c>
      <c r="AC153" s="201">
        <v>230.75024759999999</v>
      </c>
      <c r="AD153" s="201">
        <v>0.92852366348500004</v>
      </c>
      <c r="AE153" s="201">
        <v>1.0385827031249999</v>
      </c>
      <c r="AF153" s="201">
        <v>0.63381551660070601</v>
      </c>
      <c r="AG153" s="201">
        <v>4.7159026419999996</v>
      </c>
      <c r="AH153" s="201">
        <v>2.1525107999999999</v>
      </c>
      <c r="AI153" s="201">
        <v>17.453976539999999</v>
      </c>
      <c r="AJ153" s="201">
        <v>0.35379510400000003</v>
      </c>
      <c r="AK153" s="201">
        <v>0.53065203400000005</v>
      </c>
      <c r="AL153" s="201">
        <v>0.290127992</v>
      </c>
      <c r="AM153" s="201">
        <v>4961.5666666666702</v>
      </c>
      <c r="AN153" s="201">
        <v>1.52890397</v>
      </c>
      <c r="AO153" s="201">
        <v>123</v>
      </c>
      <c r="AP153" s="201">
        <v>428.8</v>
      </c>
      <c r="AQ153" s="201">
        <v>383</v>
      </c>
      <c r="AR153" s="201">
        <v>295.5</v>
      </c>
      <c r="AS153" s="201">
        <v>283.39999999999998</v>
      </c>
      <c r="AT153" s="201">
        <v>1773.86</v>
      </c>
      <c r="AU153" s="201">
        <v>5939.67</v>
      </c>
    </row>
    <row r="154" spans="1:47">
      <c r="A154" s="288" t="s">
        <v>6</v>
      </c>
      <c r="B154" s="201">
        <v>57.543333333333301</v>
      </c>
      <c r="C154" s="201">
        <v>59.39</v>
      </c>
      <c r="D154" s="201">
        <v>58.8</v>
      </c>
      <c r="E154" s="201">
        <v>54.44</v>
      </c>
      <c r="F154" s="201">
        <v>2.5796999999999999</v>
      </c>
      <c r="G154" s="201">
        <v>70.941309066793195</v>
      </c>
      <c r="H154" s="201">
        <v>2.8682699999999999</v>
      </c>
      <c r="I154" s="201">
        <v>3.6155767999999999</v>
      </c>
      <c r="J154" s="201">
        <v>2.0295731720000001</v>
      </c>
      <c r="K154" s="201">
        <v>1077.5</v>
      </c>
      <c r="L154" s="201">
        <v>1339.5</v>
      </c>
      <c r="M154" s="201">
        <v>1344.82</v>
      </c>
      <c r="N154" s="201">
        <v>682.75</v>
      </c>
      <c r="O154" s="201">
        <v>979.75</v>
      </c>
      <c r="P154" s="201">
        <v>394.73</v>
      </c>
      <c r="Q154" s="201">
        <v>747.74</v>
      </c>
      <c r="R154" s="201">
        <v>398.09</v>
      </c>
      <c r="S154" s="201">
        <v>747.72</v>
      </c>
      <c r="T154" s="201">
        <v>833.5</v>
      </c>
      <c r="U154" s="201">
        <v>129.06212916666701</v>
      </c>
      <c r="V154" s="201">
        <v>172.0539072</v>
      </c>
      <c r="W154" s="201">
        <v>224.20985400000001</v>
      </c>
      <c r="X154" s="201">
        <v>399</v>
      </c>
      <c r="Y154" s="201">
        <v>384</v>
      </c>
      <c r="Z154" s="201">
        <v>400.26</v>
      </c>
      <c r="AA154" s="201">
        <v>354.02</v>
      </c>
      <c r="AB154" s="201">
        <v>209.69979905700001</v>
      </c>
      <c r="AC154" s="201">
        <v>223.40151359999999</v>
      </c>
      <c r="AD154" s="201">
        <v>0.91489712772700005</v>
      </c>
      <c r="AE154" s="201">
        <v>1.0320377375000001</v>
      </c>
      <c r="AF154" s="201">
        <v>0.612127621273858</v>
      </c>
      <c r="AG154" s="201">
        <v>4.8159923899999999</v>
      </c>
      <c r="AH154" s="201">
        <v>2.30540262857143</v>
      </c>
      <c r="AI154" s="201">
        <v>16.92707236</v>
      </c>
      <c r="AJ154" s="201">
        <v>0.35245620799999999</v>
      </c>
      <c r="AK154" s="201">
        <v>0.53770681799999998</v>
      </c>
      <c r="AL154" s="201">
        <v>0.28836429600000002</v>
      </c>
      <c r="AM154" s="201">
        <v>4986.7083333333303</v>
      </c>
      <c r="AN154" s="201">
        <v>1.5807125399999999</v>
      </c>
      <c r="AO154" s="201">
        <v>114.125</v>
      </c>
      <c r="AP154" s="201">
        <v>409</v>
      </c>
      <c r="AQ154" s="201">
        <v>380</v>
      </c>
      <c r="AR154" s="201">
        <v>260</v>
      </c>
      <c r="AS154" s="201">
        <v>299</v>
      </c>
      <c r="AT154" s="201">
        <v>1819.19</v>
      </c>
      <c r="AU154" s="201">
        <v>6042.09</v>
      </c>
    </row>
    <row r="155" spans="1:47">
      <c r="A155" s="288" t="s">
        <v>7</v>
      </c>
      <c r="B155" s="201">
        <v>62.506666666666703</v>
      </c>
      <c r="C155" s="201">
        <v>64.56</v>
      </c>
      <c r="D155" s="201">
        <v>63.69</v>
      </c>
      <c r="E155" s="201">
        <v>59.27</v>
      </c>
      <c r="F155" s="201">
        <v>2.8382999999999998</v>
      </c>
      <c r="G155" s="201">
        <v>72.567768851621807</v>
      </c>
      <c r="H155" s="201">
        <v>3.0960000000000001</v>
      </c>
      <c r="I155" s="201">
        <v>3.4938817759999998</v>
      </c>
      <c r="J155" s="201">
        <v>1.930365272</v>
      </c>
      <c r="K155" s="201">
        <v>1131.94</v>
      </c>
      <c r="L155" s="201">
        <v>1270</v>
      </c>
      <c r="M155" s="201">
        <v>1344.82</v>
      </c>
      <c r="N155" s="201">
        <v>697.35</v>
      </c>
      <c r="O155" s="201">
        <v>962.06</v>
      </c>
      <c r="P155" s="201">
        <v>388.2</v>
      </c>
      <c r="Q155" s="201">
        <v>785.13</v>
      </c>
      <c r="R155" s="201">
        <v>386.12</v>
      </c>
      <c r="S155" s="201">
        <v>769.95</v>
      </c>
      <c r="T155" s="201">
        <v>916.05</v>
      </c>
      <c r="U155" s="201">
        <v>126.76564999999999</v>
      </c>
      <c r="V155" s="201">
        <v>166.2943688</v>
      </c>
      <c r="W155" s="201">
        <v>217.37553199999999</v>
      </c>
      <c r="X155" s="201">
        <v>381</v>
      </c>
      <c r="Y155" s="201">
        <v>368</v>
      </c>
      <c r="Z155" s="201">
        <v>386.53</v>
      </c>
      <c r="AA155" s="201">
        <v>351</v>
      </c>
      <c r="AB155" s="201">
        <v>200.771087247</v>
      </c>
      <c r="AC155" s="201">
        <v>215.31790620000001</v>
      </c>
      <c r="AD155" s="201">
        <v>0.94074890143437495</v>
      </c>
      <c r="AE155" s="201">
        <v>0.94385293749999999</v>
      </c>
      <c r="AF155" s="201">
        <v>0.61466669194626999</v>
      </c>
      <c r="AG155" s="201">
        <v>4.4974248000000001</v>
      </c>
      <c r="AH155" s="201">
        <v>2.3534318500000002</v>
      </c>
      <c r="AI155" s="201">
        <v>15.860036279999999</v>
      </c>
      <c r="AJ155" s="201">
        <v>0.36460424000000002</v>
      </c>
      <c r="AK155" s="201">
        <v>0.54255698200000002</v>
      </c>
      <c r="AL155" s="201">
        <v>0.29409630799999997</v>
      </c>
      <c r="AM155" s="201">
        <v>5018.0083333333296</v>
      </c>
      <c r="AN155" s="201">
        <v>1.6062861319999999</v>
      </c>
      <c r="AO155" s="201">
        <v>110.5</v>
      </c>
      <c r="AP155" s="201">
        <v>413.5625</v>
      </c>
      <c r="AQ155" s="201">
        <v>380</v>
      </c>
      <c r="AR155" s="201">
        <v>265</v>
      </c>
      <c r="AS155" s="201">
        <v>300.875</v>
      </c>
      <c r="AT155" s="201">
        <v>1804.04</v>
      </c>
      <c r="AU155" s="201">
        <v>6294.78</v>
      </c>
    </row>
    <row r="156" spans="1:47">
      <c r="A156" s="288" t="s">
        <v>8</v>
      </c>
      <c r="B156" s="201">
        <v>61.3066666666667</v>
      </c>
      <c r="C156" s="201">
        <v>62.34</v>
      </c>
      <c r="D156" s="201">
        <v>61.78</v>
      </c>
      <c r="E156" s="201">
        <v>59.8</v>
      </c>
      <c r="F156" s="201">
        <v>2.7692000000000001</v>
      </c>
      <c r="G156" s="201">
        <v>71.546435354643194</v>
      </c>
      <c r="H156" s="201">
        <v>3.2395100000000001</v>
      </c>
      <c r="I156" s="201">
        <v>3.522100912</v>
      </c>
      <c r="J156" s="201">
        <v>1.9896695499999999</v>
      </c>
      <c r="K156" s="201">
        <v>1123.6400000000001</v>
      </c>
      <c r="L156" s="201">
        <v>1250</v>
      </c>
      <c r="M156" s="201">
        <v>1365.86</v>
      </c>
      <c r="N156" s="201">
        <v>705.91</v>
      </c>
      <c r="O156" s="201">
        <v>914.43</v>
      </c>
      <c r="P156" s="201">
        <v>391.48</v>
      </c>
      <c r="Q156" s="201">
        <v>788.21</v>
      </c>
      <c r="R156" s="201">
        <v>387</v>
      </c>
      <c r="S156" s="201">
        <v>841.79</v>
      </c>
      <c r="T156" s="201">
        <v>927.95</v>
      </c>
      <c r="U156" s="201">
        <v>118.957620833333</v>
      </c>
      <c r="V156" s="201">
        <v>166.7195432</v>
      </c>
      <c r="W156" s="201">
        <v>221.12338600000001</v>
      </c>
      <c r="X156" s="201">
        <v>376</v>
      </c>
      <c r="Y156" s="201">
        <v>365</v>
      </c>
      <c r="Z156" s="201">
        <v>375.95</v>
      </c>
      <c r="AA156" s="201">
        <v>349</v>
      </c>
      <c r="AB156" s="201">
        <v>204.98926056299999</v>
      </c>
      <c r="AC156" s="201">
        <v>209.80635570000001</v>
      </c>
      <c r="AD156" s="201">
        <v>0.89999443390312495</v>
      </c>
      <c r="AE156" s="201">
        <v>0.92318462499999998</v>
      </c>
      <c r="AF156" s="201">
        <v>0.62990111598073895</v>
      </c>
      <c r="AG156" s="201">
        <v>4.4387819080000002</v>
      </c>
      <c r="AH156" s="201">
        <v>2.2847879999999998</v>
      </c>
      <c r="AI156" s="201">
        <v>13.792102720000001</v>
      </c>
      <c r="AJ156" s="201">
        <v>0.36617172799999997</v>
      </c>
      <c r="AK156" s="201">
        <v>0.54586391199999995</v>
      </c>
      <c r="AL156" s="201">
        <v>0.27469565200000001</v>
      </c>
      <c r="AM156" s="201">
        <v>4947.2333333333299</v>
      </c>
      <c r="AN156" s="201">
        <v>1.5950425699999999</v>
      </c>
      <c r="AO156" s="201">
        <v>118.9</v>
      </c>
      <c r="AP156" s="201">
        <v>421.375</v>
      </c>
      <c r="AQ156" s="201">
        <v>380</v>
      </c>
      <c r="AR156" s="201">
        <v>288.75</v>
      </c>
      <c r="AS156" s="201">
        <v>301.5</v>
      </c>
      <c r="AT156" s="201">
        <v>1687.73</v>
      </c>
      <c r="AU156" s="201">
        <v>5833.01</v>
      </c>
    </row>
    <row r="157" spans="1:47">
      <c r="A157" s="288" t="s">
        <v>9</v>
      </c>
      <c r="B157" s="201">
        <v>54.34</v>
      </c>
      <c r="C157" s="201">
        <v>55.87</v>
      </c>
      <c r="D157" s="201">
        <v>56.25</v>
      </c>
      <c r="E157" s="201">
        <v>50.9</v>
      </c>
      <c r="F157" s="201">
        <v>2.83</v>
      </c>
      <c r="G157" s="201">
        <v>72.621876011559095</v>
      </c>
      <c r="H157" s="201">
        <v>3.3259599999999998</v>
      </c>
      <c r="I157" s="201">
        <v>3.4050355899999998</v>
      </c>
      <c r="J157" s="201">
        <v>1.9206649440000001</v>
      </c>
      <c r="K157" s="201">
        <v>1103.04</v>
      </c>
      <c r="L157" s="201">
        <v>1269.1300000000001</v>
      </c>
      <c r="M157" s="201">
        <v>1388.91</v>
      </c>
      <c r="N157" s="201">
        <v>680</v>
      </c>
      <c r="O157" s="201">
        <v>869.13</v>
      </c>
      <c r="P157" s="201">
        <v>405.87</v>
      </c>
      <c r="Q157" s="201">
        <v>752.32</v>
      </c>
      <c r="R157" s="201">
        <v>407.09</v>
      </c>
      <c r="S157" s="201">
        <v>809.98</v>
      </c>
      <c r="T157" s="201">
        <v>917.39</v>
      </c>
      <c r="U157" s="201">
        <v>124.00987499999999</v>
      </c>
      <c r="V157" s="201">
        <v>179.59681599999999</v>
      </c>
      <c r="W157" s="201">
        <v>222.88708199999999</v>
      </c>
      <c r="X157" s="201">
        <v>392</v>
      </c>
      <c r="Y157" s="201">
        <v>376</v>
      </c>
      <c r="Z157" s="201">
        <v>389.86</v>
      </c>
      <c r="AA157" s="201">
        <v>345.78</v>
      </c>
      <c r="AB157" s="201">
        <v>207.377599113</v>
      </c>
      <c r="AC157" s="201">
        <v>197.31350789999999</v>
      </c>
      <c r="AD157" s="201">
        <v>0.88798698485200001</v>
      </c>
      <c r="AE157" s="201">
        <v>0.93834138749999996</v>
      </c>
      <c r="AF157" s="201">
        <v>0.64233198281442005</v>
      </c>
      <c r="AG157" s="201">
        <v>4.6462366499999996</v>
      </c>
      <c r="AH157" s="201">
        <v>2.0693364999999999</v>
      </c>
      <c r="AI157" s="201">
        <v>12.25989182</v>
      </c>
      <c r="AJ157" s="201">
        <v>0.359346624</v>
      </c>
      <c r="AK157" s="201">
        <v>0.54387975399999999</v>
      </c>
      <c r="AL157" s="201">
        <v>0.28285274599999999</v>
      </c>
      <c r="AM157" s="201">
        <v>4878.0833333333303</v>
      </c>
      <c r="AN157" s="201">
        <v>1.5950425699999999</v>
      </c>
      <c r="AO157" s="201">
        <v>121</v>
      </c>
      <c r="AP157" s="201">
        <v>431.5</v>
      </c>
      <c r="AQ157" s="201">
        <v>380</v>
      </c>
      <c r="AR157" s="201">
        <v>283.75</v>
      </c>
      <c r="AS157" s="201">
        <v>301.5</v>
      </c>
      <c r="AT157" s="201">
        <v>1639.5</v>
      </c>
      <c r="AU157" s="201">
        <v>5456.75</v>
      </c>
    </row>
    <row r="158" spans="1:47">
      <c r="A158" s="288" t="s">
        <v>10</v>
      </c>
      <c r="B158" s="201">
        <v>45.69</v>
      </c>
      <c r="C158" s="201">
        <v>46.99</v>
      </c>
      <c r="D158" s="201">
        <v>47.22</v>
      </c>
      <c r="E158" s="201">
        <v>42.86</v>
      </c>
      <c r="F158" s="201">
        <v>2.7629999999999999</v>
      </c>
      <c r="G158" s="201">
        <v>70.369774136437201</v>
      </c>
      <c r="H158" s="201">
        <v>3.1539100000000002</v>
      </c>
      <c r="I158" s="201">
        <v>3.4594897040000001</v>
      </c>
      <c r="J158" s="201">
        <v>1.891123036</v>
      </c>
      <c r="K158" s="201">
        <v>1032.3800000000001</v>
      </c>
      <c r="L158" s="201">
        <v>1233.5</v>
      </c>
      <c r="M158" s="201">
        <v>1392.06</v>
      </c>
      <c r="N158" s="201">
        <v>601.38</v>
      </c>
      <c r="O158" s="201">
        <v>735.48</v>
      </c>
      <c r="P158" s="201">
        <v>378.78</v>
      </c>
      <c r="Q158" s="201">
        <v>728.33</v>
      </c>
      <c r="R158" s="201">
        <v>385.86</v>
      </c>
      <c r="S158" s="201">
        <v>753.56</v>
      </c>
      <c r="T158" s="201">
        <v>894.75</v>
      </c>
      <c r="U158" s="201">
        <v>110.690295833333</v>
      </c>
      <c r="V158" s="201">
        <v>162.5937768</v>
      </c>
      <c r="W158" s="201">
        <v>183.534615</v>
      </c>
      <c r="X158" s="201">
        <v>373</v>
      </c>
      <c r="Y158" s="201">
        <v>362</v>
      </c>
      <c r="Z158" s="201">
        <v>377.5</v>
      </c>
      <c r="AA158" s="201">
        <v>340.13</v>
      </c>
      <c r="AB158" s="201">
        <v>187.86671034299999</v>
      </c>
      <c r="AC158" s="201">
        <v>179.67654630000001</v>
      </c>
      <c r="AD158" s="201">
        <v>0.90198803043249998</v>
      </c>
      <c r="AE158" s="201">
        <v>0.95763181249999996</v>
      </c>
      <c r="AF158" s="201">
        <v>0.68427954621488396</v>
      </c>
      <c r="AG158" s="201">
        <v>4.7666089019999998</v>
      </c>
      <c r="AH158" s="201">
        <v>1.81933640952381</v>
      </c>
      <c r="AI158" s="201">
        <v>10.390374059999999</v>
      </c>
      <c r="AJ158" s="201">
        <v>0.36368987200000003</v>
      </c>
      <c r="AK158" s="201">
        <v>0.5401319</v>
      </c>
      <c r="AL158" s="201">
        <v>0.25353130000000001</v>
      </c>
      <c r="AM158" s="201">
        <v>4925.5833333333303</v>
      </c>
      <c r="AN158" s="201">
        <v>1.5833580840000001</v>
      </c>
      <c r="AO158" s="201">
        <v>121</v>
      </c>
      <c r="AP158" s="201">
        <v>434.625</v>
      </c>
      <c r="AQ158" s="201">
        <v>378.8</v>
      </c>
      <c r="AR158" s="201">
        <v>274.625</v>
      </c>
      <c r="AS158" s="201">
        <v>301.5</v>
      </c>
      <c r="AT158" s="201">
        <v>1548.13</v>
      </c>
      <c r="AU158" s="201">
        <v>5127.3</v>
      </c>
    </row>
    <row r="159" spans="1:47">
      <c r="A159" s="288" t="s">
        <v>11</v>
      </c>
      <c r="B159" s="201">
        <v>46.28</v>
      </c>
      <c r="C159" s="201">
        <v>47.24</v>
      </c>
      <c r="D159" s="201">
        <v>46.15</v>
      </c>
      <c r="E159" s="201">
        <v>45.45</v>
      </c>
      <c r="F159" s="201">
        <v>2.6461000000000001</v>
      </c>
      <c r="G159" s="201">
        <v>68.964232901492096</v>
      </c>
      <c r="H159" s="201">
        <v>3.2784499999999999</v>
      </c>
      <c r="I159" s="201">
        <v>3.2220521299999998</v>
      </c>
      <c r="J159" s="201">
        <v>1.7967652999999999</v>
      </c>
      <c r="K159" s="201">
        <v>1051.5899999999999</v>
      </c>
      <c r="L159" s="201">
        <v>1280</v>
      </c>
      <c r="M159" s="201">
        <v>1399.94</v>
      </c>
      <c r="N159" s="201">
        <v>599.5</v>
      </c>
      <c r="O159" s="201">
        <v>799.66</v>
      </c>
      <c r="P159" s="201">
        <v>367.49</v>
      </c>
      <c r="Q159" s="201">
        <v>720.4</v>
      </c>
      <c r="R159" s="201">
        <v>374.45</v>
      </c>
      <c r="S159" s="201">
        <v>771.69</v>
      </c>
      <c r="T159" s="201">
        <v>896.82</v>
      </c>
      <c r="U159" s="201">
        <v>109.77170416666701</v>
      </c>
      <c r="V159" s="201">
        <v>165.62117599999999</v>
      </c>
      <c r="W159" s="201">
        <v>173.61382499999999</v>
      </c>
      <c r="X159" s="201">
        <v>357</v>
      </c>
      <c r="Y159" s="201">
        <v>347</v>
      </c>
      <c r="Z159" s="201">
        <v>360</v>
      </c>
      <c r="AA159" s="201">
        <v>326.43</v>
      </c>
      <c r="AB159" s="201">
        <v>193.973508297</v>
      </c>
      <c r="AC159" s="201">
        <v>172.69524899999999</v>
      </c>
      <c r="AD159" s="201">
        <v>0.90682796361781204</v>
      </c>
      <c r="AE159" s="201">
        <v>0.94729765624999995</v>
      </c>
      <c r="AF159" s="201">
        <v>0.63169962437369698</v>
      </c>
      <c r="AG159" s="201">
        <v>4.5818617460000004</v>
      </c>
      <c r="AH159" s="201">
        <v>1.6923083047619001</v>
      </c>
      <c r="AI159" s="201">
        <v>8.7699783599999996</v>
      </c>
      <c r="AJ159" s="201">
        <v>0.36669422400000001</v>
      </c>
      <c r="AK159" s="201">
        <v>0.53373850199999995</v>
      </c>
      <c r="AL159" s="201">
        <v>0.26146793200000001</v>
      </c>
      <c r="AM159" s="201">
        <v>4887.3583333333299</v>
      </c>
      <c r="AN159" s="201">
        <v>1.5154557879999999</v>
      </c>
      <c r="AO159" s="201">
        <v>124</v>
      </c>
      <c r="AP159" s="201">
        <v>428</v>
      </c>
      <c r="AQ159" s="201">
        <v>379</v>
      </c>
      <c r="AR159" s="201">
        <v>279.375</v>
      </c>
      <c r="AS159" s="201">
        <v>301.5</v>
      </c>
      <c r="AT159" s="201">
        <v>1589.6</v>
      </c>
      <c r="AU159" s="201">
        <v>5217.25</v>
      </c>
    </row>
    <row r="160" spans="1:47">
      <c r="A160" s="288" t="s">
        <v>12</v>
      </c>
      <c r="B160" s="201">
        <v>46.956666666666699</v>
      </c>
      <c r="C160" s="201">
        <v>48.12</v>
      </c>
      <c r="D160" s="201">
        <v>46.55</v>
      </c>
      <c r="E160" s="201">
        <v>46.2</v>
      </c>
      <c r="F160" s="201">
        <v>2.3151999999999999</v>
      </c>
      <c r="G160" s="201">
        <v>63.614050100888903</v>
      </c>
      <c r="H160" s="201">
        <v>3.1973400000000001</v>
      </c>
      <c r="I160" s="201">
        <v>3.3785801499999999</v>
      </c>
      <c r="J160" s="201">
        <v>1.824984436</v>
      </c>
      <c r="K160" s="201">
        <v>1104.0899999999999</v>
      </c>
      <c r="L160" s="201">
        <v>1280</v>
      </c>
      <c r="M160" s="201">
        <v>1399.94</v>
      </c>
      <c r="N160" s="201">
        <v>636.66999999999996</v>
      </c>
      <c r="O160" s="201">
        <v>857.73</v>
      </c>
      <c r="P160" s="201">
        <v>375.95</v>
      </c>
      <c r="Q160" s="201">
        <v>743.3</v>
      </c>
      <c r="R160" s="201">
        <v>372.68</v>
      </c>
      <c r="S160" s="201">
        <v>809.13</v>
      </c>
      <c r="T160" s="201">
        <v>961.59</v>
      </c>
      <c r="U160" s="201">
        <v>118.03902916666701</v>
      </c>
      <c r="V160" s="201">
        <v>171.388588</v>
      </c>
      <c r="W160" s="201">
        <v>177.47191000000001</v>
      </c>
      <c r="X160" s="201">
        <v>373</v>
      </c>
      <c r="Y160" s="201">
        <v>362</v>
      </c>
      <c r="Z160" s="201">
        <v>369.27</v>
      </c>
      <c r="AA160" s="201">
        <v>342.4</v>
      </c>
      <c r="AB160" s="201">
        <v>206.337753252</v>
      </c>
      <c r="AC160" s="201">
        <v>172.709946468</v>
      </c>
      <c r="AD160" s="201">
        <v>0.92603083351240001</v>
      </c>
      <c r="AE160" s="201">
        <v>0.93007406250000002</v>
      </c>
      <c r="AF160" s="201">
        <v>0.66068734788372796</v>
      </c>
      <c r="AG160" s="201">
        <v>4.2359568679999997</v>
      </c>
      <c r="AH160" s="201">
        <v>1.6093725999999999</v>
      </c>
      <c r="AI160" s="201">
        <v>8.7082490000000004</v>
      </c>
      <c r="AJ160" s="201">
        <v>0.366955472</v>
      </c>
      <c r="AK160" s="201">
        <v>0.55203684799999997</v>
      </c>
      <c r="AL160" s="201">
        <v>0.30666264199999999</v>
      </c>
      <c r="AM160" s="201">
        <v>4858.4333333333298</v>
      </c>
      <c r="AN160" s="201">
        <v>1.5218491860000001</v>
      </c>
      <c r="AO160" s="201">
        <v>123.5</v>
      </c>
      <c r="AP160" s="201">
        <v>423.75</v>
      </c>
      <c r="AQ160" s="201">
        <v>380</v>
      </c>
      <c r="AR160" s="201">
        <v>250.625</v>
      </c>
      <c r="AS160" s="201">
        <v>301.5</v>
      </c>
      <c r="AT160" s="201">
        <v>1516.49</v>
      </c>
      <c r="AU160" s="201">
        <v>5216.09</v>
      </c>
    </row>
    <row r="161" spans="1:47">
      <c r="A161" s="288" t="s">
        <v>13</v>
      </c>
      <c r="B161" s="201">
        <v>43.113333333333301</v>
      </c>
      <c r="C161" s="201">
        <v>44.42</v>
      </c>
      <c r="D161" s="201">
        <v>42.22</v>
      </c>
      <c r="E161" s="201">
        <v>42.7</v>
      </c>
      <c r="F161" s="201">
        <v>2.0775000000000001</v>
      </c>
      <c r="G161" s="201">
        <v>57.825422812048501</v>
      </c>
      <c r="H161" s="201">
        <v>3.36084</v>
      </c>
      <c r="I161" s="201">
        <v>3.2623966759999998</v>
      </c>
      <c r="J161" s="201">
        <v>1.802056388</v>
      </c>
      <c r="K161" s="201">
        <v>1071.07</v>
      </c>
      <c r="L161" s="201">
        <v>1307.8260869565199</v>
      </c>
      <c r="M161" s="201">
        <v>1413.16</v>
      </c>
      <c r="N161" s="201">
        <v>608.21</v>
      </c>
      <c r="O161" s="201">
        <v>788.75</v>
      </c>
      <c r="P161" s="201">
        <v>368</v>
      </c>
      <c r="Q161" s="201">
        <v>727.34</v>
      </c>
      <c r="R161" s="201">
        <v>350.57</v>
      </c>
      <c r="S161" s="201">
        <v>799.62</v>
      </c>
      <c r="T161" s="201">
        <v>915.24</v>
      </c>
      <c r="U161" s="201">
        <v>119.41691666666701</v>
      </c>
      <c r="V161" s="201">
        <v>166.1565808</v>
      </c>
      <c r="W161" s="201">
        <v>169.09435400000001</v>
      </c>
      <c r="X161" s="201">
        <v>368</v>
      </c>
      <c r="Y161" s="201">
        <v>359</v>
      </c>
      <c r="Z161" s="201">
        <v>366.24</v>
      </c>
      <c r="AA161" s="201">
        <v>353.61</v>
      </c>
      <c r="AB161" s="201">
        <v>203.40560838600001</v>
      </c>
      <c r="AC161" s="201">
        <v>177.10448940000001</v>
      </c>
      <c r="AD161" s="201">
        <v>0.84749967592812503</v>
      </c>
      <c r="AE161" s="201">
        <v>0.93007406250000002</v>
      </c>
      <c r="AF161" s="201">
        <v>0.76780439187608496</v>
      </c>
      <c r="AG161" s="201">
        <v>4.0291635120000002</v>
      </c>
      <c r="AH161" s="201">
        <v>1.6163345578947399</v>
      </c>
      <c r="AI161" s="201">
        <v>9.6319847799999998</v>
      </c>
      <c r="AJ161" s="201">
        <v>0.35069278399999998</v>
      </c>
      <c r="AK161" s="201">
        <v>0.56614641600000004</v>
      </c>
      <c r="AL161" s="201">
        <v>0.32077221</v>
      </c>
      <c r="AM161" s="201">
        <v>4813.0916666666699</v>
      </c>
      <c r="AN161" s="201">
        <v>1.5260379639999999</v>
      </c>
      <c r="AO161" s="201">
        <v>123.5</v>
      </c>
      <c r="AP161" s="201">
        <v>383.875</v>
      </c>
      <c r="AQ161" s="201">
        <v>366.4</v>
      </c>
      <c r="AR161" s="201">
        <v>263.625</v>
      </c>
      <c r="AS161" s="201">
        <v>301.5</v>
      </c>
      <c r="AT161" s="201">
        <v>1467.89</v>
      </c>
      <c r="AU161" s="201">
        <v>4799.8999999999996</v>
      </c>
    </row>
    <row r="162" spans="1:47">
      <c r="A162" s="288" t="s">
        <v>14</v>
      </c>
      <c r="B162" s="201">
        <v>36.573333333333302</v>
      </c>
      <c r="C162" s="201">
        <v>37.72</v>
      </c>
      <c r="D162" s="201">
        <v>34.770000000000003</v>
      </c>
      <c r="E162" s="201">
        <v>37.229999999999997</v>
      </c>
      <c r="F162" s="201">
        <v>1.9228000000000001</v>
      </c>
      <c r="G162" s="201">
        <v>53.711911475461598</v>
      </c>
      <c r="H162" s="201">
        <v>3.34565</v>
      </c>
      <c r="I162" s="201">
        <v>3.2773880919999998</v>
      </c>
      <c r="J162" s="201">
        <v>1.747822736</v>
      </c>
      <c r="K162" s="201">
        <v>1150</v>
      </c>
      <c r="L162" s="201">
        <v>1335.6521739130401</v>
      </c>
      <c r="M162" s="201">
        <v>1446.03</v>
      </c>
      <c r="N162" s="201">
        <v>607.38</v>
      </c>
      <c r="O162" s="201">
        <v>849.55</v>
      </c>
      <c r="P162" s="201">
        <v>368.42</v>
      </c>
      <c r="Q162" s="201">
        <v>765.7</v>
      </c>
      <c r="R162" s="201">
        <v>338.35</v>
      </c>
      <c r="S162" s="201">
        <v>820.94</v>
      </c>
      <c r="T162" s="201">
        <v>898.18</v>
      </c>
      <c r="U162" s="201">
        <v>119.41691666666701</v>
      </c>
      <c r="V162" s="201">
        <v>163.948036</v>
      </c>
      <c r="W162" s="201">
        <v>169.75574</v>
      </c>
      <c r="X162" s="201">
        <v>363</v>
      </c>
      <c r="Y162" s="201">
        <v>356</v>
      </c>
      <c r="Z162" s="201">
        <v>360.24</v>
      </c>
      <c r="AA162" s="201">
        <v>371</v>
      </c>
      <c r="AB162" s="201">
        <v>191.98200138300001</v>
      </c>
      <c r="AC162" s="201">
        <v>189.22990050000001</v>
      </c>
      <c r="AD162" s="201">
        <v>0.85975801073525004</v>
      </c>
      <c r="AE162" s="201">
        <v>0.93007406250000002</v>
      </c>
      <c r="AF162" s="201">
        <v>0.76870364607256403</v>
      </c>
      <c r="AG162" s="201">
        <v>3.8005444179999999</v>
      </c>
      <c r="AH162" s="201">
        <v>1.7366393</v>
      </c>
      <c r="AI162" s="201">
        <v>9.8877206999999991</v>
      </c>
      <c r="AJ162" s="201">
        <v>0.35506868800000002</v>
      </c>
      <c r="AK162" s="201">
        <v>0.56945334599999997</v>
      </c>
      <c r="AL162" s="201">
        <v>0.32275636800000002</v>
      </c>
      <c r="AM162" s="201">
        <v>4789.6499999999996</v>
      </c>
      <c r="AN162" s="201">
        <v>1.551832018</v>
      </c>
      <c r="AO162" s="201">
        <v>123.5</v>
      </c>
      <c r="AP162" s="201">
        <v>340.625</v>
      </c>
      <c r="AQ162" s="201">
        <v>360</v>
      </c>
      <c r="AR162" s="201">
        <v>264</v>
      </c>
      <c r="AS162" s="201">
        <v>301.5</v>
      </c>
      <c r="AT162" s="201">
        <v>1497.2</v>
      </c>
      <c r="AU162" s="201">
        <v>4638.83</v>
      </c>
    </row>
    <row r="163" spans="1:47" s="291" customFormat="1" ht="15">
      <c r="A163" s="198" t="s">
        <v>1</v>
      </c>
      <c r="B163" s="241">
        <v>50.752777777777794</v>
      </c>
      <c r="C163" s="241">
        <v>52.370000000000005</v>
      </c>
      <c r="D163" s="241">
        <v>51.179166666666667</v>
      </c>
      <c r="E163" s="241">
        <v>48.709166666666668</v>
      </c>
      <c r="F163" s="241">
        <v>2.6137083333333337</v>
      </c>
      <c r="G163" s="241">
        <v>71.575137250249966</v>
      </c>
      <c r="H163" s="241">
        <v>3.1350449999999999</v>
      </c>
      <c r="I163" s="241">
        <v>3.5260692280000003</v>
      </c>
      <c r="J163" s="241">
        <v>1.9411679100000001</v>
      </c>
      <c r="K163" s="241">
        <v>1103.5116666666665</v>
      </c>
      <c r="L163" s="241">
        <v>1304.8723550724633</v>
      </c>
      <c r="M163" s="241">
        <v>1377.9591666666665</v>
      </c>
      <c r="N163" s="241">
        <v>663.39083333333338</v>
      </c>
      <c r="O163" s="241">
        <v>903.34916666666652</v>
      </c>
      <c r="P163" s="241">
        <v>392.12249999999995</v>
      </c>
      <c r="Q163" s="241">
        <v>755.63250000000005</v>
      </c>
      <c r="R163" s="241">
        <v>389.45499999999998</v>
      </c>
      <c r="S163" s="241">
        <v>784.64750000000004</v>
      </c>
      <c r="T163" s="241">
        <v>888.47749999999996</v>
      </c>
      <c r="U163" s="241">
        <v>121.33064930555567</v>
      </c>
      <c r="V163" s="241">
        <v>169.75022306666668</v>
      </c>
      <c r="W163" s="241">
        <v>201.63087083333332</v>
      </c>
      <c r="X163" s="241">
        <v>386</v>
      </c>
      <c r="Y163" s="241">
        <v>372.58333333333331</v>
      </c>
      <c r="Z163" s="241">
        <v>386.0333333333333</v>
      </c>
      <c r="AA163" s="241">
        <v>351.83583333333337</v>
      </c>
      <c r="AB163" s="241">
        <v>206.37664030275002</v>
      </c>
      <c r="AC163" s="241">
        <v>204.44912861399999</v>
      </c>
      <c r="AD163" s="241">
        <v>0.90339570407105929</v>
      </c>
      <c r="AE163" s="241">
        <v>0.95691416276041652</v>
      </c>
      <c r="AF163" s="241">
        <v>0.67567491782504485</v>
      </c>
      <c r="AG163" s="241">
        <v>4.5591541600000012</v>
      </c>
      <c r="AH163" s="241">
        <v>1.9909400487134501</v>
      </c>
      <c r="AI163" s="241">
        <v>13.215227153333332</v>
      </c>
      <c r="AJ163" s="241">
        <v>0.36255507600000003</v>
      </c>
      <c r="AK163" s="241">
        <v>0.54678250366666659</v>
      </c>
      <c r="AL163" s="241">
        <v>0.29626418433333335</v>
      </c>
      <c r="AM163" s="241">
        <v>4908.2951388888869</v>
      </c>
      <c r="AN163" s="241">
        <v>1.5524199166666666</v>
      </c>
      <c r="AO163" s="241">
        <v>120.31458333333335</v>
      </c>
      <c r="AP163" s="241">
        <v>416.62395833333335</v>
      </c>
      <c r="AQ163" s="241">
        <v>377.59999999999997</v>
      </c>
      <c r="AR163" s="241">
        <v>277.9375</v>
      </c>
      <c r="AS163" s="241">
        <v>296.06458333333336</v>
      </c>
      <c r="AT163" s="241">
        <v>1664.6808333333336</v>
      </c>
      <c r="AU163" s="241">
        <v>5510.456666666666</v>
      </c>
    </row>
    <row r="164" spans="1:47" s="291" customFormat="1" ht="15">
      <c r="A164" s="198" t="s">
        <v>172</v>
      </c>
      <c r="B164" s="241">
        <v>-47.26162230188833</v>
      </c>
      <c r="C164" s="241">
        <v>-47.06759317751105</v>
      </c>
      <c r="D164" s="241">
        <v>-47.049643922542387</v>
      </c>
      <c r="E164" s="241">
        <v>-47.687832818722868</v>
      </c>
      <c r="F164" s="241">
        <v>-40.182782512839964</v>
      </c>
      <c r="G164" s="241">
        <v>-35.927627876629664</v>
      </c>
      <c r="H164" s="241">
        <v>2.3775079680234068</v>
      </c>
      <c r="I164" s="241">
        <v>-20.293032991129291</v>
      </c>
      <c r="J164" s="241">
        <v>-12.420012599051732</v>
      </c>
      <c r="K164" s="241">
        <v>-13.86380060740926</v>
      </c>
      <c r="L164" s="241">
        <v>3.6997701353166601</v>
      </c>
      <c r="M164" s="241">
        <v>-1.2205029683712287</v>
      </c>
      <c r="N164" s="241">
        <v>-20.786237901295856</v>
      </c>
      <c r="O164" s="241">
        <v>-19.321613837142671</v>
      </c>
      <c r="P164" s="241">
        <v>-19.126238121509921</v>
      </c>
      <c r="Q164" s="241">
        <v>-16.594015800758477</v>
      </c>
      <c r="R164" s="241">
        <v>-25.45852134343286</v>
      </c>
      <c r="S164" s="241">
        <v>-13.932317851253561</v>
      </c>
      <c r="T164" s="241">
        <v>-3.4574027373444394</v>
      </c>
      <c r="U164" s="241">
        <v>-16.841552990556085</v>
      </c>
      <c r="V164" s="241">
        <v>-11.992352870139932</v>
      </c>
      <c r="W164" s="241">
        <v>-4.1652113168005656</v>
      </c>
      <c r="X164" s="241">
        <v>-8.7110760741032642</v>
      </c>
      <c r="Y164" s="241">
        <v>-2.5076319232446687</v>
      </c>
      <c r="Z164" s="241">
        <v>-9.2003183202725491</v>
      </c>
      <c r="AA164" s="241">
        <v>-13.598253149998673</v>
      </c>
      <c r="AB164" s="241">
        <v>-15.837338557919345</v>
      </c>
      <c r="AC164" s="241">
        <v>-28.234737747205497</v>
      </c>
      <c r="AD164" s="241">
        <v>-13.349169261377824</v>
      </c>
      <c r="AE164" s="241">
        <v>3.1391938218586324</v>
      </c>
      <c r="AF164" s="241">
        <v>-13.767496286961578</v>
      </c>
      <c r="AG164" s="241">
        <v>-9.7278302813365904</v>
      </c>
      <c r="AH164" s="241">
        <v>-14.273096901122507</v>
      </c>
      <c r="AI164" s="241">
        <v>-25.733813766686975</v>
      </c>
      <c r="AJ164" s="241">
        <v>-16.464335379137051</v>
      </c>
      <c r="AK164" s="241">
        <v>2.6806969121959456</v>
      </c>
      <c r="AL164" s="241">
        <v>-20.993581892116975</v>
      </c>
      <c r="AM164" s="241">
        <v>-1.6525916163052545</v>
      </c>
      <c r="AN164" s="241">
        <v>-15.258486687058125</v>
      </c>
      <c r="AO164" s="241">
        <v>8.9230479064504209</v>
      </c>
      <c r="AP164" s="241">
        <v>-3.0174368275691532</v>
      </c>
      <c r="AQ164" s="241">
        <v>-1.1518324607329933</v>
      </c>
      <c r="AR164" s="241">
        <v>-9.8885511651469074</v>
      </c>
      <c r="AS164" s="241">
        <v>-0.18893102963898345</v>
      </c>
      <c r="AT164" s="241">
        <v>-10.856645353839323</v>
      </c>
      <c r="AU164" s="241">
        <v>-19.712406768416578</v>
      </c>
    </row>
    <row r="165" spans="1:47"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1"/>
      <c r="AD165" s="201"/>
      <c r="AE165" s="201"/>
      <c r="AF165" s="201"/>
      <c r="AG165" s="201"/>
      <c r="AH165" s="201"/>
      <c r="AI165" s="201"/>
      <c r="AJ165" s="201"/>
      <c r="AK165" s="201"/>
      <c r="AL165" s="201"/>
      <c r="AM165" s="201"/>
      <c r="AN165" s="201"/>
      <c r="AO165" s="201"/>
      <c r="AP165" s="201"/>
      <c r="AQ165" s="201"/>
      <c r="AR165" s="201"/>
      <c r="AS165" s="201"/>
      <c r="AT165" s="201"/>
      <c r="AU165" s="201"/>
    </row>
    <row r="166" spans="1:47">
      <c r="A166" s="292">
        <v>2016</v>
      </c>
      <c r="B166" s="201"/>
      <c r="C166" s="201"/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1"/>
      <c r="AD166" s="201"/>
      <c r="AE166" s="201"/>
      <c r="AF166" s="201"/>
      <c r="AG166" s="201"/>
      <c r="AH166" s="201"/>
      <c r="AI166" s="201"/>
      <c r="AJ166" s="201"/>
      <c r="AK166" s="201"/>
      <c r="AL166" s="201"/>
      <c r="AM166" s="201"/>
      <c r="AN166" s="201"/>
      <c r="AO166" s="201"/>
      <c r="AP166" s="201"/>
      <c r="AQ166" s="201"/>
      <c r="AR166" s="201"/>
      <c r="AS166" s="201"/>
      <c r="AT166" s="201"/>
      <c r="AU166" s="201"/>
    </row>
    <row r="167" spans="1:47">
      <c r="A167" s="288" t="s">
        <v>3</v>
      </c>
      <c r="B167" s="201">
        <v>29.78</v>
      </c>
      <c r="C167" s="201">
        <v>30.8</v>
      </c>
      <c r="D167" s="201">
        <v>27</v>
      </c>
      <c r="E167" s="201">
        <v>31.54</v>
      </c>
      <c r="F167" s="201">
        <v>2.2744</v>
      </c>
      <c r="G167" s="201">
        <v>54.220253687565197</v>
      </c>
      <c r="H167" s="201">
        <v>2.95242</v>
      </c>
      <c r="I167" s="201">
        <v>3.1973603860000002</v>
      </c>
      <c r="J167" s="201">
        <v>1.647071602</v>
      </c>
      <c r="K167" s="201">
        <v>1152</v>
      </c>
      <c r="L167" s="201">
        <v>1307.8260869565199</v>
      </c>
      <c r="M167" s="201">
        <v>1359.9</v>
      </c>
      <c r="N167" s="201">
        <v>611.63</v>
      </c>
      <c r="O167" s="201">
        <v>895.63</v>
      </c>
      <c r="P167" s="201">
        <v>373.08</v>
      </c>
      <c r="Q167" s="201">
        <v>736.03</v>
      </c>
      <c r="R167" s="201">
        <v>336.48</v>
      </c>
      <c r="S167" s="201">
        <v>781.35</v>
      </c>
      <c r="T167" s="201">
        <v>885.35</v>
      </c>
      <c r="U167" s="201">
        <v>118.49832499999999</v>
      </c>
      <c r="V167" s="201">
        <v>161.0269304</v>
      </c>
      <c r="W167" s="201">
        <v>164.905576</v>
      </c>
      <c r="X167" s="201">
        <v>369</v>
      </c>
      <c r="Y167" s="201">
        <v>361</v>
      </c>
      <c r="Z167" s="201">
        <v>366.19</v>
      </c>
      <c r="AA167" s="201">
        <v>364.91</v>
      </c>
      <c r="AB167" s="201">
        <v>191.72847006000001</v>
      </c>
      <c r="AC167" s="201">
        <v>193.27170419999999</v>
      </c>
      <c r="AD167" s="201">
        <v>0.85580658074656302</v>
      </c>
      <c r="AE167" s="201">
        <v>1.0403050625000001</v>
      </c>
      <c r="AF167" s="201">
        <v>0.69284890973427204</v>
      </c>
      <c r="AG167" s="201">
        <v>3.6332137599999998</v>
      </c>
      <c r="AH167" s="201">
        <v>1.8507784899999999</v>
      </c>
      <c r="AI167" s="201">
        <v>10.471945</v>
      </c>
      <c r="AJ167" s="201">
        <v>0.35474212799999999</v>
      </c>
      <c r="AK167" s="201">
        <v>0.56791011199999997</v>
      </c>
      <c r="AL167" s="201">
        <v>0.30974910999999999</v>
      </c>
      <c r="AM167" s="201">
        <v>4730.9583333333303</v>
      </c>
      <c r="AN167" s="201">
        <v>1.5156762500000001</v>
      </c>
      <c r="AO167" s="201">
        <v>122.6</v>
      </c>
      <c r="AP167" s="201">
        <v>327.125</v>
      </c>
      <c r="AQ167" s="201">
        <v>334</v>
      </c>
      <c r="AR167" s="201">
        <v>233.875</v>
      </c>
      <c r="AS167" s="201">
        <v>301.5</v>
      </c>
      <c r="AT167" s="201">
        <v>1481.1</v>
      </c>
      <c r="AU167" s="201">
        <v>4471.79</v>
      </c>
    </row>
    <row r="168" spans="1:47">
      <c r="A168" s="288" t="s">
        <v>4</v>
      </c>
      <c r="B168" s="201">
        <v>31.03</v>
      </c>
      <c r="C168" s="201">
        <v>33.200000000000003</v>
      </c>
      <c r="D168" s="201">
        <v>29.5</v>
      </c>
      <c r="E168" s="201">
        <v>30.39</v>
      </c>
      <c r="F168" s="201">
        <v>1.9572000000000001</v>
      </c>
      <c r="G168" s="201">
        <v>48.433180105044698</v>
      </c>
      <c r="H168" s="201">
        <v>2.9163700000000001</v>
      </c>
      <c r="I168" s="201">
        <v>3.2562237399999998</v>
      </c>
      <c r="J168" s="201">
        <v>1.632300648</v>
      </c>
      <c r="K168" s="201">
        <v>1218.93</v>
      </c>
      <c r="L168" s="201">
        <v>1280</v>
      </c>
      <c r="M168" s="201">
        <v>1317.26</v>
      </c>
      <c r="N168" s="201">
        <v>679.17</v>
      </c>
      <c r="O168" s="201">
        <v>986.9</v>
      </c>
      <c r="P168" s="201">
        <v>373.75</v>
      </c>
      <c r="Q168" s="201">
        <v>767.24</v>
      </c>
      <c r="R168" s="201">
        <v>323.29000000000002</v>
      </c>
      <c r="S168" s="201">
        <v>779.88</v>
      </c>
      <c r="T168" s="201">
        <v>898.19</v>
      </c>
      <c r="U168" s="201">
        <v>114.823958333333</v>
      </c>
      <c r="V168" s="201">
        <v>159.67660799999999</v>
      </c>
      <c r="W168" s="201">
        <v>164.905576</v>
      </c>
      <c r="X168" s="201">
        <v>384</v>
      </c>
      <c r="Y168" s="201">
        <v>374</v>
      </c>
      <c r="Z168" s="201">
        <v>377.38</v>
      </c>
      <c r="AA168" s="201">
        <v>360.13</v>
      </c>
      <c r="AB168" s="201">
        <v>188.43256286100001</v>
      </c>
      <c r="AC168" s="201">
        <v>187.02528029999999</v>
      </c>
      <c r="AD168" s="201">
        <v>0.93098956540218702</v>
      </c>
      <c r="AE168" s="201">
        <v>1.0540839375</v>
      </c>
      <c r="AF168" s="201">
        <v>0.69136778517536601</v>
      </c>
      <c r="AG168" s="201">
        <v>3.8631556260000002</v>
      </c>
      <c r="AH168" s="201">
        <v>1.76684545714286</v>
      </c>
      <c r="AI168" s="201">
        <v>10.802638</v>
      </c>
      <c r="AJ168" s="201">
        <v>0.36241628799999998</v>
      </c>
      <c r="AK168" s="201">
        <v>0.56217810000000001</v>
      </c>
      <c r="AL168" s="201">
        <v>0.292773536</v>
      </c>
      <c r="AM168" s="201">
        <v>4670.3333333333303</v>
      </c>
      <c r="AN168" s="201">
        <v>1.4676155340000001</v>
      </c>
      <c r="AO168" s="201">
        <v>114.5</v>
      </c>
      <c r="AP168" s="201">
        <v>326</v>
      </c>
      <c r="AQ168" s="201">
        <v>286.25</v>
      </c>
      <c r="AR168" s="201">
        <v>191.875</v>
      </c>
      <c r="AS168" s="201">
        <v>301.5</v>
      </c>
      <c r="AT168" s="201">
        <v>1531.26</v>
      </c>
      <c r="AU168" s="201">
        <v>4598.62</v>
      </c>
    </row>
    <row r="169" spans="1:47">
      <c r="A169" s="288" t="s">
        <v>5</v>
      </c>
      <c r="B169" s="201">
        <v>37.340000000000003</v>
      </c>
      <c r="C169" s="201">
        <v>39.07</v>
      </c>
      <c r="D169" s="201">
        <v>35.18</v>
      </c>
      <c r="E169" s="201">
        <v>37.770000000000003</v>
      </c>
      <c r="F169" s="201">
        <v>1.7017</v>
      </c>
      <c r="G169" s="201">
        <v>44.494833931954098</v>
      </c>
      <c r="H169" s="201">
        <v>3.0735199999999998</v>
      </c>
      <c r="I169" s="201">
        <v>3.4722765</v>
      </c>
      <c r="J169" s="201">
        <v>1.6666927199999999</v>
      </c>
      <c r="K169" s="201">
        <v>1440.48</v>
      </c>
      <c r="L169" s="201">
        <v>1280</v>
      </c>
      <c r="M169" s="201">
        <v>1300.73</v>
      </c>
      <c r="N169" s="201">
        <v>715.95</v>
      </c>
      <c r="O169" s="201">
        <v>1210.5999999999999</v>
      </c>
      <c r="P169" s="201">
        <v>380.97</v>
      </c>
      <c r="Q169" s="201">
        <v>765.61</v>
      </c>
      <c r="R169" s="201">
        <v>319.13</v>
      </c>
      <c r="S169" s="201">
        <v>766.26</v>
      </c>
      <c r="T169" s="201">
        <v>859.19</v>
      </c>
      <c r="U169" s="201">
        <v>112.98677499999999</v>
      </c>
      <c r="V169" s="201">
        <v>159.13726639999999</v>
      </c>
      <c r="W169" s="201">
        <v>160.49633600000001</v>
      </c>
      <c r="X169" s="201">
        <v>384</v>
      </c>
      <c r="Y169" s="201">
        <v>375</v>
      </c>
      <c r="Z169" s="201">
        <v>374.9</v>
      </c>
      <c r="AA169" s="201">
        <v>360.2</v>
      </c>
      <c r="AB169" s="201">
        <v>189.68919637499999</v>
      </c>
      <c r="AC169" s="201">
        <v>191.06708399999999</v>
      </c>
      <c r="AD169" s="201">
        <v>0.93921695233299995</v>
      </c>
      <c r="AE169" s="201">
        <v>1.0127473124999999</v>
      </c>
      <c r="AF169" s="201">
        <v>0.68200496207084804</v>
      </c>
      <c r="AG169" s="201">
        <v>4.0333522899999998</v>
      </c>
      <c r="AH169" s="201">
        <v>1.8548871</v>
      </c>
      <c r="AI169" s="201">
        <v>10.670360799999999</v>
      </c>
      <c r="AJ169" s="201">
        <v>0.36284081600000001</v>
      </c>
      <c r="AK169" s="201">
        <v>0.580255984</v>
      </c>
      <c r="AL169" s="201">
        <v>0.340393328</v>
      </c>
      <c r="AM169" s="201">
        <v>4569.6750000000002</v>
      </c>
      <c r="AN169" s="201">
        <v>1.443144252</v>
      </c>
      <c r="AO169" s="201">
        <v>114.5</v>
      </c>
      <c r="AP169" s="201">
        <v>338.125</v>
      </c>
      <c r="AQ169" s="201">
        <v>291.25</v>
      </c>
      <c r="AR169" s="201">
        <v>201.75</v>
      </c>
      <c r="AS169" s="201">
        <v>301.5</v>
      </c>
      <c r="AT169" s="201">
        <v>1531.01</v>
      </c>
      <c r="AU169" s="201">
        <v>4953.8</v>
      </c>
    </row>
    <row r="170" spans="1:47">
      <c r="A170" s="288" t="s">
        <v>6</v>
      </c>
      <c r="B170" s="201">
        <v>40.75</v>
      </c>
      <c r="C170" s="201">
        <v>42.25</v>
      </c>
      <c r="D170" s="201">
        <v>39.04</v>
      </c>
      <c r="E170" s="201">
        <v>40.96</v>
      </c>
      <c r="F170" s="201">
        <v>1.9047000000000001</v>
      </c>
      <c r="G170" s="201">
        <v>46.626993177277001</v>
      </c>
      <c r="H170" s="201">
        <v>3.0785</v>
      </c>
      <c r="I170" s="201">
        <v>3.399964964</v>
      </c>
      <c r="J170" s="201">
        <v>1.7676643160000001</v>
      </c>
      <c r="K170" s="201">
        <v>1580.95</v>
      </c>
      <c r="L170" s="201">
        <v>1294.46956521739</v>
      </c>
      <c r="M170" s="201">
        <v>1314.38</v>
      </c>
      <c r="N170" s="201">
        <v>775</v>
      </c>
      <c r="O170" s="201">
        <v>1299.05</v>
      </c>
      <c r="P170" s="201">
        <v>395.14</v>
      </c>
      <c r="Q170" s="201">
        <v>794.13</v>
      </c>
      <c r="R170" s="201">
        <v>346.19</v>
      </c>
      <c r="S170" s="201">
        <v>808.51</v>
      </c>
      <c r="T170" s="201">
        <v>875.95</v>
      </c>
      <c r="U170" s="201">
        <v>112.52747916666701</v>
      </c>
      <c r="V170" s="201">
        <v>164.4125784</v>
      </c>
      <c r="W170" s="201">
        <v>162.260032</v>
      </c>
      <c r="X170" s="201">
        <v>395</v>
      </c>
      <c r="Y170" s="201">
        <v>386</v>
      </c>
      <c r="Z170" s="201">
        <v>383.53</v>
      </c>
      <c r="AA170" s="201">
        <v>371</v>
      </c>
      <c r="AB170" s="201">
        <v>192.76096718700001</v>
      </c>
      <c r="AC170" s="201">
        <v>187.392717</v>
      </c>
      <c r="AD170" s="201">
        <v>0.93965644332999998</v>
      </c>
      <c r="AE170" s="201">
        <v>0.99345688750000005</v>
      </c>
      <c r="AF170" s="201">
        <v>0.71379624278166698</v>
      </c>
      <c r="AG170" s="201">
        <v>3.9630249119999998</v>
      </c>
      <c r="AH170" s="201">
        <v>1.9337666857142899</v>
      </c>
      <c r="AI170" s="201">
        <v>10.527060499999999</v>
      </c>
      <c r="AJ170" s="201">
        <v>0.37015576</v>
      </c>
      <c r="AK170" s="201">
        <v>0.61508898000000001</v>
      </c>
      <c r="AL170" s="201">
        <v>0.33576362599999998</v>
      </c>
      <c r="AM170" s="201">
        <v>4625</v>
      </c>
      <c r="AN170" s="201">
        <v>1.5273607360000001</v>
      </c>
      <c r="AO170" s="201">
        <v>114.125</v>
      </c>
      <c r="AP170" s="201">
        <v>330.5</v>
      </c>
      <c r="AQ170" s="201">
        <v>295</v>
      </c>
      <c r="AR170" s="201">
        <v>196.25</v>
      </c>
      <c r="AS170" s="201">
        <v>301.5</v>
      </c>
      <c r="AT170" s="201">
        <v>1571.23</v>
      </c>
      <c r="AU170" s="201">
        <v>4872.74</v>
      </c>
    </row>
    <row r="171" spans="1:47">
      <c r="A171" s="288" t="s">
        <v>7</v>
      </c>
      <c r="B171" s="201">
        <v>45.936666666666703</v>
      </c>
      <c r="C171" s="201">
        <v>47.13</v>
      </c>
      <c r="D171" s="201">
        <v>43.95</v>
      </c>
      <c r="E171" s="201">
        <v>46.73</v>
      </c>
      <c r="F171" s="201">
        <v>1.9219999999999999</v>
      </c>
      <c r="G171" s="201">
        <v>48.167559069689602</v>
      </c>
      <c r="H171" s="201">
        <v>3.0986600000000002</v>
      </c>
      <c r="I171" s="201">
        <v>3.4213497780000002</v>
      </c>
      <c r="J171" s="201">
        <v>1.8503375660000001</v>
      </c>
      <c r="K171" s="201">
        <v>1439.5</v>
      </c>
      <c r="L171" s="201">
        <v>1200</v>
      </c>
      <c r="M171" s="201">
        <v>1322.77</v>
      </c>
      <c r="N171" s="201">
        <v>753.42</v>
      </c>
      <c r="O171" s="201">
        <v>1218.25</v>
      </c>
      <c r="P171" s="201">
        <v>422.55</v>
      </c>
      <c r="Q171" s="201">
        <v>795.64</v>
      </c>
      <c r="R171" s="201">
        <v>421.64</v>
      </c>
      <c r="S171" s="201">
        <v>805.59</v>
      </c>
      <c r="T171" s="201">
        <v>881</v>
      </c>
      <c r="U171" s="201">
        <v>112.068183333333</v>
      </c>
      <c r="V171" s="201">
        <v>168.9556456</v>
      </c>
      <c r="W171" s="201">
        <v>158.51217800000001</v>
      </c>
      <c r="X171" s="201">
        <v>433</v>
      </c>
      <c r="Y171" s="201">
        <v>415</v>
      </c>
      <c r="Z171" s="201">
        <v>414.38</v>
      </c>
      <c r="AA171" s="201">
        <v>377.31</v>
      </c>
      <c r="AB171" s="201">
        <v>189.850868523</v>
      </c>
      <c r="AC171" s="201">
        <v>171.96037559999999</v>
      </c>
      <c r="AD171" s="201">
        <v>0.928900446821875</v>
      </c>
      <c r="AE171" s="201">
        <v>0.9851895625</v>
      </c>
      <c r="AF171" s="201">
        <v>0.76362550472774104</v>
      </c>
      <c r="AG171" s="201">
        <v>4.041729846</v>
      </c>
      <c r="AH171" s="201">
        <v>2.0555456952380999</v>
      </c>
      <c r="AI171" s="201">
        <v>10.471945</v>
      </c>
      <c r="AJ171" s="201">
        <v>0.36930670399999999</v>
      </c>
      <c r="AK171" s="201">
        <v>0.60097941200000005</v>
      </c>
      <c r="AL171" s="201">
        <v>0.37500586200000002</v>
      </c>
      <c r="AM171" s="201">
        <v>4680.3583333333299</v>
      </c>
      <c r="AN171" s="201">
        <v>1.549406936</v>
      </c>
      <c r="AO171" s="201">
        <v>110.5</v>
      </c>
      <c r="AP171" s="201">
        <v>313.5</v>
      </c>
      <c r="AQ171" s="201">
        <v>295</v>
      </c>
      <c r="AR171" s="201">
        <v>198.375</v>
      </c>
      <c r="AS171" s="201">
        <v>301.5</v>
      </c>
      <c r="AT171" s="201">
        <v>1550.63</v>
      </c>
      <c r="AU171" s="201">
        <v>4694.54</v>
      </c>
    </row>
    <row r="172" spans="1:47">
      <c r="A172" s="288" t="s">
        <v>8</v>
      </c>
      <c r="B172" s="201">
        <v>47.686666666666703</v>
      </c>
      <c r="C172" s="201">
        <v>48.48</v>
      </c>
      <c r="D172" s="201">
        <v>45.83</v>
      </c>
      <c r="E172" s="201">
        <v>48.75</v>
      </c>
      <c r="F172" s="201">
        <v>2.5666000000000002</v>
      </c>
      <c r="G172" s="201">
        <v>58.112927318344198</v>
      </c>
      <c r="H172" s="201">
        <v>3.1208</v>
      </c>
      <c r="I172" s="201">
        <v>3.6475437899999998</v>
      </c>
      <c r="J172" s="201">
        <v>1.8946504280000001</v>
      </c>
      <c r="K172" s="201">
        <v>1547.95</v>
      </c>
      <c r="L172" s="201">
        <v>1195</v>
      </c>
      <c r="M172" s="201">
        <v>1365.86</v>
      </c>
      <c r="N172" s="201">
        <v>718.18</v>
      </c>
      <c r="O172" s="201">
        <v>1337.27</v>
      </c>
      <c r="P172" s="201">
        <v>457.4</v>
      </c>
      <c r="Q172" s="201">
        <v>799.91</v>
      </c>
      <c r="R172" s="201">
        <v>467.73</v>
      </c>
      <c r="S172" s="201">
        <v>793.48</v>
      </c>
      <c r="T172" s="201">
        <v>860.23</v>
      </c>
      <c r="U172" s="201">
        <v>108.39381666666701</v>
      </c>
      <c r="V172" s="201">
        <v>179.87239199999999</v>
      </c>
      <c r="W172" s="201">
        <v>166.66927200000001</v>
      </c>
      <c r="X172" s="201">
        <v>441</v>
      </c>
      <c r="Y172" s="201">
        <v>422</v>
      </c>
      <c r="Z172" s="201">
        <v>426.79</v>
      </c>
      <c r="AA172" s="201">
        <v>372.46</v>
      </c>
      <c r="AB172" s="201">
        <v>187.01425719900001</v>
      </c>
      <c r="AC172" s="201">
        <v>173.0626857</v>
      </c>
      <c r="AD172" s="201">
        <v>0.94227349261649995</v>
      </c>
      <c r="AE172" s="201">
        <v>0.99345688750000005</v>
      </c>
      <c r="AF172" s="201">
        <v>0.87545040892519499</v>
      </c>
      <c r="AG172" s="201">
        <v>4.1050024399999998</v>
      </c>
      <c r="AH172" s="201">
        <v>2.154515</v>
      </c>
      <c r="AI172" s="201">
        <v>10.471945</v>
      </c>
      <c r="AJ172" s="201">
        <v>0.36682484799999998</v>
      </c>
      <c r="AK172" s="201">
        <v>0.61001835400000004</v>
      </c>
      <c r="AL172" s="201">
        <v>0.42879858999999998</v>
      </c>
      <c r="AM172" s="201">
        <v>4809.95</v>
      </c>
      <c r="AN172" s="201">
        <v>1.6336234199999999</v>
      </c>
      <c r="AO172" s="201">
        <v>110.5</v>
      </c>
      <c r="AP172" s="201">
        <v>306.625</v>
      </c>
      <c r="AQ172" s="201">
        <v>285</v>
      </c>
      <c r="AR172" s="201">
        <v>142.625</v>
      </c>
      <c r="AS172" s="201">
        <v>301.5</v>
      </c>
      <c r="AT172" s="201">
        <v>1593.51</v>
      </c>
      <c r="AU172" s="201">
        <v>4641.97</v>
      </c>
    </row>
    <row r="173" spans="1:47">
      <c r="A173" s="288" t="s">
        <v>9</v>
      </c>
      <c r="B173" s="201">
        <v>44.126666666666701</v>
      </c>
      <c r="C173" s="201">
        <v>45.07</v>
      </c>
      <c r="D173" s="201">
        <v>42.62</v>
      </c>
      <c r="E173" s="201">
        <v>44.69</v>
      </c>
      <c r="F173" s="201">
        <v>2.7879</v>
      </c>
      <c r="G173" s="201">
        <v>60.655991369200301</v>
      </c>
      <c r="H173" s="201">
        <v>3.0499800000000001</v>
      </c>
      <c r="I173" s="201">
        <v>3.7866553120000002</v>
      </c>
      <c r="J173" s="201">
        <v>2.0022358840000001</v>
      </c>
      <c r="K173" s="201">
        <v>1515</v>
      </c>
      <c r="L173" s="201">
        <v>1327.7777777777801</v>
      </c>
      <c r="M173" s="201">
        <v>1415.37</v>
      </c>
      <c r="N173" s="201">
        <v>678.16</v>
      </c>
      <c r="O173" s="201">
        <v>1290</v>
      </c>
      <c r="P173" s="201">
        <v>431.08</v>
      </c>
      <c r="Q173" s="201">
        <v>796.67</v>
      </c>
      <c r="R173" s="201">
        <v>439.9</v>
      </c>
      <c r="S173" s="201">
        <v>767.83</v>
      </c>
      <c r="T173" s="201">
        <v>832.86</v>
      </c>
      <c r="U173" s="201">
        <v>107.01592916666699</v>
      </c>
      <c r="V173" s="201">
        <v>161.75917519999999</v>
      </c>
      <c r="W173" s="201">
        <v>145.174227</v>
      </c>
      <c r="X173" s="201">
        <v>442</v>
      </c>
      <c r="Y173" s="201">
        <v>424</v>
      </c>
      <c r="Z173" s="201">
        <v>417.89</v>
      </c>
      <c r="AA173" s="201">
        <v>361.57</v>
      </c>
      <c r="AB173" s="201">
        <v>166.514963706</v>
      </c>
      <c r="AC173" s="201">
        <v>151.75135710000001</v>
      </c>
      <c r="AD173" s="201">
        <v>0.92840991887187496</v>
      </c>
      <c r="AE173" s="201">
        <v>1.00930259375</v>
      </c>
      <c r="AF173" s="201">
        <v>0.967756207328486</v>
      </c>
      <c r="AG173" s="201">
        <v>4.2555779859999996</v>
      </c>
      <c r="AH173" s="201">
        <v>1.9621118</v>
      </c>
      <c r="AI173" s="201">
        <v>10.471945</v>
      </c>
      <c r="AJ173" s="201">
        <v>0.36140395199999997</v>
      </c>
      <c r="AK173" s="201">
        <v>0.62060053000000004</v>
      </c>
      <c r="AL173" s="201">
        <v>0.43210552000000002</v>
      </c>
      <c r="AM173" s="201">
        <v>4856.5833333333303</v>
      </c>
      <c r="AN173" s="201">
        <v>1.787064972</v>
      </c>
      <c r="AO173" s="201">
        <v>110.5</v>
      </c>
      <c r="AP173" s="201">
        <v>305.2</v>
      </c>
      <c r="AQ173" s="201">
        <v>281</v>
      </c>
      <c r="AR173" s="201">
        <v>181</v>
      </c>
      <c r="AS173" s="201">
        <v>282.5</v>
      </c>
      <c r="AT173" s="201">
        <v>1629.05</v>
      </c>
      <c r="AU173" s="201">
        <v>4864.8999999999996</v>
      </c>
    </row>
    <row r="174" spans="1:47">
      <c r="A174" s="288" t="s">
        <v>10</v>
      </c>
      <c r="B174" s="201">
        <v>44.876666666666701</v>
      </c>
      <c r="C174" s="201">
        <v>46.14</v>
      </c>
      <c r="D174" s="201">
        <v>43.74</v>
      </c>
      <c r="E174" s="201">
        <v>44.75</v>
      </c>
      <c r="F174" s="201">
        <v>2.7913000000000001</v>
      </c>
      <c r="G174" s="201">
        <v>57.9738622861491</v>
      </c>
      <c r="H174" s="201">
        <v>3.0324900000000001</v>
      </c>
      <c r="I174" s="201">
        <v>3.6936203480000001</v>
      </c>
      <c r="J174" s="201">
        <v>2.0236206980000002</v>
      </c>
      <c r="K174" s="201">
        <v>1575</v>
      </c>
      <c r="L174" s="201">
        <v>1565.63</v>
      </c>
      <c r="M174" s="201">
        <v>1433</v>
      </c>
      <c r="N174" s="201">
        <v>771.02</v>
      </c>
      <c r="O174" s="201">
        <v>1423.7</v>
      </c>
      <c r="P174" s="201">
        <v>412.17</v>
      </c>
      <c r="Q174" s="201">
        <v>824.42</v>
      </c>
      <c r="R174" s="201">
        <v>398.7</v>
      </c>
      <c r="S174" s="201">
        <v>817.52</v>
      </c>
      <c r="T174" s="201">
        <v>830.35</v>
      </c>
      <c r="U174" s="201">
        <v>95.533533333333295</v>
      </c>
      <c r="V174" s="201">
        <v>150.15348879999999</v>
      </c>
      <c r="W174" s="201">
        <v>152.66993500000001</v>
      </c>
      <c r="X174" s="201">
        <v>415</v>
      </c>
      <c r="Y174" s="201">
        <v>403</v>
      </c>
      <c r="Z174" s="201">
        <v>393.78</v>
      </c>
      <c r="AA174" s="201">
        <v>347.46</v>
      </c>
      <c r="AB174" s="201">
        <v>159.280135083</v>
      </c>
      <c r="AC174" s="201">
        <v>149.1793002</v>
      </c>
      <c r="AD174" s="201">
        <v>0.90134392314175005</v>
      </c>
      <c r="AE174" s="201">
        <v>1.0430608374999999</v>
      </c>
      <c r="AF174" s="201">
        <v>0.95923974111477295</v>
      </c>
      <c r="AG174" s="201">
        <v>4.2394842600000002</v>
      </c>
      <c r="AH174" s="201">
        <v>1.7416498</v>
      </c>
      <c r="AI174" s="201">
        <v>10.84011654</v>
      </c>
      <c r="AJ174" s="201">
        <v>0.36604110400000001</v>
      </c>
      <c r="AK174" s="201">
        <v>0.62919854799999997</v>
      </c>
      <c r="AL174" s="201">
        <v>0.44379000600000001</v>
      </c>
      <c r="AM174" s="201">
        <v>4889.7083333333303</v>
      </c>
      <c r="AN174" s="201">
        <v>1.7694280120000001</v>
      </c>
      <c r="AO174" s="201">
        <v>109.75</v>
      </c>
      <c r="AP174" s="201">
        <v>318.0625</v>
      </c>
      <c r="AQ174" s="201">
        <v>281.25</v>
      </c>
      <c r="AR174" s="201">
        <v>186.25</v>
      </c>
      <c r="AS174" s="201">
        <v>206.5</v>
      </c>
      <c r="AT174" s="201">
        <v>1639.28</v>
      </c>
      <c r="AU174" s="201">
        <v>4751.67</v>
      </c>
    </row>
    <row r="175" spans="1:47">
      <c r="A175" s="288" t="s">
        <v>11</v>
      </c>
      <c r="B175" s="201">
        <v>45.043333333333301</v>
      </c>
      <c r="C175" s="201">
        <v>46.19</v>
      </c>
      <c r="D175" s="201">
        <v>43.74</v>
      </c>
      <c r="E175" s="201">
        <v>45.2</v>
      </c>
      <c r="F175" s="201">
        <v>2.9689000000000001</v>
      </c>
      <c r="G175" s="201">
        <v>61.382189464620701</v>
      </c>
      <c r="H175" s="201">
        <v>2.8811900000000001</v>
      </c>
      <c r="I175" s="201">
        <v>3.88674506</v>
      </c>
      <c r="J175" s="201">
        <v>2.1358358559999999</v>
      </c>
      <c r="K175" s="201">
        <v>1557.39</v>
      </c>
      <c r="L175" s="201">
        <v>1550</v>
      </c>
      <c r="M175" s="201">
        <v>1433</v>
      </c>
      <c r="N175" s="201">
        <v>797.85</v>
      </c>
      <c r="O175" s="201">
        <v>1443.86</v>
      </c>
      <c r="P175" s="201">
        <v>403.53</v>
      </c>
      <c r="Q175" s="201">
        <v>837.21</v>
      </c>
      <c r="R175" s="201">
        <v>368.05</v>
      </c>
      <c r="S175" s="201">
        <v>849.65</v>
      </c>
      <c r="T175" s="201">
        <v>865.73</v>
      </c>
      <c r="U175" s="201">
        <v>89.562687499999996</v>
      </c>
      <c r="V175" s="201">
        <v>148.42523360000001</v>
      </c>
      <c r="W175" s="201">
        <v>145.394689</v>
      </c>
      <c r="X175" s="201">
        <v>384</v>
      </c>
      <c r="Y175" s="201">
        <v>378</v>
      </c>
      <c r="Z175" s="201">
        <v>365.27</v>
      </c>
      <c r="AA175" s="201">
        <v>342.73</v>
      </c>
      <c r="AB175" s="201">
        <v>157.56053132700001</v>
      </c>
      <c r="AC175" s="201">
        <v>150.649047</v>
      </c>
      <c r="AD175" s="201">
        <v>0.90870264845593696</v>
      </c>
      <c r="AE175" s="201">
        <v>0.99896843749999997</v>
      </c>
      <c r="AF175" s="201">
        <v>1.0506462853215801</v>
      </c>
      <c r="AG175" s="201">
        <v>4.1180096979999998</v>
      </c>
      <c r="AH175" s="201">
        <v>1.70490613333333</v>
      </c>
      <c r="AI175" s="201">
        <v>11.88069718</v>
      </c>
      <c r="AJ175" s="201">
        <v>0.36613907200000001</v>
      </c>
      <c r="AK175" s="201">
        <v>0.61619128999999995</v>
      </c>
      <c r="AL175" s="201">
        <v>0.47465468599999999</v>
      </c>
      <c r="AM175" s="201">
        <v>4957.0166666666701</v>
      </c>
      <c r="AN175" s="201">
        <v>1.7165171319999999</v>
      </c>
      <c r="AO175" s="201">
        <v>109</v>
      </c>
      <c r="AP175" s="201">
        <v>320</v>
      </c>
      <c r="AQ175" s="201">
        <v>287</v>
      </c>
      <c r="AR175" s="201">
        <v>187.3</v>
      </c>
      <c r="AS175" s="201">
        <v>206.5</v>
      </c>
      <c r="AT175" s="201">
        <v>1592.36</v>
      </c>
      <c r="AU175" s="201">
        <v>4722.2</v>
      </c>
    </row>
    <row r="176" spans="1:47">
      <c r="A176" s="288" t="s">
        <v>12</v>
      </c>
      <c r="B176" s="201">
        <v>49.293333333333301</v>
      </c>
      <c r="C176" s="201">
        <v>49.73</v>
      </c>
      <c r="D176" s="201">
        <v>48.26</v>
      </c>
      <c r="E176" s="201">
        <v>49.89</v>
      </c>
      <c r="F176" s="201">
        <v>2.9491999999999998</v>
      </c>
      <c r="G176" s="201">
        <v>66.369097111394595</v>
      </c>
      <c r="H176" s="201">
        <v>2.7113499999999999</v>
      </c>
      <c r="I176" s="201">
        <v>3.9453879519999999</v>
      </c>
      <c r="J176" s="201">
        <v>2.2850886300000002</v>
      </c>
      <c r="K176" s="201">
        <v>1473.57</v>
      </c>
      <c r="L176" s="201">
        <v>1550</v>
      </c>
      <c r="M176" s="201">
        <v>1433</v>
      </c>
      <c r="N176" s="201">
        <v>749.75</v>
      </c>
      <c r="O176" s="201">
        <v>1331.19</v>
      </c>
      <c r="P176" s="201">
        <v>401.87</v>
      </c>
      <c r="Q176" s="201">
        <v>861.26</v>
      </c>
      <c r="R176" s="201">
        <v>361.88</v>
      </c>
      <c r="S176" s="201">
        <v>914.14</v>
      </c>
      <c r="T176" s="201">
        <v>873</v>
      </c>
      <c r="U176" s="201">
        <v>91.859166666666695</v>
      </c>
      <c r="V176" s="201">
        <v>152.25967679999999</v>
      </c>
      <c r="W176" s="201">
        <v>148.70161899999999</v>
      </c>
      <c r="X176" s="201">
        <v>369</v>
      </c>
      <c r="Y176" s="201">
        <v>365</v>
      </c>
      <c r="Z176" s="201">
        <v>349.9</v>
      </c>
      <c r="AA176" s="201">
        <v>336.39</v>
      </c>
      <c r="AB176" s="201">
        <v>164.36913337799999</v>
      </c>
      <c r="AC176" s="201">
        <v>151.75135710000001</v>
      </c>
      <c r="AD176" s="201">
        <v>0.89723924450531301</v>
      </c>
      <c r="AE176" s="201">
        <v>0.96796596874999996</v>
      </c>
      <c r="AF176" s="201">
        <v>1.06466407132552</v>
      </c>
      <c r="AG176" s="201">
        <v>4.0366592199999998</v>
      </c>
      <c r="AH176" s="201">
        <v>1.5873264</v>
      </c>
      <c r="AI176" s="201">
        <v>12.290756500000001</v>
      </c>
      <c r="AJ176" s="201">
        <v>0.360163024</v>
      </c>
      <c r="AK176" s="201">
        <v>0.62985993399999995</v>
      </c>
      <c r="AL176" s="201">
        <v>0.489866564</v>
      </c>
      <c r="AM176" s="201">
        <v>4906.0333333333301</v>
      </c>
      <c r="AN176" s="201">
        <v>1.731067624</v>
      </c>
      <c r="AO176" s="201">
        <v>109</v>
      </c>
      <c r="AP176" s="201">
        <v>310</v>
      </c>
      <c r="AQ176" s="201">
        <v>285</v>
      </c>
      <c r="AR176" s="201">
        <v>187.5</v>
      </c>
      <c r="AS176" s="201">
        <v>206.5</v>
      </c>
      <c r="AT176" s="201">
        <v>1665.9</v>
      </c>
      <c r="AU176" s="201">
        <v>4731.26</v>
      </c>
    </row>
    <row r="177" spans="1:47">
      <c r="A177" s="288" t="s">
        <v>13</v>
      </c>
      <c r="B177" s="201">
        <v>45.26</v>
      </c>
      <c r="C177" s="201">
        <v>46.44</v>
      </c>
      <c r="D177" s="201">
        <v>43.77</v>
      </c>
      <c r="E177" s="201">
        <v>45.57</v>
      </c>
      <c r="F177" s="201">
        <v>2.5009000000000001</v>
      </c>
      <c r="G177" s="201">
        <v>62.578513627672898</v>
      </c>
      <c r="H177" s="201">
        <v>2.4785499999999998</v>
      </c>
      <c r="I177" s="201">
        <v>4.0591463440000002</v>
      </c>
      <c r="J177" s="201">
        <v>2.2866318639999998</v>
      </c>
      <c r="K177" s="201">
        <v>1553.41</v>
      </c>
      <c r="L177" s="201">
        <v>1563.64</v>
      </c>
      <c r="M177" s="201">
        <v>1433</v>
      </c>
      <c r="N177" s="201">
        <v>766.93</v>
      </c>
      <c r="O177" s="201">
        <v>1512.95</v>
      </c>
      <c r="P177" s="201">
        <v>397.76</v>
      </c>
      <c r="Q177" s="201">
        <v>885.11</v>
      </c>
      <c r="R177" s="201">
        <v>357</v>
      </c>
      <c r="S177" s="201">
        <v>918.26</v>
      </c>
      <c r="T177" s="201">
        <v>873</v>
      </c>
      <c r="U177" s="201">
        <v>91.859166666666695</v>
      </c>
      <c r="V177" s="201">
        <v>151.80300800000001</v>
      </c>
      <c r="W177" s="201">
        <v>144.29237900000001</v>
      </c>
      <c r="X177" s="201">
        <v>365</v>
      </c>
      <c r="Y177" s="201">
        <v>357</v>
      </c>
      <c r="Z177" s="201">
        <v>339.59</v>
      </c>
      <c r="AA177" s="201">
        <v>338</v>
      </c>
      <c r="AB177" s="201">
        <v>167.27555767499999</v>
      </c>
      <c r="AC177" s="201">
        <v>150.649047</v>
      </c>
      <c r="AD177" s="201">
        <v>0.85847031975099997</v>
      </c>
      <c r="AE177" s="201">
        <v>0.95763181249999996</v>
      </c>
      <c r="AF177" s="201">
        <v>1.1377681477687001</v>
      </c>
      <c r="AG177" s="201">
        <v>4.2985680759999996</v>
      </c>
      <c r="AH177" s="201">
        <v>1.75597983</v>
      </c>
      <c r="AI177" s="201">
        <v>12.493581539999999</v>
      </c>
      <c r="AJ177" s="201">
        <v>0.35297870399999998</v>
      </c>
      <c r="AK177" s="201">
        <v>0.63404871200000001</v>
      </c>
      <c r="AL177" s="201">
        <v>0.44621508799999998</v>
      </c>
      <c r="AM177" s="201">
        <v>4878.2833333333301</v>
      </c>
      <c r="AN177" s="201">
        <v>1.739886104</v>
      </c>
      <c r="AO177" s="201">
        <v>103</v>
      </c>
      <c r="AP177" s="201">
        <v>298</v>
      </c>
      <c r="AQ177" s="201">
        <v>285</v>
      </c>
      <c r="AR177" s="201">
        <v>205</v>
      </c>
      <c r="AS177" s="201">
        <v>206.5</v>
      </c>
      <c r="AT177" s="201">
        <v>1737.11</v>
      </c>
      <c r="AU177" s="201">
        <v>5450.93</v>
      </c>
    </row>
    <row r="178" spans="1:47">
      <c r="A178" s="288" t="s">
        <v>14</v>
      </c>
      <c r="B178" s="201">
        <v>52.62</v>
      </c>
      <c r="C178" s="201">
        <v>54.07</v>
      </c>
      <c r="D178" s="201">
        <v>51.78</v>
      </c>
      <c r="E178" s="201">
        <v>52.01</v>
      </c>
      <c r="F178" s="201">
        <v>3.5817999999999999</v>
      </c>
      <c r="G178" s="201">
        <v>74.4216778981001</v>
      </c>
      <c r="H178" s="201">
        <v>2.2953100000000002</v>
      </c>
      <c r="I178" s="201">
        <v>3.5666342360000001</v>
      </c>
      <c r="J178" s="201">
        <v>2.2454054700000001</v>
      </c>
      <c r="K178" s="201">
        <v>1727.14</v>
      </c>
      <c r="L178" s="201">
        <v>1600</v>
      </c>
      <c r="M178" s="201">
        <v>1439.3</v>
      </c>
      <c r="N178" s="201">
        <v>811.38</v>
      </c>
      <c r="O178" s="201">
        <v>1666.43</v>
      </c>
      <c r="P178" s="201">
        <v>416.07</v>
      </c>
      <c r="Q178" s="201">
        <v>916.7</v>
      </c>
      <c r="R178" s="201">
        <v>355.95</v>
      </c>
      <c r="S178" s="201">
        <v>930.43</v>
      </c>
      <c r="T178" s="201">
        <v>873</v>
      </c>
      <c r="U178" s="201">
        <v>91.859166666666695</v>
      </c>
      <c r="V178" s="201">
        <v>152.44864319999999</v>
      </c>
      <c r="W178" s="201">
        <v>153.110859</v>
      </c>
      <c r="X178" s="201">
        <v>373</v>
      </c>
      <c r="Y178" s="201">
        <v>364</v>
      </c>
      <c r="Z178" s="201">
        <v>354.42</v>
      </c>
      <c r="AA178" s="201">
        <v>341</v>
      </c>
      <c r="AB178" s="201">
        <v>161.16875972099999</v>
      </c>
      <c r="AC178" s="201">
        <v>141.83056619999999</v>
      </c>
      <c r="AD178" s="201">
        <v>0.83229172490750003</v>
      </c>
      <c r="AE178" s="201">
        <v>0.95763181249999996</v>
      </c>
      <c r="AF178" s="201">
        <v>1.07698914354785</v>
      </c>
      <c r="AG178" s="201">
        <v>4.1431423660000002</v>
      </c>
      <c r="AH178" s="201">
        <v>1.86237899047619</v>
      </c>
      <c r="AI178" s="201">
        <v>13.203469180000001</v>
      </c>
      <c r="AJ178" s="201">
        <v>0.34452080000000002</v>
      </c>
      <c r="AK178" s="201">
        <v>0.64463088800000001</v>
      </c>
      <c r="AL178" s="201">
        <v>0.40763423799999998</v>
      </c>
      <c r="AM178" s="201">
        <v>4912.0583333333298</v>
      </c>
      <c r="AN178" s="201">
        <v>1.7526729000000001</v>
      </c>
      <c r="AO178" s="201">
        <v>97.5</v>
      </c>
      <c r="AP178" s="201">
        <v>296.625</v>
      </c>
      <c r="AQ178" s="201">
        <v>277.5</v>
      </c>
      <c r="AR178" s="201">
        <v>217.75</v>
      </c>
      <c r="AS178" s="201">
        <v>206.5</v>
      </c>
      <c r="AT178" s="201">
        <v>1727.74</v>
      </c>
      <c r="AU178" s="201">
        <v>5660.35</v>
      </c>
    </row>
    <row r="179" spans="1:47" s="291" customFormat="1" ht="15">
      <c r="A179" s="198" t="s">
        <v>1</v>
      </c>
      <c r="B179" s="241">
        <v>42.811944444444443</v>
      </c>
      <c r="C179" s="241">
        <v>44.047500000000007</v>
      </c>
      <c r="D179" s="241">
        <v>41.200833333333328</v>
      </c>
      <c r="E179" s="241">
        <v>43.1875</v>
      </c>
      <c r="F179" s="241">
        <v>2.4922166666666672</v>
      </c>
      <c r="G179" s="241">
        <v>56.953089920584375</v>
      </c>
      <c r="H179" s="241">
        <v>2.8907616666666667</v>
      </c>
      <c r="I179" s="241">
        <v>3.6110757008333327</v>
      </c>
      <c r="J179" s="241">
        <v>1.9531279735</v>
      </c>
      <c r="K179" s="241">
        <v>1481.7766666666666</v>
      </c>
      <c r="L179" s="241">
        <v>1392.8619524959743</v>
      </c>
      <c r="M179" s="241">
        <v>1380.6308333333334</v>
      </c>
      <c r="N179" s="241">
        <v>735.70333333333338</v>
      </c>
      <c r="O179" s="241">
        <v>1301.3191666666669</v>
      </c>
      <c r="P179" s="241">
        <v>405.44749999999999</v>
      </c>
      <c r="Q179" s="241">
        <v>814.99416666666684</v>
      </c>
      <c r="R179" s="241">
        <v>374.66166666666663</v>
      </c>
      <c r="S179" s="241">
        <v>827.74166666666667</v>
      </c>
      <c r="T179" s="241">
        <v>867.32083333333333</v>
      </c>
      <c r="U179" s="241">
        <v>103.91568229166667</v>
      </c>
      <c r="V179" s="241">
        <v>159.16088720000002</v>
      </c>
      <c r="W179" s="241">
        <v>155.59105650000001</v>
      </c>
      <c r="X179" s="241">
        <v>396.16666666666669</v>
      </c>
      <c r="Y179" s="241">
        <v>385.33333333333331</v>
      </c>
      <c r="Z179" s="241">
        <v>380.33499999999998</v>
      </c>
      <c r="AA179" s="241">
        <v>356.09666666666664</v>
      </c>
      <c r="AB179" s="241">
        <v>176.30378359124998</v>
      </c>
      <c r="AC179" s="241">
        <v>166.63254344999999</v>
      </c>
      <c r="AD179" s="241">
        <v>0.90527510507362496</v>
      </c>
      <c r="AE179" s="241">
        <v>1.0011500927083334</v>
      </c>
      <c r="AF179" s="241">
        <v>0.88967978415183324</v>
      </c>
      <c r="AG179" s="241">
        <v>4.0609100399999996</v>
      </c>
      <c r="AH179" s="241">
        <v>1.8525576151587311</v>
      </c>
      <c r="AI179" s="241">
        <v>11.216371686666667</v>
      </c>
      <c r="AJ179" s="241">
        <v>0.36146110000000004</v>
      </c>
      <c r="AK179" s="241">
        <v>0.60924673699999998</v>
      </c>
      <c r="AL179" s="241">
        <v>0.39806251283333333</v>
      </c>
      <c r="AM179" s="241">
        <v>4790.4965277777765</v>
      </c>
      <c r="AN179" s="241">
        <v>1.6361219893333334</v>
      </c>
      <c r="AO179" s="241">
        <v>110.45625</v>
      </c>
      <c r="AP179" s="241">
        <v>315.81354166666665</v>
      </c>
      <c r="AQ179" s="241">
        <v>290.27083333333331</v>
      </c>
      <c r="AR179" s="241">
        <v>194.12916666666669</v>
      </c>
      <c r="AS179" s="241">
        <v>260.33333333333331</v>
      </c>
      <c r="AT179" s="241">
        <v>1604.1816666666666</v>
      </c>
      <c r="AU179" s="241">
        <v>4867.8975</v>
      </c>
    </row>
    <row r="180" spans="1:47" s="291" customFormat="1" ht="15">
      <c r="A180" s="198" t="s">
        <v>172</v>
      </c>
      <c r="B180" s="241">
        <v>-15.646105850801851</v>
      </c>
      <c r="C180" s="241">
        <v>-15.891731907580676</v>
      </c>
      <c r="D180" s="241">
        <v>-19.496865586583091</v>
      </c>
      <c r="E180" s="241">
        <v>-11.335990829925924</v>
      </c>
      <c r="F180" s="241">
        <v>-4.6482488163369418</v>
      </c>
      <c r="G180" s="241">
        <v>-20.428947664525122</v>
      </c>
      <c r="H180" s="241">
        <v>-7.7920199975864186</v>
      </c>
      <c r="I180" s="241">
        <v>2.4107998832895383</v>
      </c>
      <c r="J180" s="241">
        <v>0.61612720045427505</v>
      </c>
      <c r="K180" s="241">
        <v>34.278296408284483</v>
      </c>
      <c r="L180" s="241">
        <v>6.7431574499579927</v>
      </c>
      <c r="M180" s="241">
        <v>0.19388576463623686</v>
      </c>
      <c r="N180" s="241">
        <v>10.900437022418918</v>
      </c>
      <c r="O180" s="241">
        <v>44.054947376383666</v>
      </c>
      <c r="P180" s="241">
        <v>3.3981727648885407</v>
      </c>
      <c r="Q180" s="241">
        <v>7.85589114637959</v>
      </c>
      <c r="R180" s="241">
        <v>-3.7984705122115159</v>
      </c>
      <c r="S180" s="241">
        <v>5.4921689888346892</v>
      </c>
      <c r="T180" s="241">
        <v>-2.3812270616494713</v>
      </c>
      <c r="U180" s="241">
        <v>-14.353312302839194</v>
      </c>
      <c r="V180" s="241">
        <v>-6.2381867165546279</v>
      </c>
      <c r="W180" s="241">
        <v>-22.833712984054657</v>
      </c>
      <c r="X180" s="241">
        <v>2.6338514680483538</v>
      </c>
      <c r="Y180" s="241">
        <v>3.4220532319391594</v>
      </c>
      <c r="Z180" s="241">
        <v>-1.4761246869873013</v>
      </c>
      <c r="AA180" s="241">
        <v>1.2110288178909023</v>
      </c>
      <c r="AB180" s="241">
        <v>-14.571831708949134</v>
      </c>
      <c r="AC180" s="241">
        <v>-18.496818949714246</v>
      </c>
      <c r="AD180" s="241">
        <v>0.20803740753871924</v>
      </c>
      <c r="AE180" s="241">
        <v>4.6227688615569473</v>
      </c>
      <c r="AF180" s="241">
        <v>31.672755741127201</v>
      </c>
      <c r="AG180" s="241">
        <v>-10.928433268858829</v>
      </c>
      <c r="AH180" s="241">
        <v>-6.9506077616019679</v>
      </c>
      <c r="AI180" s="241">
        <v>-15.125396207529318</v>
      </c>
      <c r="AJ180" s="241">
        <v>-0.3017406381589316</v>
      </c>
      <c r="AK180" s="241">
        <v>11.423963443316998</v>
      </c>
      <c r="AL180" s="241">
        <v>34.360659804043145</v>
      </c>
      <c r="AM180" s="241">
        <v>-2.3999903790988597</v>
      </c>
      <c r="AN180" s="241">
        <v>5.3917159763313682</v>
      </c>
      <c r="AO180" s="241">
        <v>-8.1937975099998344</v>
      </c>
      <c r="AP180" s="241">
        <v>-24.196980190469532</v>
      </c>
      <c r="AQ180" s="241">
        <v>-23.127427612994346</v>
      </c>
      <c r="AR180" s="241">
        <v>-30.153661644554376</v>
      </c>
      <c r="AS180" s="241">
        <v>-12.068735002920272</v>
      </c>
      <c r="AT180" s="241">
        <v>-3.634280244911825</v>
      </c>
      <c r="AU180" s="241">
        <v>-11.660724428767843</v>
      </c>
    </row>
    <row r="181" spans="1:47"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  <c r="AD181" s="201"/>
      <c r="AE181" s="201"/>
      <c r="AF181" s="201"/>
      <c r="AG181" s="201"/>
      <c r="AH181" s="201"/>
      <c r="AI181" s="201"/>
      <c r="AJ181" s="201"/>
      <c r="AK181" s="201"/>
      <c r="AL181" s="201"/>
      <c r="AM181" s="201"/>
      <c r="AN181" s="201"/>
      <c r="AO181" s="201"/>
      <c r="AP181" s="201"/>
      <c r="AQ181" s="201"/>
      <c r="AR181" s="201"/>
      <c r="AS181" s="201"/>
      <c r="AT181" s="201"/>
      <c r="AU181" s="201"/>
    </row>
    <row r="182" spans="1:47">
      <c r="A182" s="292">
        <v>2017</v>
      </c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  <c r="AI182" s="201"/>
      <c r="AJ182" s="201"/>
      <c r="AK182" s="201"/>
      <c r="AL182" s="201"/>
      <c r="AM182" s="201"/>
      <c r="AN182" s="201"/>
      <c r="AO182" s="201"/>
      <c r="AP182" s="201"/>
      <c r="AQ182" s="201"/>
      <c r="AR182" s="201"/>
      <c r="AS182" s="201"/>
      <c r="AT182" s="201"/>
      <c r="AU182" s="201"/>
    </row>
    <row r="183" spans="1:47">
      <c r="A183" s="288" t="s">
        <v>3</v>
      </c>
      <c r="B183" s="201">
        <v>53.59</v>
      </c>
      <c r="C183" s="201">
        <v>54.89</v>
      </c>
      <c r="D183" s="201">
        <v>53.37</v>
      </c>
      <c r="E183" s="201">
        <v>52.51</v>
      </c>
      <c r="F183" s="201">
        <v>3.2608000000000001</v>
      </c>
      <c r="G183" s="201">
        <v>74.2557723377504</v>
      </c>
      <c r="H183" s="201">
        <v>2.1940900000000001</v>
      </c>
      <c r="I183" s="201">
        <v>3.7172097819999999</v>
      </c>
      <c r="J183" s="201">
        <v>2.3880443840000001</v>
      </c>
      <c r="K183" s="201">
        <v>1818.64</v>
      </c>
      <c r="L183" s="201">
        <v>1643.64</v>
      </c>
      <c r="M183" s="201">
        <v>1427.78</v>
      </c>
      <c r="N183" s="201">
        <v>825</v>
      </c>
      <c r="O183" s="201">
        <v>1737.27</v>
      </c>
      <c r="P183" s="201">
        <v>412</v>
      </c>
      <c r="Q183" s="201">
        <v>876.85</v>
      </c>
      <c r="R183" s="201">
        <v>371.05</v>
      </c>
      <c r="S183" s="201">
        <v>890.82</v>
      </c>
      <c r="T183" s="201">
        <v>873</v>
      </c>
      <c r="U183" s="201">
        <v>91.859166666666695</v>
      </c>
      <c r="V183" s="201">
        <v>159.98761519999999</v>
      </c>
      <c r="W183" s="201">
        <v>156.197327</v>
      </c>
      <c r="X183" s="201">
        <v>377</v>
      </c>
      <c r="Y183" s="201">
        <v>369</v>
      </c>
      <c r="Z183" s="201">
        <v>355.91</v>
      </c>
      <c r="AA183" s="201">
        <v>336.55</v>
      </c>
      <c r="AB183" s="201">
        <v>173.606492016</v>
      </c>
      <c r="AC183" s="201">
        <v>153.2211039</v>
      </c>
      <c r="AD183" s="201">
        <v>0.83396158676874999</v>
      </c>
      <c r="AE183" s="201">
        <v>1.00241315625</v>
      </c>
      <c r="AF183" s="201">
        <v>0.93501277511551295</v>
      </c>
      <c r="AG183" s="201">
        <v>4.0747991460000001</v>
      </c>
      <c r="AH183" s="201">
        <v>1.9400656000000001</v>
      </c>
      <c r="AI183" s="201">
        <v>13.410703460000001</v>
      </c>
      <c r="AJ183" s="201">
        <v>0.34670875200000001</v>
      </c>
      <c r="AK183" s="201">
        <v>0.64904012799999999</v>
      </c>
      <c r="AL183" s="201">
        <v>0.448199246</v>
      </c>
      <c r="AM183" s="201">
        <v>4904.8833333333296</v>
      </c>
      <c r="AN183" s="201">
        <v>1.815063646</v>
      </c>
      <c r="AO183" s="201">
        <v>96.875</v>
      </c>
      <c r="AP183" s="201">
        <v>308</v>
      </c>
      <c r="AQ183" s="201">
        <v>270</v>
      </c>
      <c r="AR183" s="201">
        <v>233.75</v>
      </c>
      <c r="AS183" s="201">
        <v>206.5</v>
      </c>
      <c r="AT183" s="201">
        <v>1791.24</v>
      </c>
      <c r="AU183" s="201">
        <v>5754.56</v>
      </c>
    </row>
    <row r="184" spans="1:47">
      <c r="A184" s="288" t="s">
        <v>4</v>
      </c>
      <c r="B184" s="201">
        <v>54.353333333333303</v>
      </c>
      <c r="C184" s="201">
        <v>55.49</v>
      </c>
      <c r="D184" s="201">
        <v>54.17</v>
      </c>
      <c r="E184" s="201">
        <v>53.4</v>
      </c>
      <c r="F184" s="201">
        <v>2.8233000000000001</v>
      </c>
      <c r="G184" s="201">
        <v>68.754550643252301</v>
      </c>
      <c r="H184" s="201">
        <v>2.0340799999999999</v>
      </c>
      <c r="I184" s="201">
        <v>3.6673853699999999</v>
      </c>
      <c r="J184" s="201">
        <v>2.347699838</v>
      </c>
      <c r="K184" s="201">
        <v>1688.25</v>
      </c>
      <c r="L184" s="201">
        <v>1653.5</v>
      </c>
      <c r="M184" s="201">
        <v>1359.9</v>
      </c>
      <c r="N184" s="201">
        <v>808.61</v>
      </c>
      <c r="O184" s="201">
        <v>1566.5</v>
      </c>
      <c r="P184" s="201">
        <v>394.53120000000001</v>
      </c>
      <c r="Q184" s="201">
        <v>839.6</v>
      </c>
      <c r="R184" s="201">
        <v>373.6</v>
      </c>
      <c r="S184" s="201">
        <v>874.38</v>
      </c>
      <c r="T184" s="201">
        <v>873</v>
      </c>
      <c r="U184" s="201">
        <v>91.859166666666695</v>
      </c>
      <c r="V184" s="201">
        <v>162.8575424</v>
      </c>
      <c r="W184" s="201">
        <v>157.07917499999999</v>
      </c>
      <c r="X184" s="201">
        <v>367</v>
      </c>
      <c r="Y184" s="201">
        <v>361</v>
      </c>
      <c r="Z184" s="201">
        <v>348.75</v>
      </c>
      <c r="AA184" s="201">
        <v>335.34</v>
      </c>
      <c r="AB184" s="201">
        <v>181.00299278700001</v>
      </c>
      <c r="AC184" s="201">
        <v>155.05828740000001</v>
      </c>
      <c r="AD184" s="201">
        <v>0.83208504178249998</v>
      </c>
      <c r="AE184" s="201">
        <v>1.0540839375</v>
      </c>
      <c r="AF184" s="201">
        <v>0.90258672673659202</v>
      </c>
      <c r="AG184" s="201">
        <v>4.2262565399999996</v>
      </c>
      <c r="AH184" s="201">
        <v>1.9411679100000001</v>
      </c>
      <c r="AI184" s="201">
        <v>13.642188559999999</v>
      </c>
      <c r="AJ184" s="201">
        <v>0.34749249599999998</v>
      </c>
      <c r="AK184" s="201">
        <v>0.67439325800000005</v>
      </c>
      <c r="AL184" s="201">
        <v>0.44731739799999998</v>
      </c>
      <c r="AM184" s="201">
        <v>4870.4916666666704</v>
      </c>
      <c r="AN184" s="201">
        <v>1.8772339300000001</v>
      </c>
      <c r="AO184" s="201">
        <v>95</v>
      </c>
      <c r="AP184" s="201">
        <v>326</v>
      </c>
      <c r="AQ184" s="201">
        <v>278.75</v>
      </c>
      <c r="AR184" s="201">
        <v>191.875</v>
      </c>
      <c r="AS184" s="201">
        <v>301.5</v>
      </c>
      <c r="AT184" s="201">
        <v>1860.75</v>
      </c>
      <c r="AU184" s="201">
        <v>5940.91</v>
      </c>
    </row>
    <row r="185" spans="1:47">
      <c r="A185" s="288" t="s">
        <v>5</v>
      </c>
      <c r="B185" s="201">
        <v>50.9033333333333</v>
      </c>
      <c r="C185" s="201">
        <v>51.97</v>
      </c>
      <c r="D185" s="201">
        <v>51.16</v>
      </c>
      <c r="E185" s="201">
        <v>49.58</v>
      </c>
      <c r="F185" s="201">
        <v>2.8875000000000002</v>
      </c>
      <c r="G185" s="201">
        <v>64.424949059749807</v>
      </c>
      <c r="H185" s="201">
        <v>2.0638000000000001</v>
      </c>
      <c r="I185" s="201">
        <v>3.5306989299999998</v>
      </c>
      <c r="J185" s="201">
        <v>2.3529909259999999</v>
      </c>
      <c r="K185" s="201">
        <v>1542.39</v>
      </c>
      <c r="L185" s="201">
        <v>1641.3</v>
      </c>
      <c r="M185" s="201">
        <v>1398.98</v>
      </c>
      <c r="N185" s="201">
        <v>778.7</v>
      </c>
      <c r="O185" s="201">
        <v>1229.57</v>
      </c>
      <c r="P185" s="201">
        <v>383.68159200000002</v>
      </c>
      <c r="Q185" s="201">
        <v>814.94</v>
      </c>
      <c r="R185" s="201">
        <v>360.7</v>
      </c>
      <c r="S185" s="201">
        <v>847.32</v>
      </c>
      <c r="T185" s="201">
        <v>835.17</v>
      </c>
      <c r="U185" s="201">
        <v>93.696349999999995</v>
      </c>
      <c r="V185" s="201">
        <v>158.96404720000001</v>
      </c>
      <c r="W185" s="201">
        <v>151.126701</v>
      </c>
      <c r="X185" s="201">
        <v>370</v>
      </c>
      <c r="Y185" s="201">
        <v>364</v>
      </c>
      <c r="Z185" s="201">
        <v>358.43</v>
      </c>
      <c r="AA185" s="201">
        <v>343.56</v>
      </c>
      <c r="AB185" s="201">
        <v>176.53863688199999</v>
      </c>
      <c r="AC185" s="201">
        <v>154.32341400000001</v>
      </c>
      <c r="AD185" s="201">
        <v>0.849935574345</v>
      </c>
      <c r="AE185" s="201">
        <v>1.0678628125</v>
      </c>
      <c r="AF185" s="201">
        <v>0.92125947563995103</v>
      </c>
      <c r="AG185" s="201">
        <v>4.3461878680000003</v>
      </c>
      <c r="AH185" s="201">
        <v>2.1260205043478302</v>
      </c>
      <c r="AI185" s="201">
        <v>13.778874999999999</v>
      </c>
      <c r="AJ185" s="201">
        <v>0.34899467200000001</v>
      </c>
      <c r="AK185" s="201">
        <v>0.66028368999999998</v>
      </c>
      <c r="AL185" s="201">
        <v>0.39859529599999999</v>
      </c>
      <c r="AM185" s="201">
        <v>4864.7083333333303</v>
      </c>
      <c r="AN185" s="201">
        <v>1.9131692360000001</v>
      </c>
      <c r="AO185" s="201">
        <v>97.5</v>
      </c>
      <c r="AP185" s="201">
        <v>325.625</v>
      </c>
      <c r="AQ185" s="201">
        <v>288</v>
      </c>
      <c r="AR185" s="201">
        <v>223.5</v>
      </c>
      <c r="AS185" s="201">
        <v>206.5</v>
      </c>
      <c r="AT185" s="201">
        <v>1901.47</v>
      </c>
      <c r="AU185" s="201">
        <v>5824.63</v>
      </c>
    </row>
    <row r="186" spans="1:47">
      <c r="A186" s="288" t="s">
        <v>6</v>
      </c>
      <c r="B186" s="201">
        <v>52.163333333333298</v>
      </c>
      <c r="C186" s="201">
        <v>52.98</v>
      </c>
      <c r="D186" s="201">
        <v>52.45</v>
      </c>
      <c r="E186" s="201">
        <v>51.06</v>
      </c>
      <c r="F186" s="201">
        <v>3.0819999999999999</v>
      </c>
      <c r="G186" s="201">
        <v>67.184583077259603</v>
      </c>
      <c r="H186" s="201">
        <v>1.96116</v>
      </c>
      <c r="I186" s="201">
        <v>3.4259794800000001</v>
      </c>
      <c r="J186" s="201">
        <v>2.2835453960000001</v>
      </c>
      <c r="K186" s="201">
        <v>1589.72</v>
      </c>
      <c r="L186" s="201">
        <v>1600</v>
      </c>
      <c r="M186" s="201">
        <v>1421.4</v>
      </c>
      <c r="N186" s="201">
        <v>752.06</v>
      </c>
      <c r="O186" s="201">
        <v>1085.56</v>
      </c>
      <c r="P186" s="201">
        <v>387.44</v>
      </c>
      <c r="Q186" s="201">
        <v>794.04</v>
      </c>
      <c r="R186" s="201">
        <v>345.7</v>
      </c>
      <c r="S186" s="201">
        <v>839.33</v>
      </c>
      <c r="T186" s="201">
        <v>797.67</v>
      </c>
      <c r="U186" s="201">
        <v>94.155645833333296</v>
      </c>
      <c r="V186" s="201">
        <v>156.44055839999999</v>
      </c>
      <c r="W186" s="201">
        <v>149.80392900000001</v>
      </c>
      <c r="X186" s="201">
        <v>380</v>
      </c>
      <c r="Y186" s="201">
        <v>369</v>
      </c>
      <c r="Z186" s="201">
        <v>358.53</v>
      </c>
      <c r="AA186" s="201">
        <v>344.65</v>
      </c>
      <c r="AB186" s="201">
        <v>172.19186072100001</v>
      </c>
      <c r="AC186" s="201">
        <v>166.08138840000001</v>
      </c>
      <c r="AD186" s="201">
        <v>0.86942916885687505</v>
      </c>
      <c r="AE186" s="201">
        <v>1.0644180937500001</v>
      </c>
      <c r="AF186" s="201">
        <v>0.84937203722730203</v>
      </c>
      <c r="AG186" s="201">
        <v>4.4103423099999999</v>
      </c>
      <c r="AH186" s="201">
        <v>2.1605276</v>
      </c>
      <c r="AI186" s="201">
        <v>13.778874999999999</v>
      </c>
      <c r="AJ186" s="201">
        <v>0.34984372800000002</v>
      </c>
      <c r="AK186" s="201">
        <v>0.633166864</v>
      </c>
      <c r="AL186" s="201">
        <v>0.36288045200000002</v>
      </c>
      <c r="AM186" s="201">
        <v>4708.6166666666704</v>
      </c>
      <c r="AN186" s="201">
        <v>1.9189012480000001</v>
      </c>
      <c r="AO186" s="201">
        <v>95.625</v>
      </c>
      <c r="AP186" s="201">
        <v>313.125</v>
      </c>
      <c r="AQ186" s="201">
        <v>285</v>
      </c>
      <c r="AR186" s="201">
        <v>207.875</v>
      </c>
      <c r="AS186" s="201">
        <v>206.5</v>
      </c>
      <c r="AT186" s="201">
        <v>1921.22</v>
      </c>
      <c r="AU186" s="201">
        <v>5683.9</v>
      </c>
    </row>
    <row r="187" spans="1:47">
      <c r="A187" s="288" t="s">
        <v>7</v>
      </c>
      <c r="B187" s="201">
        <v>49.893333333333302</v>
      </c>
      <c r="C187" s="201">
        <v>50.87</v>
      </c>
      <c r="D187" s="201">
        <v>50.31</v>
      </c>
      <c r="E187" s="201">
        <v>48.5</v>
      </c>
      <c r="F187" s="201">
        <v>3.1248</v>
      </c>
      <c r="G187" s="201">
        <v>68.156310846394803</v>
      </c>
      <c r="H187" s="201">
        <v>1.9834799999999999</v>
      </c>
      <c r="I187" s="201">
        <v>3.3069299999999999</v>
      </c>
      <c r="J187" s="201">
        <v>2.1684642319999998</v>
      </c>
      <c r="K187" s="201">
        <v>1719.29</v>
      </c>
      <c r="L187" s="201">
        <v>1593.04</v>
      </c>
      <c r="M187" s="201">
        <v>1453.05</v>
      </c>
      <c r="N187" s="201">
        <v>762.75</v>
      </c>
      <c r="O187" s="201">
        <v>1098.57</v>
      </c>
      <c r="P187" s="201">
        <v>389.72</v>
      </c>
      <c r="Q187" s="201">
        <v>825.06</v>
      </c>
      <c r="R187" s="201">
        <v>344.35</v>
      </c>
      <c r="S187" s="201">
        <v>842.05</v>
      </c>
      <c r="T187" s="201">
        <v>795</v>
      </c>
      <c r="U187" s="201">
        <v>94.155645833333296</v>
      </c>
      <c r="V187" s="201">
        <v>158.5900512</v>
      </c>
      <c r="W187" s="201">
        <v>159.94518099999999</v>
      </c>
      <c r="X187" s="201">
        <v>421</v>
      </c>
      <c r="Y187" s="201">
        <v>399</v>
      </c>
      <c r="Z187" s="201">
        <v>394.95</v>
      </c>
      <c r="AA187" s="201">
        <v>345</v>
      </c>
      <c r="AB187" s="201">
        <v>174.97335654</v>
      </c>
      <c r="AC187" s="201">
        <v>180.41141970000001</v>
      </c>
      <c r="AD187" s="201">
        <v>0.91497765147249999</v>
      </c>
      <c r="AE187" s="201">
        <v>1.0850864062500001</v>
      </c>
      <c r="AF187" s="201">
        <v>0.75680175229563496</v>
      </c>
      <c r="AG187" s="201">
        <v>4.6041284080000002</v>
      </c>
      <c r="AH187" s="201">
        <v>2.3348930000000001</v>
      </c>
      <c r="AI187" s="201">
        <v>14.29255146</v>
      </c>
      <c r="AJ187" s="201">
        <v>0.36084880000000003</v>
      </c>
      <c r="AK187" s="201">
        <v>0.62655300400000002</v>
      </c>
      <c r="AL187" s="201">
        <v>0.354061972</v>
      </c>
      <c r="AM187" s="201">
        <v>4582.0583333333298</v>
      </c>
      <c r="AN187" s="201">
        <v>1.9541751679999999</v>
      </c>
      <c r="AO187" s="201">
        <v>92.5</v>
      </c>
      <c r="AP187" s="201">
        <v>309.25</v>
      </c>
      <c r="AQ187" s="201">
        <v>275</v>
      </c>
      <c r="AR187" s="201">
        <v>178.75</v>
      </c>
      <c r="AS187" s="201">
        <v>206.5</v>
      </c>
      <c r="AT187" s="201">
        <v>1913.02</v>
      </c>
      <c r="AU187" s="201">
        <v>5599.56</v>
      </c>
    </row>
    <row r="188" spans="1:47">
      <c r="A188" s="288" t="s">
        <v>8</v>
      </c>
      <c r="B188" s="201">
        <v>46.1666666666667</v>
      </c>
      <c r="C188" s="201">
        <v>46.89</v>
      </c>
      <c r="D188" s="201">
        <v>46.44</v>
      </c>
      <c r="E188" s="201">
        <v>45.17</v>
      </c>
      <c r="F188" s="201">
        <v>2.9409999999999998</v>
      </c>
      <c r="G188" s="201">
        <v>64.963197608736607</v>
      </c>
      <c r="H188" s="201">
        <v>1.9982500000000001</v>
      </c>
      <c r="I188" s="201">
        <v>3.157456764</v>
      </c>
      <c r="J188" s="201">
        <v>2.2476100899999998</v>
      </c>
      <c r="K188" s="201">
        <v>1869.76</v>
      </c>
      <c r="L188" s="201">
        <v>1592.27</v>
      </c>
      <c r="M188" s="201">
        <v>1463.07</v>
      </c>
      <c r="N188" s="201">
        <v>735.14</v>
      </c>
      <c r="O188" s="201">
        <v>1030.83</v>
      </c>
      <c r="P188" s="201">
        <v>378.59</v>
      </c>
      <c r="Q188" s="201">
        <v>832.95</v>
      </c>
      <c r="R188" s="201">
        <v>330.32</v>
      </c>
      <c r="S188" s="201">
        <v>847.47</v>
      </c>
      <c r="T188" s="201">
        <v>794.36</v>
      </c>
      <c r="U188" s="201">
        <v>94.155645833333296</v>
      </c>
      <c r="V188" s="201">
        <v>157.93260559999999</v>
      </c>
      <c r="W188" s="201">
        <v>165.015807</v>
      </c>
      <c r="X188" s="201">
        <v>458</v>
      </c>
      <c r="Y188" s="201">
        <v>430</v>
      </c>
      <c r="Z188" s="201">
        <v>440.86</v>
      </c>
      <c r="AA188" s="201">
        <v>357.18</v>
      </c>
      <c r="AB188" s="201">
        <v>183.36193640100001</v>
      </c>
      <c r="AC188" s="201">
        <v>189.5973372</v>
      </c>
      <c r="AD188" s="201">
        <v>0.93177443079050004</v>
      </c>
      <c r="AE188" s="201">
        <v>1.0954205625</v>
      </c>
      <c r="AF188" s="201">
        <v>0.72268299013510695</v>
      </c>
      <c r="AG188" s="201">
        <v>4.6784241020000001</v>
      </c>
      <c r="AH188" s="201">
        <v>2.4341008999999998</v>
      </c>
      <c r="AI188" s="201">
        <v>14.85693418</v>
      </c>
      <c r="AJ188" s="201">
        <v>0.36662891199999997</v>
      </c>
      <c r="AK188" s="201">
        <v>0.613545746</v>
      </c>
      <c r="AL188" s="201">
        <v>0.30644218000000001</v>
      </c>
      <c r="AM188" s="201">
        <v>4517.45</v>
      </c>
      <c r="AN188" s="201">
        <v>1.868635912</v>
      </c>
      <c r="AO188" s="201">
        <v>92.5</v>
      </c>
      <c r="AP188" s="201">
        <v>310.3</v>
      </c>
      <c r="AQ188" s="201">
        <v>275</v>
      </c>
      <c r="AR188" s="201">
        <v>191</v>
      </c>
      <c r="AS188" s="201">
        <v>206.5</v>
      </c>
      <c r="AT188" s="201">
        <v>1885.29</v>
      </c>
      <c r="AU188" s="201">
        <v>5719.76</v>
      </c>
    </row>
    <row r="189" spans="1:47">
      <c r="A189" s="288" t="s">
        <v>9</v>
      </c>
      <c r="B189" s="201">
        <v>47.656666666666702</v>
      </c>
      <c r="C189" s="201">
        <v>48.69</v>
      </c>
      <c r="D189" s="201">
        <v>47.63</v>
      </c>
      <c r="E189" s="201">
        <v>46.65</v>
      </c>
      <c r="F189" s="201">
        <v>2.9613999999999998</v>
      </c>
      <c r="G189" s="201">
        <v>65.751455615487302</v>
      </c>
      <c r="H189" s="201">
        <v>1.98858</v>
      </c>
      <c r="I189" s="201">
        <v>3.2994342919999999</v>
      </c>
      <c r="J189" s="201">
        <v>2.313528228</v>
      </c>
      <c r="K189" s="201">
        <v>1644.05</v>
      </c>
      <c r="L189" s="201">
        <v>1485.71</v>
      </c>
      <c r="M189" s="201">
        <v>1496.94</v>
      </c>
      <c r="N189" s="201">
        <v>720.48</v>
      </c>
      <c r="O189" s="201">
        <v>1033.57</v>
      </c>
      <c r="P189" s="201">
        <v>410.23</v>
      </c>
      <c r="Q189" s="201">
        <v>835.6</v>
      </c>
      <c r="R189" s="201">
        <v>340.86</v>
      </c>
      <c r="S189" s="201">
        <v>905.99</v>
      </c>
      <c r="T189" s="201">
        <v>793</v>
      </c>
      <c r="U189" s="201">
        <v>94.155645833333296</v>
      </c>
      <c r="V189" s="201">
        <v>157.511368</v>
      </c>
      <c r="W189" s="201">
        <v>163.69303500000001</v>
      </c>
      <c r="X189" s="201">
        <v>417</v>
      </c>
      <c r="Y189" s="201">
        <v>399</v>
      </c>
      <c r="Z189" s="201">
        <v>397.43</v>
      </c>
      <c r="AA189" s="201">
        <v>385.87</v>
      </c>
      <c r="AB189" s="201">
        <v>201.77051507100001</v>
      </c>
      <c r="AC189" s="201">
        <v>202.4576217</v>
      </c>
      <c r="AD189" s="201">
        <v>0.93605395646125</v>
      </c>
      <c r="AE189" s="201">
        <v>1.0954205625</v>
      </c>
      <c r="AF189" s="201">
        <v>0.696922002271265</v>
      </c>
      <c r="AG189" s="201">
        <v>4.6660782300000001</v>
      </c>
      <c r="AH189" s="201">
        <v>2.3457156800000001</v>
      </c>
      <c r="AI189" s="201">
        <v>14.72906622</v>
      </c>
      <c r="AJ189" s="201">
        <v>0.37577259200000002</v>
      </c>
      <c r="AK189" s="201">
        <v>0.589294926</v>
      </c>
      <c r="AL189" s="201">
        <v>0.32231544400000001</v>
      </c>
      <c r="AM189" s="201">
        <v>4515.0083333333296</v>
      </c>
      <c r="AN189" s="201">
        <v>1.853864958</v>
      </c>
      <c r="AO189" s="201">
        <v>92.5</v>
      </c>
      <c r="AP189" s="201">
        <v>313.75</v>
      </c>
      <c r="AQ189" s="201">
        <v>275.75</v>
      </c>
      <c r="AR189" s="201">
        <v>181</v>
      </c>
      <c r="AS189" s="201">
        <v>207.25</v>
      </c>
      <c r="AT189" s="201">
        <v>1902.96</v>
      </c>
      <c r="AU189" s="201">
        <v>5985.12</v>
      </c>
    </row>
    <row r="190" spans="1:47">
      <c r="A190" s="288" t="s">
        <v>10</v>
      </c>
      <c r="B190" s="201">
        <v>49.9433333333333</v>
      </c>
      <c r="C190" s="201">
        <v>51.37</v>
      </c>
      <c r="D190" s="201">
        <v>50.43</v>
      </c>
      <c r="E190" s="201">
        <v>48.03</v>
      </c>
      <c r="F190" s="201">
        <v>2.8757000000000001</v>
      </c>
      <c r="G190" s="201">
        <v>66.996449707880302</v>
      </c>
      <c r="H190" s="201">
        <v>1.9885600000000001</v>
      </c>
      <c r="I190" s="201">
        <v>3.304284456</v>
      </c>
      <c r="J190" s="201">
        <v>2.3042688240000002</v>
      </c>
      <c r="K190" s="201">
        <v>1845</v>
      </c>
      <c r="L190" s="201">
        <v>1432.61</v>
      </c>
      <c r="M190" s="201">
        <v>1510.17</v>
      </c>
      <c r="N190" s="201">
        <v>717.95</v>
      </c>
      <c r="O190" s="201">
        <v>1174.3499999999999</v>
      </c>
      <c r="P190" s="201">
        <v>392.87</v>
      </c>
      <c r="Q190" s="201">
        <v>861.72</v>
      </c>
      <c r="R190" s="201">
        <v>330.17</v>
      </c>
      <c r="S190" s="201">
        <v>875.36</v>
      </c>
      <c r="T190" s="201">
        <v>815.74</v>
      </c>
      <c r="U190" s="201">
        <v>96.452124999999995</v>
      </c>
      <c r="V190" s="201">
        <v>148.49609599999999</v>
      </c>
      <c r="W190" s="201">
        <v>169.865971</v>
      </c>
      <c r="X190" s="201">
        <v>393</v>
      </c>
      <c r="Y190" s="201">
        <v>381</v>
      </c>
      <c r="Z190" s="201">
        <v>376.14</v>
      </c>
      <c r="AA190" s="201">
        <v>390.37</v>
      </c>
      <c r="AB190" s="201">
        <v>172.68422589900001</v>
      </c>
      <c r="AC190" s="201">
        <v>171.22550219999999</v>
      </c>
      <c r="AD190" s="201">
        <v>0.93543700733312496</v>
      </c>
      <c r="AE190" s="201">
        <v>1.0954205625</v>
      </c>
      <c r="AF190" s="201">
        <v>0.71697008112218097</v>
      </c>
      <c r="AG190" s="201">
        <v>4.4738353660000003</v>
      </c>
      <c r="AH190" s="201">
        <v>2.1921591043478301</v>
      </c>
      <c r="AI190" s="201">
        <v>12.8419115</v>
      </c>
      <c r="AJ190" s="201">
        <v>0.38556939200000001</v>
      </c>
      <c r="AK190" s="201">
        <v>0.55358008199999997</v>
      </c>
      <c r="AL190" s="201">
        <v>0.31680389399999997</v>
      </c>
      <c r="AM190" s="201">
        <v>4432.1916666666702</v>
      </c>
      <c r="AN190" s="201">
        <v>1.749145508</v>
      </c>
      <c r="AO190" s="201">
        <v>88.75</v>
      </c>
      <c r="AP190" s="201">
        <v>320.75</v>
      </c>
      <c r="AQ190" s="201">
        <v>280.5</v>
      </c>
      <c r="AR190" s="201">
        <v>192.625</v>
      </c>
      <c r="AS190" s="201">
        <v>215.5</v>
      </c>
      <c r="AT190" s="201">
        <v>2030.01</v>
      </c>
      <c r="AU190" s="201">
        <v>6485.63</v>
      </c>
    </row>
    <row r="191" spans="1:47">
      <c r="A191" s="288" t="s">
        <v>11</v>
      </c>
      <c r="B191" s="201">
        <v>52.95</v>
      </c>
      <c r="C191" s="201">
        <v>55.16</v>
      </c>
      <c r="D191" s="201">
        <v>53.86</v>
      </c>
      <c r="E191" s="201">
        <v>49.83</v>
      </c>
      <c r="F191" s="201">
        <v>2.9630000000000001</v>
      </c>
      <c r="G191" s="201">
        <v>70.174880739402596</v>
      </c>
      <c r="H191" s="201">
        <v>1.9983</v>
      </c>
      <c r="I191" s="201">
        <v>3.2310910719999999</v>
      </c>
      <c r="J191" s="201">
        <v>2.186542116</v>
      </c>
      <c r="K191" s="201">
        <v>1600.95</v>
      </c>
      <c r="L191" s="201">
        <v>1382.14</v>
      </c>
      <c r="M191" s="201">
        <v>1504.65</v>
      </c>
      <c r="N191" s="201">
        <v>754.25</v>
      </c>
      <c r="O191" s="201">
        <v>1336.05</v>
      </c>
      <c r="P191" s="201">
        <v>393.95</v>
      </c>
      <c r="Q191" s="201">
        <v>889.44</v>
      </c>
      <c r="R191" s="201">
        <v>342.07</v>
      </c>
      <c r="S191" s="201">
        <v>872.87</v>
      </c>
      <c r="T191" s="201">
        <v>822.24</v>
      </c>
      <c r="U191" s="201">
        <v>96.452124999999995</v>
      </c>
      <c r="V191" s="201">
        <v>147.2914352</v>
      </c>
      <c r="W191" s="201">
        <v>169.75574</v>
      </c>
      <c r="X191" s="201">
        <v>402</v>
      </c>
      <c r="Y191" s="201">
        <v>388</v>
      </c>
      <c r="Z191" s="201">
        <v>384.81</v>
      </c>
      <c r="AA191" s="201">
        <v>382</v>
      </c>
      <c r="AB191" s="201">
        <v>176.898724848</v>
      </c>
      <c r="AC191" s="201">
        <v>178.5742362</v>
      </c>
      <c r="AD191" s="201">
        <v>0.9260196009735</v>
      </c>
      <c r="AE191" s="201">
        <v>1.0952001005000001</v>
      </c>
      <c r="AF191" s="201">
        <v>0.78901621145185497</v>
      </c>
      <c r="AG191" s="201">
        <v>4.3012136200000004</v>
      </c>
      <c r="AH191" s="201">
        <v>2.1142305800000001</v>
      </c>
      <c r="AI191" s="201">
        <v>12.12541</v>
      </c>
      <c r="AJ191" s="201">
        <v>0.38925952000000003</v>
      </c>
      <c r="AK191" s="201">
        <v>0.59414509000000004</v>
      </c>
      <c r="AL191" s="201">
        <v>0.31724481799999998</v>
      </c>
      <c r="AM191" s="201">
        <v>4395.3583333333299</v>
      </c>
      <c r="AN191" s="201">
        <v>1.7769237200000001</v>
      </c>
      <c r="AO191" s="201">
        <v>85</v>
      </c>
      <c r="AP191" s="201">
        <v>325.89999999999998</v>
      </c>
      <c r="AQ191" s="201">
        <v>283.2</v>
      </c>
      <c r="AR191" s="201">
        <v>219</v>
      </c>
      <c r="AS191" s="201">
        <v>215.5</v>
      </c>
      <c r="AT191" s="201">
        <v>2096.4899999999998</v>
      </c>
      <c r="AU191" s="201">
        <v>6577.17</v>
      </c>
    </row>
    <row r="192" spans="1:47">
      <c r="A192" s="288" t="s">
        <v>12</v>
      </c>
      <c r="B192" s="201">
        <v>54.92</v>
      </c>
      <c r="C192" s="201">
        <v>57.62</v>
      </c>
      <c r="D192" s="201">
        <v>55.58</v>
      </c>
      <c r="E192" s="201">
        <v>51.56</v>
      </c>
      <c r="F192" s="201">
        <v>2.8637999999999999</v>
      </c>
      <c r="G192" s="201">
        <v>69.770865285297802</v>
      </c>
      <c r="H192" s="201">
        <v>2.0970499999999999</v>
      </c>
      <c r="I192" s="201">
        <v>3.102120802</v>
      </c>
      <c r="J192" s="201">
        <v>2.1691256179999998</v>
      </c>
      <c r="K192" s="201">
        <v>1484.77</v>
      </c>
      <c r="L192" s="201">
        <v>1325</v>
      </c>
      <c r="M192" s="201">
        <v>1481.11</v>
      </c>
      <c r="N192" s="201">
        <v>746.79</v>
      </c>
      <c r="O192" s="201">
        <v>1418.86</v>
      </c>
      <c r="P192" s="201">
        <v>396.52</v>
      </c>
      <c r="Q192" s="201">
        <v>880.6</v>
      </c>
      <c r="R192" s="201">
        <v>353.27</v>
      </c>
      <c r="S192" s="201">
        <v>897.25</v>
      </c>
      <c r="T192" s="201">
        <v>804.82</v>
      </c>
      <c r="U192" s="201">
        <v>96.452124999999995</v>
      </c>
      <c r="V192" s="201">
        <v>148.62207359999999</v>
      </c>
      <c r="W192" s="201">
        <v>170.96828099999999</v>
      </c>
      <c r="X192" s="201">
        <v>394</v>
      </c>
      <c r="Y192" s="201">
        <v>379</v>
      </c>
      <c r="Z192" s="201">
        <v>375.68</v>
      </c>
      <c r="AA192" s="201">
        <v>376.19</v>
      </c>
      <c r="AB192" s="201">
        <v>177.00528149100001</v>
      </c>
      <c r="AC192" s="201">
        <v>175.63474260000001</v>
      </c>
      <c r="AD192" s="201">
        <v>0.92183663765875001</v>
      </c>
      <c r="AE192" s="201">
        <v>1.0816416874999999</v>
      </c>
      <c r="AF192" s="201">
        <v>0.82186543827617897</v>
      </c>
      <c r="AG192" s="201">
        <v>4.2509482839999997</v>
      </c>
      <c r="AH192" s="201">
        <v>1.9771433</v>
      </c>
      <c r="AI192" s="201">
        <v>11.953449640000001</v>
      </c>
      <c r="AJ192" s="201">
        <v>0.38400190400000001</v>
      </c>
      <c r="AK192" s="201">
        <v>0.59723155800000005</v>
      </c>
      <c r="AL192" s="201">
        <v>0.31614250799999999</v>
      </c>
      <c r="AM192" s="201">
        <v>4513.1416666666701</v>
      </c>
      <c r="AN192" s="201">
        <v>1.7328313200000001</v>
      </c>
      <c r="AO192" s="201">
        <v>80</v>
      </c>
      <c r="AP192" s="201">
        <v>322.375</v>
      </c>
      <c r="AQ192" s="201">
        <v>283.5</v>
      </c>
      <c r="AR192" s="201">
        <v>252.5</v>
      </c>
      <c r="AS192" s="201">
        <v>215.5</v>
      </c>
      <c r="AT192" s="201">
        <v>2131.4899999999998</v>
      </c>
      <c r="AU192" s="201">
        <v>6807.6</v>
      </c>
    </row>
    <row r="193" spans="1:47">
      <c r="A193" s="288" t="s">
        <v>13</v>
      </c>
      <c r="B193" s="201">
        <v>59.933333333333302</v>
      </c>
      <c r="C193" s="201">
        <v>62.57</v>
      </c>
      <c r="D193" s="201">
        <v>60.58</v>
      </c>
      <c r="E193" s="201">
        <v>56.65</v>
      </c>
      <c r="F193" s="201">
        <v>2.9912999999999998</v>
      </c>
      <c r="G193" s="201">
        <v>73.875686615534093</v>
      </c>
      <c r="H193" s="201">
        <v>2.1278999999999999</v>
      </c>
      <c r="I193" s="201">
        <v>3.10630958</v>
      </c>
      <c r="J193" s="201">
        <v>2.0134794459999998</v>
      </c>
      <c r="K193" s="201">
        <v>1554.32</v>
      </c>
      <c r="L193" s="201">
        <v>1259.55</v>
      </c>
      <c r="M193" s="201">
        <v>1502.29</v>
      </c>
      <c r="N193" s="201">
        <v>728.86</v>
      </c>
      <c r="O193" s="201">
        <v>1444.77</v>
      </c>
      <c r="P193" s="201">
        <v>393.85</v>
      </c>
      <c r="Q193" s="201">
        <v>886.77</v>
      </c>
      <c r="R193" s="201">
        <v>350.91</v>
      </c>
      <c r="S193" s="201">
        <v>962.98</v>
      </c>
      <c r="T193" s="201">
        <v>809.86</v>
      </c>
      <c r="U193" s="201">
        <v>108.39381666666701</v>
      </c>
      <c r="V193" s="201">
        <v>148.7047464</v>
      </c>
      <c r="W193" s="201">
        <v>167.661351</v>
      </c>
      <c r="X193" s="201">
        <v>402</v>
      </c>
      <c r="Y193" s="201">
        <v>386</v>
      </c>
      <c r="Z193" s="201">
        <v>378.82</v>
      </c>
      <c r="AA193" s="201">
        <v>379.01</v>
      </c>
      <c r="AB193" s="201">
        <v>175.664137536</v>
      </c>
      <c r="AC193" s="201">
        <v>179.67654630000001</v>
      </c>
      <c r="AD193" s="201">
        <v>0.92527722274625002</v>
      </c>
      <c r="AE193" s="201">
        <v>1.0781969687499999</v>
      </c>
      <c r="AF193" s="201">
        <v>0.85847037380344304</v>
      </c>
      <c r="AG193" s="201">
        <v>4.3314169140000001</v>
      </c>
      <c r="AH193" s="201">
        <v>1.9621118</v>
      </c>
      <c r="AI193" s="201">
        <v>12.17391164</v>
      </c>
      <c r="AJ193" s="201">
        <v>0.383348784</v>
      </c>
      <c r="AK193" s="201">
        <v>0.60164079800000003</v>
      </c>
      <c r="AL193" s="201">
        <v>0.33047253799999998</v>
      </c>
      <c r="AM193" s="201">
        <v>4594.4833333333299</v>
      </c>
      <c r="AN193" s="201">
        <v>1.772734942</v>
      </c>
      <c r="AO193" s="201">
        <v>80</v>
      </c>
      <c r="AP193" s="201">
        <v>344</v>
      </c>
      <c r="AQ193" s="201">
        <v>295</v>
      </c>
      <c r="AR193" s="201">
        <v>280</v>
      </c>
      <c r="AS193" s="201">
        <v>215.5</v>
      </c>
      <c r="AT193" s="201">
        <v>2097.44</v>
      </c>
      <c r="AU193" s="201">
        <v>6826.55</v>
      </c>
    </row>
    <row r="194" spans="1:47">
      <c r="A194" s="288" t="s">
        <v>14</v>
      </c>
      <c r="B194" s="201">
        <v>61.186666666666703</v>
      </c>
      <c r="C194" s="201">
        <v>64.209999999999994</v>
      </c>
      <c r="D194" s="201">
        <v>61.41</v>
      </c>
      <c r="E194" s="201">
        <v>57.94</v>
      </c>
      <c r="F194" s="201">
        <v>2.7583000000000002</v>
      </c>
      <c r="G194" s="201">
        <v>73.2917274636374</v>
      </c>
      <c r="H194" s="201">
        <v>1.9176800000000001</v>
      </c>
      <c r="I194" s="201">
        <v>3.0295888039999999</v>
      </c>
      <c r="J194" s="201">
        <v>1.931026658</v>
      </c>
      <c r="K194" s="201">
        <v>1450.66</v>
      </c>
      <c r="L194" s="201">
        <v>1231.43</v>
      </c>
      <c r="M194" s="201">
        <v>1510.17</v>
      </c>
      <c r="N194" s="201">
        <v>679.17</v>
      </c>
      <c r="O194" s="201">
        <v>1305.6600000000001</v>
      </c>
      <c r="P194" s="201">
        <v>387.15454999999997</v>
      </c>
      <c r="Q194" s="201">
        <v>867.19</v>
      </c>
      <c r="R194" s="201">
        <v>359.9</v>
      </c>
      <c r="S194" s="201">
        <v>901.97</v>
      </c>
      <c r="T194" s="201">
        <v>800.76</v>
      </c>
      <c r="U194" s="201">
        <v>119.87621249999999</v>
      </c>
      <c r="V194" s="201">
        <v>148.98032240000001</v>
      </c>
      <c r="W194" s="201">
        <v>175.157059</v>
      </c>
      <c r="X194" s="201">
        <v>406</v>
      </c>
      <c r="Y194" s="201">
        <v>391</v>
      </c>
      <c r="Z194" s="201">
        <v>388.5</v>
      </c>
      <c r="AA194" s="201">
        <v>383.24</v>
      </c>
      <c r="AB194" s="201">
        <v>172.49315881499999</v>
      </c>
      <c r="AC194" s="201">
        <v>184.0857867</v>
      </c>
      <c r="AD194" s="201">
        <v>0.91247520108937497</v>
      </c>
      <c r="AE194" s="201">
        <v>1.0954205625</v>
      </c>
      <c r="AF194" s="201">
        <v>0.77346440358333501</v>
      </c>
      <c r="AG194" s="201">
        <v>4.2833561979999999</v>
      </c>
      <c r="AH194" s="201">
        <v>1.9655927789473699</v>
      </c>
      <c r="AI194" s="201">
        <v>12.235640999999999</v>
      </c>
      <c r="AJ194" s="201">
        <v>0.38658172800000001</v>
      </c>
      <c r="AK194" s="201">
        <v>0.59370416599999998</v>
      </c>
      <c r="AL194" s="201">
        <v>0.31702435600000001</v>
      </c>
      <c r="AM194" s="201">
        <v>4629.9833333333299</v>
      </c>
      <c r="AN194" s="201">
        <v>1.8831864039999999</v>
      </c>
      <c r="AO194" s="201">
        <v>80</v>
      </c>
      <c r="AP194" s="201">
        <v>357.25</v>
      </c>
      <c r="AQ194" s="201">
        <v>308.75</v>
      </c>
      <c r="AR194" s="201">
        <v>214.625</v>
      </c>
      <c r="AS194" s="201">
        <v>215.5</v>
      </c>
      <c r="AT194" s="201">
        <v>2080.4699999999998</v>
      </c>
      <c r="AU194" s="201">
        <v>6833.89</v>
      </c>
    </row>
    <row r="195" spans="1:47" s="291" customFormat="1" ht="15">
      <c r="A195" s="198" t="s">
        <v>1</v>
      </c>
      <c r="B195" s="241">
        <v>52.804999999999986</v>
      </c>
      <c r="C195" s="241">
        <v>54.392500000000005</v>
      </c>
      <c r="D195" s="241">
        <v>53.115833333333335</v>
      </c>
      <c r="E195" s="241">
        <v>50.906666666666659</v>
      </c>
      <c r="F195" s="241">
        <v>2.9610749999999997</v>
      </c>
      <c r="G195" s="241">
        <v>68.966702416698581</v>
      </c>
      <c r="H195" s="241">
        <v>2.0294108333333338</v>
      </c>
      <c r="I195" s="241">
        <v>3.3232074443333333</v>
      </c>
      <c r="J195" s="241">
        <v>2.225527146333333</v>
      </c>
      <c r="K195" s="241">
        <v>1650.6499999999999</v>
      </c>
      <c r="L195" s="241">
        <v>1486.6824999999999</v>
      </c>
      <c r="M195" s="241">
        <v>1460.7925000000002</v>
      </c>
      <c r="N195" s="241">
        <v>750.81333333333339</v>
      </c>
      <c r="O195" s="241">
        <v>1288.4633333333334</v>
      </c>
      <c r="P195" s="241">
        <v>393.37811183333338</v>
      </c>
      <c r="Q195" s="241">
        <v>850.39666666666687</v>
      </c>
      <c r="R195" s="241">
        <v>350.24166666666673</v>
      </c>
      <c r="S195" s="241">
        <v>879.81583333333322</v>
      </c>
      <c r="T195" s="241">
        <v>817.8850000000001</v>
      </c>
      <c r="U195" s="241">
        <v>97.638639236111146</v>
      </c>
      <c r="V195" s="241">
        <v>154.53153846666666</v>
      </c>
      <c r="W195" s="241">
        <v>163.02246308333335</v>
      </c>
      <c r="X195" s="241">
        <v>398.91666666666669</v>
      </c>
      <c r="Y195" s="241">
        <v>384.66666666666669</v>
      </c>
      <c r="Z195" s="241">
        <v>379.90083333333331</v>
      </c>
      <c r="AA195" s="241">
        <v>363.24666666666661</v>
      </c>
      <c r="AB195" s="241">
        <v>178.18260991725001</v>
      </c>
      <c r="AC195" s="241">
        <v>174.19561552499999</v>
      </c>
      <c r="AD195" s="241">
        <v>0.89910525668986452</v>
      </c>
      <c r="AE195" s="241">
        <v>1.0758821177499998</v>
      </c>
      <c r="AF195" s="241">
        <v>0.81203535563819651</v>
      </c>
      <c r="AG195" s="241">
        <v>4.3872489155000007</v>
      </c>
      <c r="AH195" s="241">
        <v>2.1244773964702532</v>
      </c>
      <c r="AI195" s="241">
        <v>13.318293138333331</v>
      </c>
      <c r="AJ195" s="241">
        <v>0.36875427333333333</v>
      </c>
      <c r="AK195" s="241">
        <v>0.61554827583333327</v>
      </c>
      <c r="AL195" s="241">
        <v>0.35312500849999995</v>
      </c>
      <c r="AM195" s="241">
        <v>4627.364583333333</v>
      </c>
      <c r="AN195" s="241">
        <v>1.8429888326666666</v>
      </c>
      <c r="AO195" s="241">
        <v>89.6875</v>
      </c>
      <c r="AP195" s="241">
        <v>323.02708333333334</v>
      </c>
      <c r="AQ195" s="241">
        <v>283.20416666666665</v>
      </c>
      <c r="AR195" s="241">
        <v>213.875</v>
      </c>
      <c r="AS195" s="241">
        <v>218.22916666666666</v>
      </c>
      <c r="AT195" s="241">
        <v>1967.6541666666669</v>
      </c>
      <c r="AU195" s="241">
        <v>6169.94</v>
      </c>
    </row>
    <row r="196" spans="1:47" s="291" customFormat="1" ht="15">
      <c r="A196" s="198" t="s">
        <v>172</v>
      </c>
      <c r="B196" s="241">
        <v>23.341746527124418</v>
      </c>
      <c r="C196" s="241">
        <v>23.486009421647069</v>
      </c>
      <c r="D196" s="241">
        <v>28.91931797496008</v>
      </c>
      <c r="E196" s="241">
        <v>17.873613121080535</v>
      </c>
      <c r="F196" s="241">
        <v>18.812904174998124</v>
      </c>
      <c r="G196" s="241">
        <v>21.093873067933689</v>
      </c>
      <c r="H196" s="241">
        <v>-29.796674117605669</v>
      </c>
      <c r="I196" s="241">
        <v>-7.9718145048459537</v>
      </c>
      <c r="J196" s="241">
        <v>13.946816415987051</v>
      </c>
      <c r="K196" s="241">
        <v>11.39667921166707</v>
      </c>
      <c r="L196" s="241">
        <v>6.7358109205224226</v>
      </c>
      <c r="M196" s="241">
        <v>5.8061622796825585</v>
      </c>
      <c r="N196" s="241">
        <v>2.0538169823887342</v>
      </c>
      <c r="O196" s="241">
        <v>-0.98790778331988571</v>
      </c>
      <c r="P196" s="241">
        <v>-2.9768066560199813</v>
      </c>
      <c r="Q196" s="241">
        <v>4.3438961219558925</v>
      </c>
      <c r="R196" s="241">
        <v>-6.5178805766980652</v>
      </c>
      <c r="S196" s="241">
        <v>6.2911133707175049</v>
      </c>
      <c r="T196" s="241">
        <v>-5.6998323380909488</v>
      </c>
      <c r="U196" s="241">
        <v>-6.0405156537752909</v>
      </c>
      <c r="V196" s="241">
        <v>-2.9085969642253628</v>
      </c>
      <c r="W196" s="241">
        <v>4.776242767741179</v>
      </c>
      <c r="X196" s="241">
        <v>0.69415229280604951</v>
      </c>
      <c r="Y196" s="241">
        <v>-0.17301038062282892</v>
      </c>
      <c r="Z196" s="241">
        <v>-0.11415375042177489</v>
      </c>
      <c r="AA196" s="241">
        <v>2.0078817549541661</v>
      </c>
      <c r="AB196" s="241">
        <v>1.0656755559801168</v>
      </c>
      <c r="AC196" s="241">
        <v>4.5387725101065923</v>
      </c>
      <c r="AD196" s="241">
        <v>-0.68154402448288298</v>
      </c>
      <c r="AE196" s="241">
        <v>7.4646175020070649</v>
      </c>
      <c r="AF196" s="241">
        <v>-8.7272330895613486</v>
      </c>
      <c r="AG196" s="241">
        <v>8.036102062975047</v>
      </c>
      <c r="AH196" s="241">
        <v>14.678074197882562</v>
      </c>
      <c r="AI196" s="241">
        <v>18.739762825132654</v>
      </c>
      <c r="AJ196" s="241">
        <v>2.0176924524750506</v>
      </c>
      <c r="AK196" s="241">
        <v>1.0343163862251981</v>
      </c>
      <c r="AL196" s="241">
        <v>-11.289057091429378</v>
      </c>
      <c r="AM196" s="241">
        <v>-3.4053243436984015</v>
      </c>
      <c r="AN196" s="241">
        <v>12.643729787998549</v>
      </c>
      <c r="AO196" s="241">
        <v>-18.802693374073442</v>
      </c>
      <c r="AP196" s="241">
        <v>2.2841141100530704</v>
      </c>
      <c r="AQ196" s="241">
        <v>-2.4345080025837906</v>
      </c>
      <c r="AR196" s="241">
        <v>10.171492348307609</v>
      </c>
      <c r="AS196" s="241">
        <v>-16.173175416133155</v>
      </c>
      <c r="AT196" s="241">
        <v>22.657814108751207</v>
      </c>
      <c r="AU196" s="241">
        <v>26.747533200935301</v>
      </c>
    </row>
    <row r="197" spans="1:47"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1"/>
      <c r="AD197" s="201"/>
      <c r="AE197" s="201"/>
      <c r="AF197" s="201"/>
      <c r="AG197" s="201"/>
      <c r="AH197" s="201"/>
      <c r="AI197" s="201"/>
      <c r="AJ197" s="201"/>
      <c r="AK197" s="201"/>
      <c r="AL197" s="201"/>
      <c r="AM197" s="201"/>
      <c r="AN197" s="201"/>
      <c r="AO197" s="201"/>
      <c r="AP197" s="201"/>
      <c r="AQ197" s="201"/>
      <c r="AR197" s="201"/>
      <c r="AS197" s="201"/>
      <c r="AT197" s="201"/>
      <c r="AU197" s="201"/>
    </row>
    <row r="198" spans="1:47">
      <c r="A198" s="292">
        <v>2018</v>
      </c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</row>
    <row r="199" spans="1:47">
      <c r="A199" s="288" t="s">
        <v>3</v>
      </c>
      <c r="B199" s="201">
        <v>66.226666666669999</v>
      </c>
      <c r="C199" s="201">
        <v>68.989999999999995</v>
      </c>
      <c r="D199" s="201">
        <v>66.02</v>
      </c>
      <c r="E199" s="201">
        <v>63.67</v>
      </c>
      <c r="F199" s="201">
        <v>3.8555999999999999</v>
      </c>
      <c r="G199" s="201">
        <v>84.821629275619998</v>
      </c>
      <c r="H199" s="201">
        <v>1.95183</v>
      </c>
      <c r="I199" s="201">
        <v>3.0602330219999998</v>
      </c>
      <c r="J199" s="201">
        <v>1.9543956300000001</v>
      </c>
      <c r="K199" s="201">
        <v>1393.86</v>
      </c>
      <c r="L199" s="201">
        <v>1180.22</v>
      </c>
      <c r="M199" s="201">
        <v>1433</v>
      </c>
      <c r="N199" s="201">
        <v>703.45</v>
      </c>
      <c r="O199" s="201">
        <v>1265</v>
      </c>
      <c r="P199" s="201">
        <v>389.53</v>
      </c>
      <c r="Q199" s="201">
        <v>870.5</v>
      </c>
      <c r="R199" s="201">
        <v>375.74</v>
      </c>
      <c r="S199" s="201">
        <v>848.38</v>
      </c>
      <c r="T199" s="201">
        <v>799.04</v>
      </c>
      <c r="U199" s="201">
        <v>121.71339583333</v>
      </c>
      <c r="V199" s="201">
        <v>155.83822799999999</v>
      </c>
      <c r="W199" s="201">
        <v>178.463989</v>
      </c>
      <c r="X199" s="201">
        <v>442</v>
      </c>
      <c r="Y199" s="201">
        <v>422</v>
      </c>
      <c r="Z199" s="201">
        <v>410.83</v>
      </c>
      <c r="AA199" s="201">
        <v>380.94</v>
      </c>
      <c r="AB199" s="201">
        <v>178.34275107900001</v>
      </c>
      <c r="AC199" s="201">
        <v>192.16939410000001</v>
      </c>
      <c r="AD199" s="201">
        <v>0.97835499248000002</v>
      </c>
      <c r="AE199" s="201">
        <v>1.1340014125</v>
      </c>
      <c r="AF199" s="201">
        <v>0.75648436846</v>
      </c>
      <c r="AG199" s="201">
        <v>4.2959225319999996</v>
      </c>
      <c r="AH199" s="201">
        <v>2.0701381799999998</v>
      </c>
      <c r="AI199" s="201">
        <v>12.35909972</v>
      </c>
      <c r="AJ199" s="201">
        <v>0.398109296</v>
      </c>
      <c r="AK199" s="201">
        <v>0.58620845799999999</v>
      </c>
      <c r="AL199" s="201">
        <v>0.31063095800000001</v>
      </c>
      <c r="AM199" s="201">
        <v>4649.4416666666702</v>
      </c>
      <c r="AN199" s="201">
        <v>2.007526972</v>
      </c>
      <c r="AO199" s="201">
        <v>80</v>
      </c>
      <c r="AP199" s="201">
        <v>360.375</v>
      </c>
      <c r="AQ199" s="201">
        <v>320</v>
      </c>
      <c r="AR199" s="201">
        <v>219.625</v>
      </c>
      <c r="AS199" s="201">
        <v>215.5</v>
      </c>
      <c r="AT199" s="201">
        <v>2209.73</v>
      </c>
      <c r="AU199" s="201">
        <v>7065.85</v>
      </c>
    </row>
    <row r="200" spans="1:47">
      <c r="A200" s="288" t="s">
        <v>4</v>
      </c>
      <c r="B200" s="201">
        <v>63.46</v>
      </c>
      <c r="C200" s="201">
        <v>65.42</v>
      </c>
      <c r="D200" s="201">
        <v>62.79</v>
      </c>
      <c r="E200" s="201">
        <v>62.17</v>
      </c>
      <c r="F200" s="201">
        <v>2.6707999999999998</v>
      </c>
      <c r="G200" s="201">
        <v>71.030120423979994</v>
      </c>
      <c r="H200" s="201">
        <v>2.1227999999999998</v>
      </c>
      <c r="I200" s="201">
        <v>3.0044561359999999</v>
      </c>
      <c r="J200" s="201">
        <v>1.9674028880000001</v>
      </c>
      <c r="K200" s="201">
        <v>1244.25</v>
      </c>
      <c r="L200" s="201">
        <v>1160</v>
      </c>
      <c r="M200" s="201">
        <v>1433</v>
      </c>
      <c r="N200" s="201">
        <v>709.44</v>
      </c>
      <c r="O200" s="201">
        <v>1145.3800000000001</v>
      </c>
      <c r="P200" s="201">
        <v>416.28</v>
      </c>
      <c r="Q200" s="201">
        <v>843.56</v>
      </c>
      <c r="R200" s="201">
        <v>421.13</v>
      </c>
      <c r="S200" s="201">
        <v>827.48</v>
      </c>
      <c r="T200" s="201">
        <v>806</v>
      </c>
      <c r="U200" s="201">
        <v>129.06212916666999</v>
      </c>
      <c r="V200" s="201">
        <v>163.357516</v>
      </c>
      <c r="W200" s="201">
        <v>187.39269999999999</v>
      </c>
      <c r="X200" s="201">
        <v>425</v>
      </c>
      <c r="Y200" s="201">
        <v>411</v>
      </c>
      <c r="Z200" s="201">
        <v>407.8</v>
      </c>
      <c r="AA200" s="201">
        <v>395.43</v>
      </c>
      <c r="AB200" s="201">
        <v>190.56002135400001</v>
      </c>
      <c r="AC200" s="201">
        <v>192.16939410000001</v>
      </c>
      <c r="AD200" s="201">
        <v>1.0742119114199999</v>
      </c>
      <c r="AE200" s="201">
        <v>1.2676565</v>
      </c>
      <c r="AF200" s="201">
        <v>0.77753749612</v>
      </c>
      <c r="AG200" s="201">
        <v>4.3536835759999999</v>
      </c>
      <c r="AH200" s="201">
        <v>1.9841580000000001</v>
      </c>
      <c r="AI200" s="201">
        <v>12.7316805</v>
      </c>
      <c r="AJ200" s="201">
        <v>0.40356284799999997</v>
      </c>
      <c r="AK200" s="201">
        <v>0.56945334599999997</v>
      </c>
      <c r="AL200" s="201">
        <v>0.29894647200000002</v>
      </c>
      <c r="AM200" s="201">
        <v>4628.1666666666697</v>
      </c>
      <c r="AN200" s="201">
        <v>1.9460180739999999</v>
      </c>
      <c r="AO200" s="201">
        <v>82.5</v>
      </c>
      <c r="AP200" s="201">
        <v>370</v>
      </c>
      <c r="AQ200" s="201">
        <v>320</v>
      </c>
      <c r="AR200" s="201">
        <v>232.5</v>
      </c>
      <c r="AS200" s="201">
        <v>215.5</v>
      </c>
      <c r="AT200" s="201">
        <v>2181.79</v>
      </c>
      <c r="AU200" s="201">
        <v>7006.52</v>
      </c>
    </row>
    <row r="201" spans="1:47">
      <c r="A201" s="288" t="s">
        <v>5</v>
      </c>
      <c r="B201" s="201">
        <v>64.166666666669997</v>
      </c>
      <c r="C201" s="201">
        <v>66.45</v>
      </c>
      <c r="D201" s="201">
        <v>63.29</v>
      </c>
      <c r="E201" s="201">
        <v>62.76</v>
      </c>
      <c r="F201" s="201">
        <v>2.6989000000000001</v>
      </c>
      <c r="G201" s="201">
        <v>71.462457292739998</v>
      </c>
      <c r="H201" s="201">
        <v>2.5039500000000001</v>
      </c>
      <c r="I201" s="201">
        <v>2.9768983859999998</v>
      </c>
      <c r="J201" s="201">
        <v>1.944033916</v>
      </c>
      <c r="K201" s="201">
        <v>1118.6300000000001</v>
      </c>
      <c r="L201" s="201">
        <v>1227.05</v>
      </c>
      <c r="M201" s="201">
        <v>1435.63</v>
      </c>
      <c r="N201" s="201">
        <v>706.19</v>
      </c>
      <c r="O201" s="201">
        <v>1016.19</v>
      </c>
      <c r="P201" s="201">
        <v>430.11</v>
      </c>
      <c r="Q201" s="201">
        <v>836.68</v>
      </c>
      <c r="R201" s="201">
        <v>445.36</v>
      </c>
      <c r="S201" s="201">
        <v>800.24</v>
      </c>
      <c r="T201" s="201">
        <v>800.91</v>
      </c>
      <c r="U201" s="201">
        <v>130.89931250000001</v>
      </c>
      <c r="V201" s="201">
        <v>171.99879200000001</v>
      </c>
      <c r="W201" s="201">
        <v>181.219764</v>
      </c>
      <c r="X201" s="201">
        <v>430</v>
      </c>
      <c r="Y201" s="201">
        <v>418</v>
      </c>
      <c r="Z201" s="201">
        <v>403.5</v>
      </c>
      <c r="AA201" s="201">
        <v>409.92</v>
      </c>
      <c r="AB201" s="201">
        <v>198.860416407</v>
      </c>
      <c r="AC201" s="201">
        <v>192.16939410000001</v>
      </c>
      <c r="AD201" s="201">
        <v>1.1122749168499999</v>
      </c>
      <c r="AE201" s="201">
        <v>1.1643149374999999</v>
      </c>
      <c r="AF201" s="201">
        <v>0.73516675427</v>
      </c>
      <c r="AG201" s="201">
        <v>4.4394432940000002</v>
      </c>
      <c r="AH201" s="201">
        <v>2.2010374924999998</v>
      </c>
      <c r="AI201" s="201">
        <v>12.786796000000001</v>
      </c>
      <c r="AJ201" s="201">
        <v>0.402779104</v>
      </c>
      <c r="AK201" s="201">
        <v>0.54520252599999997</v>
      </c>
      <c r="AL201" s="201">
        <v>0.27513657600000002</v>
      </c>
      <c r="AM201" s="201">
        <v>4741.4916666666704</v>
      </c>
      <c r="AN201" s="201">
        <v>2.0313368679999999</v>
      </c>
      <c r="AO201" s="201">
        <v>84.7</v>
      </c>
      <c r="AP201" s="201">
        <v>378</v>
      </c>
      <c r="AQ201" s="201">
        <v>324</v>
      </c>
      <c r="AR201" s="201">
        <v>232.5</v>
      </c>
      <c r="AS201" s="201">
        <v>215.5</v>
      </c>
      <c r="AT201" s="201">
        <v>2069.2399999999998</v>
      </c>
      <c r="AU201" s="201">
        <v>6799.18</v>
      </c>
    </row>
    <row r="202" spans="1:47">
      <c r="A202" s="288" t="s">
        <v>6</v>
      </c>
      <c r="B202" s="201">
        <v>68.793333333329997</v>
      </c>
      <c r="C202" s="201">
        <v>71.63</v>
      </c>
      <c r="D202" s="201">
        <v>68.430000000000007</v>
      </c>
      <c r="E202" s="201">
        <v>66.319999999999993</v>
      </c>
      <c r="F202" s="201">
        <v>2.7791000000000001</v>
      </c>
      <c r="G202" s="201">
        <v>73.518728054999997</v>
      </c>
      <c r="H202" s="201">
        <v>2.6247400000000001</v>
      </c>
      <c r="I202" s="201">
        <v>2.9616865080000001</v>
      </c>
      <c r="J202" s="201">
        <v>1.9468999220000001</v>
      </c>
      <c r="K202" s="201">
        <v>1131.18</v>
      </c>
      <c r="L202" s="201">
        <v>1379.76</v>
      </c>
      <c r="M202" s="201">
        <v>1444.03</v>
      </c>
      <c r="N202" s="201">
        <v>701.18</v>
      </c>
      <c r="O202" s="201">
        <v>1006.71</v>
      </c>
      <c r="P202" s="201">
        <v>439.07</v>
      </c>
      <c r="Q202" s="201">
        <v>831.85</v>
      </c>
      <c r="R202" s="201">
        <v>461.62</v>
      </c>
      <c r="S202" s="201">
        <v>793.31</v>
      </c>
      <c r="T202" s="201">
        <v>799.33</v>
      </c>
      <c r="U202" s="201">
        <v>130.89931250000001</v>
      </c>
      <c r="V202" s="201">
        <v>175.6049008</v>
      </c>
      <c r="W202" s="201">
        <v>178.57422</v>
      </c>
      <c r="X202" s="201">
        <v>451</v>
      </c>
      <c r="Y202" s="201">
        <v>436</v>
      </c>
      <c r="Z202" s="201">
        <v>430.24</v>
      </c>
      <c r="AA202" s="201">
        <v>413.43</v>
      </c>
      <c r="AB202" s="201">
        <v>198.79427780099999</v>
      </c>
      <c r="AC202" s="201">
        <v>213.84815939999999</v>
      </c>
      <c r="AD202" s="201">
        <v>1.1131894896800001</v>
      </c>
      <c r="AE202" s="201">
        <v>1.1574255</v>
      </c>
      <c r="AF202" s="201">
        <v>0.75833577415999998</v>
      </c>
      <c r="AG202" s="201">
        <v>4.37837532</v>
      </c>
      <c r="AH202" s="201">
        <v>2.3624707919999999</v>
      </c>
      <c r="AI202" s="201">
        <v>12.82868378</v>
      </c>
      <c r="AJ202" s="201">
        <v>0.400950368</v>
      </c>
      <c r="AK202" s="201">
        <v>0.54939130400000002</v>
      </c>
      <c r="AL202" s="201">
        <v>0.26521578600000001</v>
      </c>
      <c r="AM202" s="201">
        <v>4842.1000000000004</v>
      </c>
      <c r="AN202" s="201">
        <v>2.033541488</v>
      </c>
      <c r="AO202" s="201">
        <v>88</v>
      </c>
      <c r="AP202" s="201">
        <v>384.75</v>
      </c>
      <c r="AQ202" s="201">
        <v>325</v>
      </c>
      <c r="AR202" s="201">
        <v>230.625</v>
      </c>
      <c r="AS202" s="201">
        <v>215.5</v>
      </c>
      <c r="AT202" s="201">
        <v>2254.69</v>
      </c>
      <c r="AU202" s="201">
        <v>6851.51</v>
      </c>
    </row>
    <row r="203" spans="1:47">
      <c r="A203" s="288" t="s">
        <v>7</v>
      </c>
      <c r="B203" s="201">
        <v>73.430000000000007</v>
      </c>
      <c r="C203" s="201">
        <v>76.650000000000006</v>
      </c>
      <c r="D203" s="201">
        <v>73.66</v>
      </c>
      <c r="E203" s="201">
        <v>69.98</v>
      </c>
      <c r="F203" s="201">
        <v>2.7972000000000001</v>
      </c>
      <c r="G203" s="201">
        <v>76.507459487579993</v>
      </c>
      <c r="H203" s="201">
        <v>2.6599400000000002</v>
      </c>
      <c r="I203" s="201">
        <v>2.9896851820000001</v>
      </c>
      <c r="J203" s="201">
        <v>1.956379788</v>
      </c>
      <c r="K203" s="201">
        <v>1027.75</v>
      </c>
      <c r="L203" s="201">
        <v>1450</v>
      </c>
      <c r="M203" s="201">
        <v>1444.03</v>
      </c>
      <c r="N203" s="201">
        <v>687.15</v>
      </c>
      <c r="O203" s="201">
        <v>935.25</v>
      </c>
      <c r="P203" s="201">
        <v>430.32</v>
      </c>
      <c r="Q203" s="201">
        <v>793.25</v>
      </c>
      <c r="R203" s="201">
        <v>459.17</v>
      </c>
      <c r="S203" s="201">
        <v>811.49</v>
      </c>
      <c r="T203" s="201">
        <v>801.32</v>
      </c>
      <c r="U203" s="201">
        <v>130.89931250000001</v>
      </c>
      <c r="V203" s="201">
        <v>179.08503200000001</v>
      </c>
      <c r="W203" s="201">
        <v>178.57422</v>
      </c>
      <c r="X203" s="201">
        <v>451</v>
      </c>
      <c r="Y203" s="201">
        <v>436</v>
      </c>
      <c r="Z203" s="201">
        <v>431.76</v>
      </c>
      <c r="AA203" s="201">
        <v>419</v>
      </c>
      <c r="AB203" s="201">
        <v>209.94965601300001</v>
      </c>
      <c r="AC203" s="201">
        <v>213.84815939999999</v>
      </c>
      <c r="AD203" s="201">
        <v>0.96277169113000005</v>
      </c>
      <c r="AE203" s="201">
        <v>1.1505360625000001</v>
      </c>
      <c r="AF203" s="201">
        <v>0.87851845264999995</v>
      </c>
      <c r="AG203" s="201">
        <v>4.3199528899999997</v>
      </c>
      <c r="AH203" s="201">
        <v>2.6499532399999999</v>
      </c>
      <c r="AI203" s="201">
        <v>12.897027</v>
      </c>
      <c r="AJ203" s="201">
        <v>0.38615719999999998</v>
      </c>
      <c r="AK203" s="201">
        <v>0.54233651999999999</v>
      </c>
      <c r="AL203" s="201">
        <v>0.27227056999999999</v>
      </c>
      <c r="AM203" s="201">
        <v>4906.8583333333299</v>
      </c>
      <c r="AN203" s="201">
        <v>2.0829249760000002</v>
      </c>
      <c r="AO203" s="201">
        <v>88</v>
      </c>
      <c r="AP203" s="201">
        <v>384.375</v>
      </c>
      <c r="AQ203" s="201">
        <v>326</v>
      </c>
      <c r="AR203" s="201">
        <v>221.875</v>
      </c>
      <c r="AS203" s="201">
        <v>215.5</v>
      </c>
      <c r="AT203" s="201">
        <v>2299.67</v>
      </c>
      <c r="AU203" s="201">
        <v>6825.27</v>
      </c>
    </row>
    <row r="204" spans="1:47">
      <c r="A204" s="288" t="s">
        <v>8</v>
      </c>
      <c r="B204" s="201">
        <v>71.976666666669999</v>
      </c>
      <c r="C204" s="201">
        <v>75.19</v>
      </c>
      <c r="D204" s="201">
        <v>73.22</v>
      </c>
      <c r="E204" s="201">
        <v>67.52</v>
      </c>
      <c r="F204" s="201">
        <v>2.9523000000000001</v>
      </c>
      <c r="G204" s="201">
        <v>78.338011034039994</v>
      </c>
      <c r="H204" s="201">
        <v>2.4107599999999998</v>
      </c>
      <c r="I204" s="201">
        <v>2.9548521860000001</v>
      </c>
      <c r="J204" s="201">
        <v>1.8975164339999999</v>
      </c>
      <c r="K204" s="201">
        <v>931.19</v>
      </c>
      <c r="L204" s="201">
        <v>1503.33</v>
      </c>
      <c r="M204" s="201">
        <v>1461.87</v>
      </c>
      <c r="N204" s="201">
        <v>656.5</v>
      </c>
      <c r="O204" s="201">
        <v>865.71</v>
      </c>
      <c r="P204" s="201">
        <v>394.44</v>
      </c>
      <c r="Q204" s="201">
        <v>788.57</v>
      </c>
      <c r="R204" s="201">
        <v>421.33</v>
      </c>
      <c r="S204" s="201">
        <v>838.02</v>
      </c>
      <c r="T204" s="201">
        <v>775</v>
      </c>
      <c r="U204" s="201">
        <v>130.89931250000001</v>
      </c>
      <c r="V204" s="201">
        <v>165.07002399999999</v>
      </c>
      <c r="W204" s="201">
        <v>161.929339</v>
      </c>
      <c r="X204" s="201">
        <v>427</v>
      </c>
      <c r="Y204" s="201">
        <v>415</v>
      </c>
      <c r="Z204" s="201">
        <v>408.6</v>
      </c>
      <c r="AA204" s="201">
        <v>443.1</v>
      </c>
      <c r="AB204" s="201">
        <v>206.003385855</v>
      </c>
      <c r="AC204" s="201">
        <v>219.35970990000001</v>
      </c>
      <c r="AD204" s="201">
        <v>0.91772205890000003</v>
      </c>
      <c r="AE204" s="201">
        <v>1.1574255</v>
      </c>
      <c r="AF204" s="201">
        <v>0.84201931174</v>
      </c>
      <c r="AG204" s="201">
        <v>4.2438935000000004</v>
      </c>
      <c r="AH204" s="201">
        <v>2.7227057000000001</v>
      </c>
      <c r="AI204" s="201">
        <v>12.53987856</v>
      </c>
      <c r="AJ204" s="201">
        <v>0.38142208</v>
      </c>
      <c r="AK204" s="201">
        <v>0.56702826399999995</v>
      </c>
      <c r="AL204" s="201">
        <v>0.27557749999999998</v>
      </c>
      <c r="AM204" s="201">
        <v>4932.7916666666697</v>
      </c>
      <c r="AN204" s="201">
        <v>2.1541342019999998</v>
      </c>
      <c r="AO204" s="201">
        <v>86.8</v>
      </c>
      <c r="AP204" s="201">
        <v>391.6</v>
      </c>
      <c r="AQ204" s="201">
        <v>335.2</v>
      </c>
      <c r="AR204" s="201">
        <v>224</v>
      </c>
      <c r="AS204" s="201">
        <v>215.5</v>
      </c>
      <c r="AT204" s="201">
        <v>2237.62</v>
      </c>
      <c r="AU204" s="201">
        <v>6965.86</v>
      </c>
    </row>
    <row r="205" spans="1:47">
      <c r="A205" s="288" t="s">
        <v>9</v>
      </c>
      <c r="B205" s="201">
        <v>72.666666666669997</v>
      </c>
      <c r="C205" s="201">
        <v>74.44</v>
      </c>
      <c r="D205" s="201">
        <v>72.72</v>
      </c>
      <c r="E205" s="201">
        <v>70.84</v>
      </c>
      <c r="F205" s="201">
        <v>2.8250999999999999</v>
      </c>
      <c r="G205" s="201">
        <v>77.504493068749994</v>
      </c>
      <c r="H205" s="201">
        <v>2.3570500000000001</v>
      </c>
      <c r="I205" s="201">
        <v>2.8792337200000002</v>
      </c>
      <c r="J205" s="201">
        <v>1.861140204</v>
      </c>
      <c r="K205" s="201">
        <v>916.25</v>
      </c>
      <c r="L205" s="201">
        <v>1450.91</v>
      </c>
      <c r="M205" s="201">
        <v>1477.1</v>
      </c>
      <c r="N205" s="201">
        <v>616.14</v>
      </c>
      <c r="O205" s="201">
        <v>877.16</v>
      </c>
      <c r="P205" s="201">
        <v>377.17</v>
      </c>
      <c r="Q205" s="201">
        <v>780.45</v>
      </c>
      <c r="R205" s="201">
        <v>406.64</v>
      </c>
      <c r="S205" s="201">
        <v>848.61</v>
      </c>
      <c r="T205" s="201">
        <v>780.05</v>
      </c>
      <c r="U205" s="201">
        <v>130.89931250000001</v>
      </c>
      <c r="V205" s="201">
        <v>156.4602424</v>
      </c>
      <c r="W205" s="201">
        <v>147.48907800000001</v>
      </c>
      <c r="X205" s="201">
        <v>398</v>
      </c>
      <c r="Y205" s="201">
        <v>390</v>
      </c>
      <c r="Z205" s="201">
        <v>382.73</v>
      </c>
      <c r="AA205" s="201">
        <v>440.65</v>
      </c>
      <c r="AB205" s="201">
        <v>206.933000706</v>
      </c>
      <c r="AC205" s="201">
        <v>218.2573998</v>
      </c>
      <c r="AD205" s="201">
        <v>0.87657654689999998</v>
      </c>
      <c r="AE205" s="201">
        <v>1.1367571875</v>
      </c>
      <c r="AF205" s="201">
        <v>0.88772258384000002</v>
      </c>
      <c r="AG205" s="201">
        <v>4.1883370759999998</v>
      </c>
      <c r="AH205" s="201">
        <v>2.53200607</v>
      </c>
      <c r="AI205" s="201">
        <v>12.235640999999999</v>
      </c>
      <c r="AJ205" s="201">
        <v>0.38145473600000002</v>
      </c>
      <c r="AK205" s="201">
        <v>0.56305994800000003</v>
      </c>
      <c r="AL205" s="201">
        <v>0.25838146400000001</v>
      </c>
      <c r="AM205" s="201">
        <v>4927.6000000000004</v>
      </c>
      <c r="AN205" s="201">
        <v>2.1204035160000001</v>
      </c>
      <c r="AO205" s="201">
        <v>86.88</v>
      </c>
      <c r="AP205" s="201">
        <v>400.75</v>
      </c>
      <c r="AQ205" s="201">
        <v>344.25</v>
      </c>
      <c r="AR205" s="201">
        <v>252.5</v>
      </c>
      <c r="AS205" s="201">
        <v>215.5</v>
      </c>
      <c r="AT205" s="201">
        <v>2082.2399999999998</v>
      </c>
      <c r="AU205" s="201">
        <v>6250.75</v>
      </c>
    </row>
    <row r="206" spans="1:47">
      <c r="A206" s="288" t="s">
        <v>10</v>
      </c>
      <c r="B206" s="201">
        <v>71.083333333330003</v>
      </c>
      <c r="C206" s="201">
        <v>73.13</v>
      </c>
      <c r="D206" s="201">
        <v>72.13</v>
      </c>
      <c r="E206" s="201">
        <v>67.989999999999995</v>
      </c>
      <c r="F206" s="201">
        <v>2.9571999999999998</v>
      </c>
      <c r="G206" s="201">
        <v>81.71356939636</v>
      </c>
      <c r="H206" s="201">
        <v>2.1716099999999998</v>
      </c>
      <c r="I206" s="201">
        <v>2.7604047020000002</v>
      </c>
      <c r="J206" s="201">
        <v>1.7800101880000001</v>
      </c>
      <c r="K206" s="201">
        <v>915.22</v>
      </c>
      <c r="L206" s="201">
        <v>1405.45</v>
      </c>
      <c r="M206" s="201">
        <v>1477.1</v>
      </c>
      <c r="N206" s="201">
        <v>614.75</v>
      </c>
      <c r="O206" s="201">
        <v>900.22</v>
      </c>
      <c r="P206" s="201">
        <v>376.77</v>
      </c>
      <c r="Q206" s="201">
        <v>761.82</v>
      </c>
      <c r="R206" s="201">
        <v>388.04</v>
      </c>
      <c r="S206" s="201">
        <v>853.67</v>
      </c>
      <c r="T206" s="201">
        <v>763.23</v>
      </c>
      <c r="U206" s="201">
        <v>127.68424166667</v>
      </c>
      <c r="V206" s="201">
        <v>162.37331599999999</v>
      </c>
      <c r="W206" s="201">
        <v>165.56696199999999</v>
      </c>
      <c r="X206" s="201">
        <v>405</v>
      </c>
      <c r="Y206" s="201">
        <v>393</v>
      </c>
      <c r="Z206" s="201">
        <v>393.5</v>
      </c>
      <c r="AA206" s="201">
        <v>401.56</v>
      </c>
      <c r="AB206" s="201">
        <v>217.43801595900001</v>
      </c>
      <c r="AC206" s="201">
        <v>236.62923480000001</v>
      </c>
      <c r="AD206" s="201">
        <v>0.84337054668</v>
      </c>
      <c r="AE206" s="201">
        <v>1.1091994375000001</v>
      </c>
      <c r="AF206" s="201">
        <v>0.84313015516000001</v>
      </c>
      <c r="AG206" s="201">
        <v>4.1144823060000002</v>
      </c>
      <c r="AH206" s="201">
        <v>2.2211546499999999</v>
      </c>
      <c r="AI206" s="201">
        <v>12.015179</v>
      </c>
      <c r="AJ206" s="201">
        <v>0.37704617600000001</v>
      </c>
      <c r="AK206" s="201">
        <v>0.56438272</v>
      </c>
      <c r="AL206" s="201">
        <v>0.24449235799999999</v>
      </c>
      <c r="AM206" s="201">
        <v>4983.9166666666697</v>
      </c>
      <c r="AN206" s="201">
        <v>2.0844682099999998</v>
      </c>
      <c r="AO206" s="201">
        <v>87.5</v>
      </c>
      <c r="AP206" s="201">
        <v>409</v>
      </c>
      <c r="AQ206" s="201">
        <v>357.6</v>
      </c>
      <c r="AR206" s="201">
        <v>260</v>
      </c>
      <c r="AS206" s="201">
        <v>215.5</v>
      </c>
      <c r="AT206" s="201">
        <v>2051.5100000000002</v>
      </c>
      <c r="AU206" s="201">
        <v>6051.05</v>
      </c>
    </row>
    <row r="207" spans="1:47">
      <c r="A207" s="288" t="s">
        <v>11</v>
      </c>
      <c r="B207" s="201">
        <v>75.363333333330004</v>
      </c>
      <c r="C207" s="201">
        <v>78.86</v>
      </c>
      <c r="D207" s="201">
        <v>77.02</v>
      </c>
      <c r="E207" s="201">
        <v>70.209999999999994</v>
      </c>
      <c r="F207" s="201">
        <v>2.9847000000000001</v>
      </c>
      <c r="G207" s="201">
        <v>89.167570014020001</v>
      </c>
      <c r="H207" s="201">
        <v>2.19489</v>
      </c>
      <c r="I207" s="201">
        <v>2.6715585160000002</v>
      </c>
      <c r="J207" s="201">
        <v>1.6909435399999999</v>
      </c>
      <c r="K207" s="201">
        <v>897.13</v>
      </c>
      <c r="L207" s="201">
        <v>1380</v>
      </c>
      <c r="M207" s="201">
        <v>1442.29</v>
      </c>
      <c r="N207" s="201">
        <v>605.15</v>
      </c>
      <c r="O207" s="201">
        <v>865.63</v>
      </c>
      <c r="P207" s="201">
        <v>356.87</v>
      </c>
      <c r="Q207" s="201">
        <v>754.05</v>
      </c>
      <c r="R207" s="201">
        <v>377.15</v>
      </c>
      <c r="S207" s="201">
        <v>821.47</v>
      </c>
      <c r="T207" s="201">
        <v>733.95</v>
      </c>
      <c r="U207" s="201">
        <v>119.41691666667001</v>
      </c>
      <c r="V207" s="201">
        <v>154.8028496</v>
      </c>
      <c r="W207" s="201">
        <v>163.58280400000001</v>
      </c>
      <c r="X207" s="201">
        <v>405</v>
      </c>
      <c r="Y207" s="201">
        <v>393</v>
      </c>
      <c r="Z207" s="201">
        <v>395.35</v>
      </c>
      <c r="AA207" s="201">
        <v>384.65</v>
      </c>
      <c r="AB207" s="201">
        <v>202.049766963</v>
      </c>
      <c r="AC207" s="201">
        <v>212.37841259999999</v>
      </c>
      <c r="AD207" s="201">
        <v>0.88528441698000004</v>
      </c>
      <c r="AE207" s="201">
        <v>1.11264415625</v>
      </c>
      <c r="AF207" s="201">
        <v>0.79996595373000001</v>
      </c>
      <c r="AG207" s="201">
        <v>4.010424242</v>
      </c>
      <c r="AH207" s="201">
        <v>2.0282504000000001</v>
      </c>
      <c r="AI207" s="201">
        <v>11.532367219999999</v>
      </c>
      <c r="AJ207" s="201">
        <v>0.38073630400000003</v>
      </c>
      <c r="AK207" s="201">
        <v>0.55997348000000002</v>
      </c>
      <c r="AL207" s="201">
        <v>0.25066529399999998</v>
      </c>
      <c r="AM207" s="201">
        <v>4973.9583333333303</v>
      </c>
      <c r="AN207" s="201">
        <v>1.9920946319999999</v>
      </c>
      <c r="AO207" s="201">
        <v>87.5</v>
      </c>
      <c r="AP207" s="201">
        <v>421.63</v>
      </c>
      <c r="AQ207" s="201">
        <v>376.25</v>
      </c>
      <c r="AR207" s="201">
        <v>267.5</v>
      </c>
      <c r="AS207" s="201">
        <v>215.5</v>
      </c>
      <c r="AT207" s="201">
        <v>2026.46</v>
      </c>
      <c r="AU207" s="201">
        <v>6050.76</v>
      </c>
    </row>
    <row r="208" spans="1:47">
      <c r="A208" s="288" t="s">
        <v>12</v>
      </c>
      <c r="B208" s="201">
        <v>76.726666666669999</v>
      </c>
      <c r="C208" s="201">
        <v>80.47</v>
      </c>
      <c r="D208" s="201">
        <v>78.959999999999994</v>
      </c>
      <c r="E208" s="201">
        <v>70.75</v>
      </c>
      <c r="F208" s="201">
        <v>3.2839999999999998</v>
      </c>
      <c r="G208" s="201">
        <v>89.570795616780003</v>
      </c>
      <c r="H208" s="201">
        <v>2.1341999999999999</v>
      </c>
      <c r="I208" s="201">
        <v>3.027825108</v>
      </c>
      <c r="J208" s="201">
        <v>1.880981784</v>
      </c>
      <c r="K208" s="201">
        <v>830.25</v>
      </c>
      <c r="L208" s="201">
        <v>1265.22</v>
      </c>
      <c r="M208" s="201">
        <v>1431.7</v>
      </c>
      <c r="N208" s="201">
        <v>589.79999999999995</v>
      </c>
      <c r="O208" s="201">
        <v>794.49</v>
      </c>
      <c r="P208" s="201">
        <v>367.96</v>
      </c>
      <c r="Q208" s="201">
        <v>751.58</v>
      </c>
      <c r="R208" s="201">
        <v>379.31</v>
      </c>
      <c r="S208" s="201">
        <v>850.29</v>
      </c>
      <c r="T208" s="201">
        <v>718.04</v>
      </c>
      <c r="U208" s="201">
        <v>119.41691666667001</v>
      </c>
      <c r="V208" s="201">
        <v>160.25531760000001</v>
      </c>
      <c r="W208" s="201">
        <v>158.953102</v>
      </c>
      <c r="X208" s="201">
        <v>409</v>
      </c>
      <c r="Y208" s="201">
        <v>397</v>
      </c>
      <c r="Z208" s="201">
        <v>390.39</v>
      </c>
      <c r="AA208" s="201">
        <v>389.8</v>
      </c>
      <c r="AB208" s="201">
        <v>209.104551603</v>
      </c>
      <c r="AC208" s="201">
        <v>213.4807227</v>
      </c>
      <c r="AD208" s="201">
        <v>0.90741905669</v>
      </c>
      <c r="AE208" s="201">
        <v>1.1229783124999999</v>
      </c>
      <c r="AF208" s="201">
        <v>0.74955482141999996</v>
      </c>
      <c r="AG208" s="201">
        <v>3.864257936</v>
      </c>
      <c r="AH208" s="201">
        <v>2.0282504000000001</v>
      </c>
      <c r="AI208" s="201">
        <v>11.464024</v>
      </c>
      <c r="AJ208" s="201">
        <v>0.37511947200000001</v>
      </c>
      <c r="AK208" s="201">
        <v>0.55578470199999996</v>
      </c>
      <c r="AL208" s="201">
        <v>0.292773536</v>
      </c>
      <c r="AM208" s="201">
        <v>4940.2250000000004</v>
      </c>
      <c r="AN208" s="201">
        <v>1.9136101599999999</v>
      </c>
      <c r="AO208" s="201">
        <v>91.25</v>
      </c>
      <c r="AP208" s="201">
        <v>420.75</v>
      </c>
      <c r="AQ208" s="201">
        <v>385</v>
      </c>
      <c r="AR208" s="201">
        <v>270</v>
      </c>
      <c r="AS208" s="201">
        <v>215.5</v>
      </c>
      <c r="AT208" s="201">
        <v>2029.86</v>
      </c>
      <c r="AU208" s="201">
        <v>6219.59</v>
      </c>
    </row>
    <row r="209" spans="1:47">
      <c r="A209" s="288" t="s">
        <v>13</v>
      </c>
      <c r="B209" s="201">
        <v>62.316666666670002</v>
      </c>
      <c r="C209" s="201">
        <v>65.17</v>
      </c>
      <c r="D209" s="201">
        <v>65.11</v>
      </c>
      <c r="E209" s="201">
        <v>56.67</v>
      </c>
      <c r="F209" s="201">
        <v>4.1292999999999997</v>
      </c>
      <c r="G209" s="201">
        <v>97.362467892140003</v>
      </c>
      <c r="H209" s="201">
        <v>2.1850399999999999</v>
      </c>
      <c r="I209" s="201">
        <v>3.0227544819999999</v>
      </c>
      <c r="J209" s="201">
        <v>1.841298624</v>
      </c>
      <c r="K209" s="201">
        <v>759.26</v>
      </c>
      <c r="L209" s="201">
        <v>1223.8599999999999</v>
      </c>
      <c r="M209" s="201">
        <v>1438.26</v>
      </c>
      <c r="N209" s="201">
        <v>539.1</v>
      </c>
      <c r="O209" s="201">
        <v>707.62</v>
      </c>
      <c r="P209" s="201">
        <v>374.04</v>
      </c>
      <c r="Q209" s="201">
        <v>729.22</v>
      </c>
      <c r="R209" s="201">
        <v>366.2</v>
      </c>
      <c r="S209" s="201">
        <v>840.39</v>
      </c>
      <c r="T209" s="201">
        <v>706.09</v>
      </c>
      <c r="U209" s="201">
        <v>119.41691666667001</v>
      </c>
      <c r="V209" s="201">
        <v>160.6883656</v>
      </c>
      <c r="W209" s="201">
        <v>157.52009899999999</v>
      </c>
      <c r="X209" s="201">
        <v>401</v>
      </c>
      <c r="Y209" s="201">
        <v>391</v>
      </c>
      <c r="Z209" s="201">
        <v>378.81</v>
      </c>
      <c r="AA209" s="201">
        <v>395.73</v>
      </c>
      <c r="AB209" s="201">
        <v>210.84620156099999</v>
      </c>
      <c r="AC209" s="201">
        <v>203.55993179999999</v>
      </c>
      <c r="AD209" s="201">
        <v>0.86011716538000005</v>
      </c>
      <c r="AE209" s="201">
        <v>1.1229783124999999</v>
      </c>
      <c r="AF209" s="201">
        <v>0.73135814827000001</v>
      </c>
      <c r="AG209" s="201">
        <v>3.9464902620000002</v>
      </c>
      <c r="AH209" s="201">
        <v>2.0282504000000001</v>
      </c>
      <c r="AI209" s="201">
        <v>11.660235180000001</v>
      </c>
      <c r="AJ209" s="201">
        <v>0.37103747199999998</v>
      </c>
      <c r="AK209" s="201">
        <v>0.55203684799999997</v>
      </c>
      <c r="AL209" s="201">
        <v>0.28439597999999999</v>
      </c>
      <c r="AM209" s="201">
        <v>4941.375</v>
      </c>
      <c r="AN209" s="201">
        <v>1.912948774</v>
      </c>
      <c r="AO209" s="201">
        <v>92.5</v>
      </c>
      <c r="AP209" s="201">
        <v>410.2</v>
      </c>
      <c r="AQ209" s="201">
        <v>379.2</v>
      </c>
      <c r="AR209" s="201">
        <v>305.60000000000002</v>
      </c>
      <c r="AS209" s="201">
        <v>215.5</v>
      </c>
      <c r="AT209" s="201">
        <v>1938.51</v>
      </c>
      <c r="AU209" s="201">
        <v>6195.92</v>
      </c>
    </row>
    <row r="210" spans="1:47">
      <c r="A210" s="288" t="s">
        <v>14</v>
      </c>
      <c r="B210" s="201">
        <v>53.96</v>
      </c>
      <c r="C210" s="201">
        <v>56.46</v>
      </c>
      <c r="D210" s="201">
        <v>56.47</v>
      </c>
      <c r="E210" s="201">
        <v>48.95</v>
      </c>
      <c r="F210" s="201">
        <v>3.9824999999999999</v>
      </c>
      <c r="G210" s="201">
        <v>94.406577851349994</v>
      </c>
      <c r="H210" s="201">
        <v>2.2084100000000002</v>
      </c>
      <c r="I210" s="201">
        <v>2.8020720200000002</v>
      </c>
      <c r="J210" s="201">
        <v>1.710123734</v>
      </c>
      <c r="K210" s="201">
        <v>796.27</v>
      </c>
      <c r="L210" s="201">
        <v>1212.6300000000001</v>
      </c>
      <c r="M210" s="201">
        <v>1434.58</v>
      </c>
      <c r="N210" s="201">
        <v>535.02</v>
      </c>
      <c r="O210" s="201">
        <v>738.36</v>
      </c>
      <c r="P210" s="201">
        <v>380.53</v>
      </c>
      <c r="Q210" s="201">
        <v>727.88</v>
      </c>
      <c r="R210" s="201">
        <v>361.02</v>
      </c>
      <c r="S210" s="201">
        <v>827.02</v>
      </c>
      <c r="T210" s="201">
        <v>703</v>
      </c>
      <c r="U210" s="201">
        <v>119.41691666667001</v>
      </c>
      <c r="V210" s="201">
        <v>167.43997759999999</v>
      </c>
      <c r="W210" s="201">
        <v>163.80326600000001</v>
      </c>
      <c r="X210" s="201">
        <v>404</v>
      </c>
      <c r="Y210" s="201">
        <v>395</v>
      </c>
      <c r="Z210" s="201">
        <v>379.33</v>
      </c>
      <c r="AA210" s="201">
        <v>399.52</v>
      </c>
      <c r="AB210" s="201">
        <v>217.809127026</v>
      </c>
      <c r="AC210" s="201">
        <v>211.27610250000001</v>
      </c>
      <c r="AD210" s="201">
        <v>0.83952839006000002</v>
      </c>
      <c r="AE210" s="201">
        <v>1.1298677500000001</v>
      </c>
      <c r="AF210" s="201">
        <v>0.71845120567999998</v>
      </c>
      <c r="AG210" s="201">
        <v>4.1852506079999996</v>
      </c>
      <c r="AH210" s="201">
        <v>2.0879074171999998</v>
      </c>
      <c r="AI210" s="201">
        <v>11.794717</v>
      </c>
      <c r="AJ210" s="201">
        <v>0.37185387199999997</v>
      </c>
      <c r="AK210" s="201">
        <v>0.55622562600000003</v>
      </c>
      <c r="AL210" s="201">
        <v>0.27888443000000002</v>
      </c>
      <c r="AM210" s="201">
        <v>4923.5583333333298</v>
      </c>
      <c r="AN210" s="201">
        <v>1.8959732</v>
      </c>
      <c r="AO210" s="201">
        <v>99.17</v>
      </c>
      <c r="AP210" s="201">
        <v>389.67</v>
      </c>
      <c r="AQ210" s="201">
        <v>368.33</v>
      </c>
      <c r="AR210" s="201">
        <v>276.67</v>
      </c>
      <c r="AS210" s="201">
        <v>215.5</v>
      </c>
      <c r="AT210" s="201">
        <v>1920.38</v>
      </c>
      <c r="AU210" s="201">
        <v>6075.32</v>
      </c>
    </row>
    <row r="211" spans="1:47" s="291" customFormat="1" ht="15">
      <c r="A211" s="198" t="s">
        <v>1</v>
      </c>
      <c r="B211" s="241">
        <v>68.347500000000835</v>
      </c>
      <c r="C211" s="241">
        <v>71.071666666666673</v>
      </c>
      <c r="D211" s="241">
        <v>69.151666666666671</v>
      </c>
      <c r="E211" s="241">
        <v>64.819166666666675</v>
      </c>
      <c r="F211" s="241">
        <v>3.1597249999999999</v>
      </c>
      <c r="G211" s="241">
        <v>82.116989950696663</v>
      </c>
      <c r="H211" s="241">
        <v>2.2937683333333339</v>
      </c>
      <c r="I211" s="241">
        <v>2.925971664</v>
      </c>
      <c r="J211" s="241">
        <v>1.8692605543333334</v>
      </c>
      <c r="K211" s="241">
        <v>996.77</v>
      </c>
      <c r="L211" s="241">
        <v>1319.8691666666666</v>
      </c>
      <c r="M211" s="241">
        <v>1446.0491666666667</v>
      </c>
      <c r="N211" s="241">
        <v>638.65583333333336</v>
      </c>
      <c r="O211" s="241">
        <v>926.4766666666668</v>
      </c>
      <c r="P211" s="241">
        <v>394.42416666666668</v>
      </c>
      <c r="Q211" s="241">
        <v>789.11749999999984</v>
      </c>
      <c r="R211" s="241">
        <v>405.22583333333324</v>
      </c>
      <c r="S211" s="241">
        <v>830.03083333333325</v>
      </c>
      <c r="T211" s="241">
        <v>765.49666666666678</v>
      </c>
      <c r="U211" s="241">
        <v>125.88533298611247</v>
      </c>
      <c r="V211" s="241">
        <v>164.41454680000001</v>
      </c>
      <c r="W211" s="241">
        <v>168.58912858333335</v>
      </c>
      <c r="X211" s="241">
        <v>420.66666666666669</v>
      </c>
      <c r="Y211" s="241">
        <v>408.08333333333331</v>
      </c>
      <c r="Z211" s="241">
        <v>401.07</v>
      </c>
      <c r="AA211" s="241">
        <v>406.14416666666676</v>
      </c>
      <c r="AB211" s="241">
        <v>203.89093102724999</v>
      </c>
      <c r="AC211" s="241">
        <v>209.92883459999999</v>
      </c>
      <c r="AD211" s="241">
        <v>0.94756843192916662</v>
      </c>
      <c r="AE211" s="241">
        <v>1.1471487557291666</v>
      </c>
      <c r="AF211" s="241">
        <v>0.78985375212499997</v>
      </c>
      <c r="AG211" s="241">
        <v>4.1950427951666667</v>
      </c>
      <c r="AH211" s="241">
        <v>2.2430235618083336</v>
      </c>
      <c r="AI211" s="241">
        <v>12.237110746666666</v>
      </c>
      <c r="AJ211" s="241">
        <v>0.3858524106666667</v>
      </c>
      <c r="AK211" s="241">
        <v>0.55925697850000011</v>
      </c>
      <c r="AL211" s="241">
        <v>0.2756142436666667</v>
      </c>
      <c r="AM211" s="241">
        <v>4865.9569444444451</v>
      </c>
      <c r="AN211" s="241">
        <v>2.0145817560000001</v>
      </c>
      <c r="AO211" s="241">
        <v>87.899999999999991</v>
      </c>
      <c r="AP211" s="241">
        <v>393.42500000000001</v>
      </c>
      <c r="AQ211" s="241">
        <v>346.73583333333335</v>
      </c>
      <c r="AR211" s="241">
        <v>249.44958333333332</v>
      </c>
      <c r="AS211" s="241">
        <v>215.5</v>
      </c>
      <c r="AT211" s="241">
        <v>2108.4749999999999</v>
      </c>
      <c r="AU211" s="241">
        <v>6529.798333333335</v>
      </c>
    </row>
    <row r="212" spans="1:47" s="291" customFormat="1" ht="15">
      <c r="A212" s="198" t="s">
        <v>172</v>
      </c>
      <c r="B212" s="241">
        <v>29.433765741882123</v>
      </c>
      <c r="C212" s="241">
        <v>30.664460480151988</v>
      </c>
      <c r="D212" s="241">
        <v>30.190307347150092</v>
      </c>
      <c r="E212" s="241">
        <v>27.329426401257241</v>
      </c>
      <c r="F212" s="241">
        <v>6.7087122075597527</v>
      </c>
      <c r="G212" s="241">
        <v>19.067589246972695</v>
      </c>
      <c r="H212" s="241">
        <v>13.026317572464574</v>
      </c>
      <c r="I212" s="241">
        <v>-11.953385004920225</v>
      </c>
      <c r="J212" s="241">
        <v>-16.008189007578121</v>
      </c>
      <c r="K212" s="241">
        <v>-39.613485596583168</v>
      </c>
      <c r="L212" s="241">
        <v>-11.220508301761356</v>
      </c>
      <c r="M212" s="241">
        <v>-1.0092695118118167</v>
      </c>
      <c r="N212" s="241">
        <v>-14.938133757170002</v>
      </c>
      <c r="O212" s="241">
        <v>-28.094448425643982</v>
      </c>
      <c r="P212" s="241">
        <v>0.26591587123598881</v>
      </c>
      <c r="Q212" s="241">
        <v>-7.2059509483809903</v>
      </c>
      <c r="R212" s="241">
        <v>15.698922172785412</v>
      </c>
      <c r="S212" s="241">
        <v>-5.6585705910043638</v>
      </c>
      <c r="T212" s="241">
        <v>-6.4053422343401945</v>
      </c>
      <c r="U212" s="241">
        <v>28.929831438652865</v>
      </c>
      <c r="V212" s="241">
        <v>6.3954636259996755</v>
      </c>
      <c r="W212" s="241">
        <v>3.414661632952054</v>
      </c>
      <c r="X212" s="241">
        <v>5.4522665552538152</v>
      </c>
      <c r="Y212" s="241">
        <v>6.0875216637781504</v>
      </c>
      <c r="Z212" s="241">
        <v>5.572287504853235</v>
      </c>
      <c r="AA212" s="241">
        <v>11.809468313542727</v>
      </c>
      <c r="AB212" s="241">
        <v>14.428075288570085</v>
      </c>
      <c r="AC212" s="241">
        <v>20.513271225171369</v>
      </c>
      <c r="AD212" s="241">
        <v>5.3901559220911999</v>
      </c>
      <c r="AE212" s="241">
        <v>6.6240191934974657</v>
      </c>
      <c r="AF212" s="241">
        <v>-2.7316056325852323</v>
      </c>
      <c r="AG212" s="241">
        <v>-4.3810169888988115</v>
      </c>
      <c r="AH212" s="241">
        <v>5.580015373900471</v>
      </c>
      <c r="AI212" s="241">
        <v>-8.1180251886388994</v>
      </c>
      <c r="AJ212" s="241">
        <v>4.6367292719825981</v>
      </c>
      <c r="AK212" s="241">
        <v>-9.1449037457095645</v>
      </c>
      <c r="AL212" s="241">
        <v>-21.949950574892018</v>
      </c>
      <c r="AM212" s="241">
        <v>5.1561176305507717</v>
      </c>
      <c r="AN212" s="241">
        <v>9.3105785717134015</v>
      </c>
      <c r="AO212" s="241">
        <v>-1.9930313588850224</v>
      </c>
      <c r="AP212" s="241">
        <v>21.793193295195845</v>
      </c>
      <c r="AQ212" s="241">
        <v>22.433168061910578</v>
      </c>
      <c r="AR212" s="241">
        <v>16.633352815117863</v>
      </c>
      <c r="AS212" s="241">
        <v>-1.2505966587112116</v>
      </c>
      <c r="AT212" s="241">
        <v>7.1567877993464979</v>
      </c>
      <c r="AU212" s="241">
        <v>5.832444615885013</v>
      </c>
    </row>
    <row r="213" spans="1:47"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1"/>
      <c r="AD213" s="201"/>
      <c r="AE213" s="201"/>
      <c r="AF213" s="201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  <c r="AQ213" s="201"/>
      <c r="AR213" s="201"/>
      <c r="AS213" s="201"/>
      <c r="AT213" s="201"/>
      <c r="AU213" s="201"/>
    </row>
    <row r="214" spans="1:47">
      <c r="A214" s="292">
        <v>2019</v>
      </c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1"/>
      <c r="AD214" s="201"/>
      <c r="AE214" s="201"/>
      <c r="AF214" s="201"/>
      <c r="AG214" s="201"/>
      <c r="AH214" s="201"/>
      <c r="AI214" s="201"/>
      <c r="AJ214" s="201"/>
      <c r="AK214" s="201"/>
      <c r="AL214" s="201"/>
      <c r="AM214" s="201"/>
      <c r="AN214" s="201"/>
      <c r="AO214" s="201"/>
      <c r="AP214" s="201"/>
      <c r="AQ214" s="201"/>
      <c r="AR214" s="201"/>
      <c r="AS214" s="201"/>
      <c r="AT214" s="201"/>
      <c r="AU214" s="201"/>
    </row>
    <row r="215" spans="1:47">
      <c r="A215" s="288" t="s">
        <v>3</v>
      </c>
      <c r="B215" s="201">
        <v>56.583333333330003</v>
      </c>
      <c r="C215" s="201">
        <v>59.27</v>
      </c>
      <c r="D215" s="201">
        <v>58.96</v>
      </c>
      <c r="E215" s="201">
        <v>51.52</v>
      </c>
      <c r="F215" s="201">
        <v>3.0794999999999999</v>
      </c>
      <c r="G215" s="201">
        <v>80.055366062069993</v>
      </c>
      <c r="H215" s="201">
        <v>2.2633399999999999</v>
      </c>
      <c r="I215" s="201">
        <v>2.8320548520000002</v>
      </c>
      <c r="J215" s="201">
        <v>1.724894688</v>
      </c>
      <c r="K215" s="201">
        <v>773.07</v>
      </c>
      <c r="L215" s="201">
        <v>1235.22</v>
      </c>
      <c r="M215" s="201">
        <v>1379.77</v>
      </c>
      <c r="N215" s="201">
        <v>584.58000000000004</v>
      </c>
      <c r="O215" s="201">
        <v>765</v>
      </c>
      <c r="P215" s="201">
        <v>381.96</v>
      </c>
      <c r="Q215" s="201">
        <v>747.79</v>
      </c>
      <c r="R215" s="201">
        <v>362.01</v>
      </c>
      <c r="S215" s="201">
        <v>859.73</v>
      </c>
      <c r="T215" s="201">
        <v>688.13</v>
      </c>
      <c r="U215" s="201">
        <v>119.41691666667001</v>
      </c>
      <c r="V215" s="201">
        <v>166.74316400000001</v>
      </c>
      <c r="W215" s="201">
        <v>162.92141799999999</v>
      </c>
      <c r="X215" s="201">
        <v>410</v>
      </c>
      <c r="Y215" s="201">
        <v>402</v>
      </c>
      <c r="Z215" s="201">
        <v>387.35</v>
      </c>
      <c r="AA215" s="201">
        <v>396.31</v>
      </c>
      <c r="AB215" s="201">
        <v>220.15704753899999</v>
      </c>
      <c r="AC215" s="201">
        <v>209.80635570000001</v>
      </c>
      <c r="AD215" s="201">
        <v>0.84844252301</v>
      </c>
      <c r="AE215" s="201">
        <v>1.1367571875</v>
      </c>
      <c r="AF215" s="201">
        <v>0.63841758219</v>
      </c>
      <c r="AG215" s="201">
        <v>4.2413581870000003</v>
      </c>
      <c r="AH215" s="201">
        <v>2.1495044999999999</v>
      </c>
      <c r="AI215" s="201">
        <v>11.794717</v>
      </c>
      <c r="AJ215" s="201">
        <v>0.37296417599999998</v>
      </c>
      <c r="AK215" s="201">
        <v>0.56372133400000002</v>
      </c>
      <c r="AL215" s="201">
        <v>0.28197089800000003</v>
      </c>
      <c r="AM215" s="201">
        <v>4806.1083333333299</v>
      </c>
      <c r="AN215" s="201">
        <v>1.8155045700000001</v>
      </c>
      <c r="AO215" s="201">
        <v>102.5</v>
      </c>
      <c r="AP215" s="201">
        <v>382.13</v>
      </c>
      <c r="AQ215" s="201">
        <v>355</v>
      </c>
      <c r="AR215" s="201">
        <v>260</v>
      </c>
      <c r="AS215" s="201">
        <v>215.5</v>
      </c>
      <c r="AT215" s="201">
        <v>1853.72</v>
      </c>
      <c r="AU215" s="201">
        <v>5939.1</v>
      </c>
    </row>
    <row r="216" spans="1:47">
      <c r="A216" s="288" t="s">
        <v>4</v>
      </c>
      <c r="B216" s="201">
        <v>61.13333333333</v>
      </c>
      <c r="C216" s="201">
        <v>64.13</v>
      </c>
      <c r="D216" s="201">
        <v>64.319999999999993</v>
      </c>
      <c r="E216" s="201">
        <v>54.95</v>
      </c>
      <c r="F216" s="201">
        <v>2.7170999999999998</v>
      </c>
      <c r="G216" s="201">
        <v>69.545041682090002</v>
      </c>
      <c r="H216" s="201">
        <v>2.2557999999999998</v>
      </c>
      <c r="I216" s="201">
        <v>2.83183439</v>
      </c>
      <c r="J216" s="201">
        <v>1.7339336299999999</v>
      </c>
      <c r="K216" s="201">
        <v>710.43</v>
      </c>
      <c r="L216" s="201">
        <v>1367.5</v>
      </c>
      <c r="M216" s="201">
        <v>1370.06</v>
      </c>
      <c r="N216" s="201">
        <v>602.97</v>
      </c>
      <c r="O216" s="201">
        <v>694.67</v>
      </c>
      <c r="P216" s="201">
        <v>380.33</v>
      </c>
      <c r="Q216" s="201">
        <v>772.82</v>
      </c>
      <c r="R216" s="201">
        <v>353.34</v>
      </c>
      <c r="S216" s="201">
        <v>829.7</v>
      </c>
      <c r="T216" s="201">
        <v>700</v>
      </c>
      <c r="U216" s="201">
        <v>119.41691666667001</v>
      </c>
      <c r="V216" s="201">
        <v>169.52254479999999</v>
      </c>
      <c r="W216" s="201">
        <v>170.417126</v>
      </c>
      <c r="X216" s="201">
        <v>408</v>
      </c>
      <c r="Y216" s="201">
        <v>401</v>
      </c>
      <c r="Z216" s="201">
        <v>386.25</v>
      </c>
      <c r="AA216" s="201">
        <v>367.95</v>
      </c>
      <c r="AB216" s="201">
        <v>217.24694887499999</v>
      </c>
      <c r="AC216" s="201">
        <v>218.9922732</v>
      </c>
      <c r="AD216" s="201">
        <v>0.87170654132000003</v>
      </c>
      <c r="AE216" s="201">
        <v>1.1574255</v>
      </c>
      <c r="AF216" s="201">
        <v>0.62762653183999995</v>
      </c>
      <c r="AG216" s="201">
        <v>4.2791674200000003</v>
      </c>
      <c r="AH216" s="201">
        <v>2.0855705200000001</v>
      </c>
      <c r="AI216" s="201">
        <v>11.794717</v>
      </c>
      <c r="AJ216" s="201">
        <v>0.370710912</v>
      </c>
      <c r="AK216" s="201">
        <v>0.57099657999999998</v>
      </c>
      <c r="AL216" s="201">
        <v>0.28615967599999997</v>
      </c>
      <c r="AM216" s="201">
        <v>4782.9083333333301</v>
      </c>
      <c r="AN216" s="201">
        <v>1.78904913</v>
      </c>
      <c r="AO216" s="201">
        <v>102.5</v>
      </c>
      <c r="AP216" s="201">
        <v>357.38</v>
      </c>
      <c r="AQ216" s="201">
        <v>343.75</v>
      </c>
      <c r="AR216" s="201">
        <v>250.63</v>
      </c>
      <c r="AS216" s="201">
        <v>215.5</v>
      </c>
      <c r="AT216" s="201">
        <v>1862.99</v>
      </c>
      <c r="AU216" s="201">
        <v>6300.49</v>
      </c>
    </row>
    <row r="217" spans="1:47">
      <c r="A217" s="288" t="s">
        <v>5</v>
      </c>
      <c r="B217" s="201">
        <v>63.786666666670001</v>
      </c>
      <c r="C217" s="201">
        <v>66.41</v>
      </c>
      <c r="D217" s="201">
        <v>66.8</v>
      </c>
      <c r="E217" s="201">
        <v>58.15</v>
      </c>
      <c r="F217" s="201">
        <v>2.9350000000000001</v>
      </c>
      <c r="G217" s="201">
        <v>67.912110752890001</v>
      </c>
      <c r="H217" s="201">
        <v>2.2004899999999998</v>
      </c>
      <c r="I217" s="201">
        <v>2.7313037179999999</v>
      </c>
      <c r="J217" s="201">
        <v>1.6966755520000001</v>
      </c>
      <c r="K217" s="201">
        <v>678.56</v>
      </c>
      <c r="L217" s="201">
        <v>1383.33</v>
      </c>
      <c r="M217" s="201">
        <v>1370.38</v>
      </c>
      <c r="N217" s="201">
        <v>573.02</v>
      </c>
      <c r="O217" s="201">
        <v>654.72</v>
      </c>
      <c r="P217" s="201">
        <v>369.53</v>
      </c>
      <c r="Q217" s="201">
        <v>750.33</v>
      </c>
      <c r="R217" s="201">
        <v>344.63</v>
      </c>
      <c r="S217" s="201">
        <v>808.68</v>
      </c>
      <c r="T217" s="201">
        <v>711.71</v>
      </c>
      <c r="U217" s="201">
        <v>119.41691666667001</v>
      </c>
      <c r="V217" s="201">
        <v>166.22350639999999</v>
      </c>
      <c r="W217" s="201">
        <v>169.31481600000001</v>
      </c>
      <c r="X217" s="201">
        <v>406</v>
      </c>
      <c r="Y217" s="201">
        <v>399</v>
      </c>
      <c r="Z217" s="201">
        <v>382.43</v>
      </c>
      <c r="AA217" s="201">
        <v>342.62</v>
      </c>
      <c r="AB217" s="201">
        <v>200.388953079</v>
      </c>
      <c r="AC217" s="201">
        <v>205.76455200000001</v>
      </c>
      <c r="AD217" s="201">
        <v>0.93803205176000004</v>
      </c>
      <c r="AE217" s="201">
        <v>1.1780938125</v>
      </c>
      <c r="AF217" s="201">
        <v>0.65084844903000005</v>
      </c>
      <c r="AG217" s="201">
        <v>4.4764809100000003</v>
      </c>
      <c r="AH217" s="201">
        <v>2.06903587</v>
      </c>
      <c r="AI217" s="201">
        <v>11.794717</v>
      </c>
      <c r="AJ217" s="201">
        <v>0.369241392</v>
      </c>
      <c r="AK217" s="201">
        <v>0.57827182600000004</v>
      </c>
      <c r="AL217" s="201">
        <v>0.28020720199999999</v>
      </c>
      <c r="AM217" s="201">
        <v>4732.5916666666699</v>
      </c>
      <c r="AN217" s="201">
        <v>1.8476920219999999</v>
      </c>
      <c r="AO217" s="201">
        <v>98.5</v>
      </c>
      <c r="AP217" s="201">
        <v>335.03</v>
      </c>
      <c r="AQ217" s="201">
        <v>321</v>
      </c>
      <c r="AR217" s="201">
        <v>247.5</v>
      </c>
      <c r="AS217" s="201">
        <v>245.5</v>
      </c>
      <c r="AT217" s="201">
        <v>1871.21</v>
      </c>
      <c r="AU217" s="201">
        <v>6439.46</v>
      </c>
    </row>
    <row r="218" spans="1:47">
      <c r="A218" s="288" t="s">
        <v>6</v>
      </c>
      <c r="B218" s="201">
        <v>68.576666666669993</v>
      </c>
      <c r="C218" s="201">
        <v>71.2</v>
      </c>
      <c r="D218" s="201">
        <v>70.66</v>
      </c>
      <c r="E218" s="201">
        <v>63.87</v>
      </c>
      <c r="F218" s="201">
        <v>2.6459999999999999</v>
      </c>
      <c r="G218" s="201">
        <v>62.486065798120002</v>
      </c>
      <c r="H218" s="201">
        <v>2.3311299999999999</v>
      </c>
      <c r="I218" s="201">
        <v>2.6704562059999999</v>
      </c>
      <c r="J218" s="201">
        <v>1.6155455359999999</v>
      </c>
      <c r="K218" s="201">
        <v>668.63</v>
      </c>
      <c r="L218" s="201">
        <v>1318.5</v>
      </c>
      <c r="M218" s="201">
        <v>1377.61</v>
      </c>
      <c r="N218" s="201">
        <v>588.45000000000005</v>
      </c>
      <c r="O218" s="201">
        <v>636.23</v>
      </c>
      <c r="P218" s="201">
        <v>359.84</v>
      </c>
      <c r="Q218" s="201">
        <v>733.77</v>
      </c>
      <c r="R218" s="201">
        <v>341.53</v>
      </c>
      <c r="S218" s="201">
        <v>805.96</v>
      </c>
      <c r="T218" s="201">
        <v>713</v>
      </c>
      <c r="U218" s="201">
        <v>136.41086250000001</v>
      </c>
      <c r="V218" s="201">
        <v>161.48753600000001</v>
      </c>
      <c r="W218" s="201">
        <v>165.45673099999999</v>
      </c>
      <c r="X218" s="201">
        <v>413</v>
      </c>
      <c r="Y218" s="201">
        <v>404</v>
      </c>
      <c r="Z218" s="201">
        <v>391.3</v>
      </c>
      <c r="AA218" s="201">
        <v>341.11</v>
      </c>
      <c r="AB218" s="201">
        <v>197.331879735</v>
      </c>
      <c r="AC218" s="201">
        <v>199.51812810000001</v>
      </c>
      <c r="AD218" s="201">
        <v>0.93417878935999998</v>
      </c>
      <c r="AE218" s="201">
        <v>1.1643149374999999</v>
      </c>
      <c r="AF218" s="201">
        <v>0.57361838273999999</v>
      </c>
      <c r="AG218" s="201">
        <v>4.6989270679999997</v>
      </c>
      <c r="AH218" s="201">
        <v>2.0943890000000001</v>
      </c>
      <c r="AI218" s="201">
        <v>11.794717</v>
      </c>
      <c r="AJ218" s="201">
        <v>0.36708609599999997</v>
      </c>
      <c r="AK218" s="201">
        <v>0.59414509000000004</v>
      </c>
      <c r="AL218" s="201">
        <v>0.28241182199999998</v>
      </c>
      <c r="AM218" s="201">
        <v>4673.1416666666701</v>
      </c>
      <c r="AN218" s="201">
        <v>1.92353095</v>
      </c>
      <c r="AO218" s="201">
        <v>97.5</v>
      </c>
      <c r="AP218" s="201">
        <v>323.75</v>
      </c>
      <c r="AQ218" s="201">
        <v>310</v>
      </c>
      <c r="AR218" s="201">
        <v>247.5</v>
      </c>
      <c r="AS218" s="201">
        <v>265.5</v>
      </c>
      <c r="AT218" s="201">
        <v>1845.42</v>
      </c>
      <c r="AU218" s="201">
        <v>6438.36</v>
      </c>
    </row>
    <row r="219" spans="1:47">
      <c r="A219" s="288" t="s">
        <v>7</v>
      </c>
      <c r="B219" s="201">
        <v>66.833333333330003</v>
      </c>
      <c r="C219" s="201">
        <v>70.53</v>
      </c>
      <c r="D219" s="201">
        <v>69.13</v>
      </c>
      <c r="E219" s="201">
        <v>60.84</v>
      </c>
      <c r="F219" s="201">
        <v>2.6278999999999999</v>
      </c>
      <c r="G219" s="201">
        <v>59.422335332700001</v>
      </c>
      <c r="H219" s="201">
        <v>2.31508</v>
      </c>
      <c r="I219" s="201">
        <v>2.65766941</v>
      </c>
      <c r="J219" s="201">
        <v>1.5679257440000001</v>
      </c>
      <c r="K219" s="201">
        <v>661.17</v>
      </c>
      <c r="L219" s="201">
        <v>1312.86</v>
      </c>
      <c r="M219" s="201">
        <v>1392.89</v>
      </c>
      <c r="N219" s="201">
        <v>564.4</v>
      </c>
      <c r="O219" s="201">
        <v>573.36</v>
      </c>
      <c r="P219" s="201">
        <v>339.81</v>
      </c>
      <c r="Q219" s="201">
        <v>742.53</v>
      </c>
      <c r="R219" s="201">
        <v>339.18</v>
      </c>
      <c r="S219" s="201">
        <v>815.84</v>
      </c>
      <c r="T219" s="201">
        <v>721.57</v>
      </c>
      <c r="U219" s="201">
        <v>149.27114583333</v>
      </c>
      <c r="V219" s="201">
        <v>171.08151760000001</v>
      </c>
      <c r="W219" s="201">
        <v>165.45673099999999</v>
      </c>
      <c r="X219" s="201">
        <v>409</v>
      </c>
      <c r="Y219" s="201">
        <v>401</v>
      </c>
      <c r="Z219" s="201">
        <v>386.76</v>
      </c>
      <c r="AA219" s="201">
        <v>350.94</v>
      </c>
      <c r="AB219" s="201">
        <v>200.32281447299999</v>
      </c>
      <c r="AC219" s="201">
        <v>199.51812810000001</v>
      </c>
      <c r="AD219" s="201">
        <v>0.91854739972999999</v>
      </c>
      <c r="AE219" s="201">
        <v>1.1229783124999999</v>
      </c>
      <c r="AF219" s="201">
        <v>0.52193771509999998</v>
      </c>
      <c r="AG219" s="201">
        <v>4.6006010159999997</v>
      </c>
      <c r="AH219" s="201">
        <v>2.0866728299999999</v>
      </c>
      <c r="AI219" s="201">
        <v>11.794717</v>
      </c>
      <c r="AJ219" s="201">
        <v>0.36525735999999998</v>
      </c>
      <c r="AK219" s="201">
        <v>0.58113783200000002</v>
      </c>
      <c r="AL219" s="201">
        <v>0.27337287999999998</v>
      </c>
      <c r="AM219" s="201">
        <v>4650.8500000000004</v>
      </c>
      <c r="AN219" s="201">
        <v>1.7667824679999999</v>
      </c>
      <c r="AO219" s="201">
        <v>97.5</v>
      </c>
      <c r="AP219" s="201">
        <v>313.39999999999998</v>
      </c>
      <c r="AQ219" s="201">
        <v>305</v>
      </c>
      <c r="AR219" s="201">
        <v>247.5</v>
      </c>
      <c r="AS219" s="201">
        <v>265.5</v>
      </c>
      <c r="AT219" s="201">
        <v>1781.26</v>
      </c>
      <c r="AU219" s="201">
        <v>6017.9</v>
      </c>
    </row>
    <row r="220" spans="1:47">
      <c r="A220" s="288" t="s">
        <v>8</v>
      </c>
      <c r="B220" s="201">
        <v>59.76</v>
      </c>
      <c r="C220" s="201">
        <v>63.3</v>
      </c>
      <c r="D220" s="201">
        <v>61.3</v>
      </c>
      <c r="E220" s="201">
        <v>54.68</v>
      </c>
      <c r="F220" s="201">
        <v>2.3965000000000001</v>
      </c>
      <c r="G220" s="201">
        <v>52.962528876139999</v>
      </c>
      <c r="H220" s="201">
        <v>2.4077299999999999</v>
      </c>
      <c r="I220" s="201">
        <v>2.8600535260000002</v>
      </c>
      <c r="J220" s="201">
        <v>1.6318597239999999</v>
      </c>
      <c r="K220" s="201">
        <v>635.6</v>
      </c>
      <c r="L220" s="201">
        <v>1315</v>
      </c>
      <c r="M220" s="201">
        <v>1391.97</v>
      </c>
      <c r="N220" s="201">
        <v>552.19000000000005</v>
      </c>
      <c r="O220" s="201">
        <v>542.24</v>
      </c>
      <c r="P220" s="201">
        <v>358.95</v>
      </c>
      <c r="Q220" s="201">
        <v>742.89</v>
      </c>
      <c r="R220" s="201">
        <v>362.6</v>
      </c>
      <c r="S220" s="201">
        <v>840.01</v>
      </c>
      <c r="T220" s="201">
        <v>725</v>
      </c>
      <c r="U220" s="201">
        <v>149.27114583333</v>
      </c>
      <c r="V220" s="201">
        <v>195.08025040000001</v>
      </c>
      <c r="W220" s="201">
        <v>157.74056100000001</v>
      </c>
      <c r="X220" s="201">
        <v>420</v>
      </c>
      <c r="Y220" s="201">
        <v>411</v>
      </c>
      <c r="Z220" s="201">
        <v>394.2</v>
      </c>
      <c r="AA220" s="201">
        <v>358.82</v>
      </c>
      <c r="AB220" s="201">
        <v>222.40943451000001</v>
      </c>
      <c r="AC220" s="201">
        <v>206.13198869999999</v>
      </c>
      <c r="AD220" s="201">
        <v>0.88604597539999996</v>
      </c>
      <c r="AE220" s="201">
        <v>1.1264230312500001</v>
      </c>
      <c r="AF220" s="201">
        <v>0.54341402120000004</v>
      </c>
      <c r="AG220" s="201">
        <v>4.6291508449999998</v>
      </c>
      <c r="AH220" s="201">
        <v>2.0723427999999999</v>
      </c>
      <c r="AI220" s="201">
        <v>11.97329122</v>
      </c>
      <c r="AJ220" s="201">
        <v>0.36875155199999998</v>
      </c>
      <c r="AK220" s="201">
        <v>0.584003838</v>
      </c>
      <c r="AL220" s="201">
        <v>0.284836904</v>
      </c>
      <c r="AM220" s="201">
        <v>4607.0416666666697</v>
      </c>
      <c r="AN220" s="201">
        <v>1.71188743</v>
      </c>
      <c r="AO220" s="201">
        <v>97.5</v>
      </c>
      <c r="AP220" s="201">
        <v>314.88</v>
      </c>
      <c r="AQ220" s="201">
        <v>293.75</v>
      </c>
      <c r="AR220" s="201">
        <v>247.5</v>
      </c>
      <c r="AS220" s="201">
        <v>265.5</v>
      </c>
      <c r="AT220" s="201">
        <v>1755.95</v>
      </c>
      <c r="AU220" s="201">
        <v>5882.23</v>
      </c>
    </row>
    <row r="221" spans="1:47">
      <c r="A221" s="288" t="s">
        <v>9</v>
      </c>
      <c r="B221" s="201">
        <v>61.476666666669999</v>
      </c>
      <c r="C221" s="201">
        <v>64</v>
      </c>
      <c r="D221" s="201">
        <v>62.91</v>
      </c>
      <c r="E221" s="201">
        <v>57.52</v>
      </c>
      <c r="F221" s="201">
        <v>2.36</v>
      </c>
      <c r="G221" s="201">
        <v>52.731038159759997</v>
      </c>
      <c r="H221" s="201">
        <v>2.4165299999999998</v>
      </c>
      <c r="I221" s="201">
        <v>2.9865987139999999</v>
      </c>
      <c r="J221" s="201">
        <v>1.6298755659999999</v>
      </c>
      <c r="K221" s="201">
        <v>657.31</v>
      </c>
      <c r="L221" s="201">
        <v>1260</v>
      </c>
      <c r="M221" s="201">
        <v>1437.71</v>
      </c>
      <c r="N221" s="201">
        <v>543.88</v>
      </c>
      <c r="O221" s="201">
        <v>555.03</v>
      </c>
      <c r="P221" s="201">
        <v>369.58</v>
      </c>
      <c r="Q221" s="201">
        <v>748.17</v>
      </c>
      <c r="R221" s="201">
        <v>348.73</v>
      </c>
      <c r="S221" s="201">
        <v>845.27</v>
      </c>
      <c r="T221" s="201">
        <v>753.83</v>
      </c>
      <c r="U221" s="201">
        <v>149.27114583333</v>
      </c>
      <c r="V221" s="201">
        <v>189.41913199999999</v>
      </c>
      <c r="W221" s="201">
        <v>159.504257</v>
      </c>
      <c r="X221" s="201">
        <v>416</v>
      </c>
      <c r="Y221" s="201">
        <v>409</v>
      </c>
      <c r="Z221" s="201">
        <v>391.7</v>
      </c>
      <c r="AA221" s="201">
        <v>360.16</v>
      </c>
      <c r="AB221" s="201">
        <v>203.96043780299999</v>
      </c>
      <c r="AC221" s="201">
        <v>196.21119780000001</v>
      </c>
      <c r="AD221" s="201">
        <v>0.86360873093000001</v>
      </c>
      <c r="AE221" s="201">
        <v>1.1264230312500001</v>
      </c>
      <c r="AF221" s="201">
        <v>0.54277925353000001</v>
      </c>
      <c r="AG221" s="201">
        <v>4.629702</v>
      </c>
      <c r="AH221" s="201">
        <v>1.9885672400000001</v>
      </c>
      <c r="AI221" s="201">
        <v>12.945528639999999</v>
      </c>
      <c r="AJ221" s="201">
        <v>0.36640032</v>
      </c>
      <c r="AK221" s="201">
        <v>0.56570549199999998</v>
      </c>
      <c r="AL221" s="201">
        <v>0.28285274599999999</v>
      </c>
      <c r="AM221" s="201">
        <v>4542.6333333333296</v>
      </c>
      <c r="AN221" s="201">
        <v>1.6653699479999999</v>
      </c>
      <c r="AO221" s="201">
        <v>80</v>
      </c>
      <c r="AP221" s="201">
        <v>307.5</v>
      </c>
      <c r="AQ221" s="201">
        <v>283.75</v>
      </c>
      <c r="AR221" s="201">
        <v>263.5</v>
      </c>
      <c r="AS221" s="201">
        <v>265.5</v>
      </c>
      <c r="AT221" s="201">
        <v>1796.99</v>
      </c>
      <c r="AU221" s="201">
        <v>5941.2</v>
      </c>
    </row>
    <row r="222" spans="1:47">
      <c r="A222" s="288" t="s">
        <v>10</v>
      </c>
      <c r="B222" s="201">
        <v>57.67</v>
      </c>
      <c r="C222" s="201">
        <v>59.25</v>
      </c>
      <c r="D222" s="201">
        <v>58.92</v>
      </c>
      <c r="E222" s="201">
        <v>54.84</v>
      </c>
      <c r="F222" s="201">
        <v>2.2242999999999999</v>
      </c>
      <c r="G222" s="201">
        <v>51.848054479319998</v>
      </c>
      <c r="H222" s="201">
        <v>2.1947000000000001</v>
      </c>
      <c r="I222" s="201">
        <v>2.7828918260000002</v>
      </c>
      <c r="J222" s="201">
        <v>1.5602095739999999</v>
      </c>
      <c r="K222" s="201">
        <v>719.28</v>
      </c>
      <c r="L222" s="201">
        <v>1252.3800000000001</v>
      </c>
      <c r="M222" s="201">
        <v>1457.89</v>
      </c>
      <c r="N222" s="201">
        <v>586.12</v>
      </c>
      <c r="O222" s="201">
        <v>619.33000000000004</v>
      </c>
      <c r="P222" s="201">
        <v>360.93</v>
      </c>
      <c r="Q222" s="201">
        <v>793.21</v>
      </c>
      <c r="R222" s="201">
        <v>337.36</v>
      </c>
      <c r="S222" s="201">
        <v>877.48</v>
      </c>
      <c r="T222" s="201">
        <v>776</v>
      </c>
      <c r="U222" s="201">
        <v>135.03297499999999</v>
      </c>
      <c r="V222" s="201">
        <v>163.5858504</v>
      </c>
      <c r="W222" s="201">
        <v>147.930002</v>
      </c>
      <c r="X222" s="201">
        <v>430</v>
      </c>
      <c r="Y222" s="201">
        <v>421</v>
      </c>
      <c r="Z222" s="201">
        <v>407.52</v>
      </c>
      <c r="AA222" s="201">
        <v>362.39</v>
      </c>
      <c r="AB222" s="201">
        <v>197.522946819</v>
      </c>
      <c r="AC222" s="201">
        <v>181.14629310000001</v>
      </c>
      <c r="AD222" s="201">
        <v>0.83382134537999997</v>
      </c>
      <c r="AE222" s="201">
        <v>1.1229783124999999</v>
      </c>
      <c r="AF222" s="201">
        <v>0.52542893726999995</v>
      </c>
      <c r="AG222" s="201">
        <v>4.595861083</v>
      </c>
      <c r="AH222" s="201">
        <v>1.90038244</v>
      </c>
      <c r="AI222" s="201">
        <v>13.05575964</v>
      </c>
      <c r="AJ222" s="201">
        <v>0.36333065599999997</v>
      </c>
      <c r="AK222" s="201">
        <v>0.56879195999999999</v>
      </c>
      <c r="AL222" s="201">
        <v>0.271609184</v>
      </c>
      <c r="AM222" s="201">
        <v>4523.1333333333296</v>
      </c>
      <c r="AN222" s="201">
        <v>1.5604300360000001</v>
      </c>
      <c r="AO222" s="201">
        <v>78</v>
      </c>
      <c r="AP222" s="201">
        <v>292.89999999999998</v>
      </c>
      <c r="AQ222" s="201">
        <v>275</v>
      </c>
      <c r="AR222" s="201">
        <v>262.5</v>
      </c>
      <c r="AS222" s="201">
        <v>265.5</v>
      </c>
      <c r="AT222" s="201">
        <v>1740.68</v>
      </c>
      <c r="AU222" s="201">
        <v>5709.44</v>
      </c>
    </row>
    <row r="223" spans="1:47">
      <c r="A223" s="288" t="s">
        <v>11</v>
      </c>
      <c r="B223" s="201">
        <v>60.04</v>
      </c>
      <c r="C223" s="201">
        <v>62.33</v>
      </c>
      <c r="D223" s="201">
        <v>60.84</v>
      </c>
      <c r="E223" s="201">
        <v>56.95</v>
      </c>
      <c r="F223" s="201">
        <v>2.58</v>
      </c>
      <c r="G223" s="201">
        <v>58.192513767820003</v>
      </c>
      <c r="H223" s="201">
        <v>2.3054199999999998</v>
      </c>
      <c r="I223" s="201">
        <v>2.8415347180000001</v>
      </c>
      <c r="J223" s="201">
        <v>1.5573435680000001</v>
      </c>
      <c r="K223" s="201">
        <v>724.03</v>
      </c>
      <c r="L223" s="201">
        <v>1321.43</v>
      </c>
      <c r="M223" s="201">
        <v>1458.25</v>
      </c>
      <c r="N223" s="201">
        <v>580.29999999999995</v>
      </c>
      <c r="O223" s="201">
        <v>613.15</v>
      </c>
      <c r="P223" s="201">
        <v>366.07</v>
      </c>
      <c r="Q223" s="201">
        <v>779.25</v>
      </c>
      <c r="R223" s="201">
        <v>333.13</v>
      </c>
      <c r="S223" s="201">
        <v>903.07</v>
      </c>
      <c r="T223" s="201">
        <v>776</v>
      </c>
      <c r="U223" s="201">
        <v>114.82395833333</v>
      </c>
      <c r="V223" s="201">
        <v>157.25941280000001</v>
      </c>
      <c r="W223" s="201">
        <v>149.69369800000001</v>
      </c>
      <c r="X223" s="201">
        <v>427</v>
      </c>
      <c r="Y223" s="201">
        <v>421</v>
      </c>
      <c r="Z223" s="201">
        <v>401.71</v>
      </c>
      <c r="AA223" s="201">
        <v>350.85</v>
      </c>
      <c r="AB223" s="201">
        <v>201.90646665</v>
      </c>
      <c r="AC223" s="201">
        <v>189.5973372</v>
      </c>
      <c r="AD223" s="201">
        <v>0.84632254663999995</v>
      </c>
      <c r="AE223" s="201">
        <v>1.1505360625000001</v>
      </c>
      <c r="AF223" s="201">
        <v>0.53383960887000004</v>
      </c>
      <c r="AG223" s="201">
        <v>4.6545039749999999</v>
      </c>
      <c r="AH223" s="201">
        <v>1.85298311</v>
      </c>
      <c r="AI223" s="201">
        <v>13.22772</v>
      </c>
      <c r="AJ223" s="201">
        <v>0.35947724800000003</v>
      </c>
      <c r="AK223" s="201">
        <v>0.56526456800000002</v>
      </c>
      <c r="AL223" s="201">
        <v>0.26190885600000002</v>
      </c>
      <c r="AM223" s="201">
        <v>4544.5</v>
      </c>
      <c r="AN223" s="201">
        <v>1.5721145219999999</v>
      </c>
      <c r="AO223" s="201">
        <v>77.5</v>
      </c>
      <c r="AP223" s="201">
        <v>285.75</v>
      </c>
      <c r="AQ223" s="201">
        <v>270</v>
      </c>
      <c r="AR223" s="201">
        <v>237.75</v>
      </c>
      <c r="AS223" s="201">
        <v>265.5</v>
      </c>
      <c r="AT223" s="201">
        <v>1753.51</v>
      </c>
      <c r="AU223" s="201">
        <v>5759.25</v>
      </c>
    </row>
    <row r="224" spans="1:47">
      <c r="A224" s="288" t="s">
        <v>12</v>
      </c>
      <c r="B224" s="201">
        <v>57.273333333330001</v>
      </c>
      <c r="C224" s="201">
        <v>59.37</v>
      </c>
      <c r="D224" s="201">
        <v>58.47</v>
      </c>
      <c r="E224" s="201">
        <v>53.98</v>
      </c>
      <c r="F224" s="201">
        <v>2.3313000000000001</v>
      </c>
      <c r="G224" s="201">
        <v>59.115498034280002</v>
      </c>
      <c r="H224" s="201">
        <v>2.43527</v>
      </c>
      <c r="I224" s="201">
        <v>2.799646938</v>
      </c>
      <c r="J224" s="201">
        <v>1.5130307059999999</v>
      </c>
      <c r="K224" s="201">
        <v>719.52</v>
      </c>
      <c r="L224" s="201">
        <v>1358.7</v>
      </c>
      <c r="M224" s="201">
        <v>1458.53</v>
      </c>
      <c r="N224" s="201">
        <v>591.35</v>
      </c>
      <c r="O224" s="201">
        <v>593.74</v>
      </c>
      <c r="P224" s="201">
        <v>381.65</v>
      </c>
      <c r="Q224" s="201">
        <v>770.8</v>
      </c>
      <c r="R224" s="201">
        <v>341.76</v>
      </c>
      <c r="S224" s="201">
        <v>908.67</v>
      </c>
      <c r="T224" s="201">
        <v>776</v>
      </c>
      <c r="U224" s="201">
        <v>114.82395833333</v>
      </c>
      <c r="V224" s="201">
        <v>167.1486544</v>
      </c>
      <c r="W224" s="201">
        <v>163.80326600000001</v>
      </c>
      <c r="X224" s="201">
        <v>424</v>
      </c>
      <c r="Y224" s="201">
        <v>418</v>
      </c>
      <c r="Z224" s="201">
        <v>397.04</v>
      </c>
      <c r="AA224" s="201">
        <v>325.79000000000002</v>
      </c>
      <c r="AB224" s="201">
        <v>212.84873157600001</v>
      </c>
      <c r="AC224" s="201">
        <v>199.51812810000001</v>
      </c>
      <c r="AD224" s="201">
        <v>0.85602809683000003</v>
      </c>
      <c r="AE224" s="201">
        <v>1.1340014125</v>
      </c>
      <c r="AF224" s="201">
        <v>0.52072107707000004</v>
      </c>
      <c r="AG224" s="201">
        <v>4.8583210939999999</v>
      </c>
      <c r="AH224" s="201">
        <v>1.8518808</v>
      </c>
      <c r="AI224" s="201">
        <v>13.404089600000001</v>
      </c>
      <c r="AJ224" s="201">
        <v>0.36094676799999997</v>
      </c>
      <c r="AK224" s="201">
        <v>0.57474443399999997</v>
      </c>
      <c r="AL224" s="201">
        <v>0.27712073399999998</v>
      </c>
      <c r="AM224" s="201">
        <v>4447.3916666666701</v>
      </c>
      <c r="AN224" s="201">
        <v>1.6287732559999999</v>
      </c>
      <c r="AO224" s="201">
        <v>77.5</v>
      </c>
      <c r="AP224" s="201">
        <v>277.38</v>
      </c>
      <c r="AQ224" s="201">
        <v>270</v>
      </c>
      <c r="AR224" s="201">
        <v>237</v>
      </c>
      <c r="AS224" s="201">
        <v>265.5</v>
      </c>
      <c r="AT224" s="201">
        <v>1725.96</v>
      </c>
      <c r="AU224" s="201">
        <v>5757.3</v>
      </c>
    </row>
    <row r="225" spans="1:47">
      <c r="A225" s="288" t="s">
        <v>13</v>
      </c>
      <c r="B225" s="201">
        <v>60.403333333330004</v>
      </c>
      <c r="C225" s="201">
        <v>62.74</v>
      </c>
      <c r="D225" s="201">
        <v>61.41</v>
      </c>
      <c r="E225" s="201">
        <v>57.06</v>
      </c>
      <c r="F225" s="201">
        <v>2.6505000000000001</v>
      </c>
      <c r="G225" s="201">
        <v>63.47069207042</v>
      </c>
      <c r="H225" s="201">
        <v>2.51966</v>
      </c>
      <c r="I225" s="201">
        <v>3.1080732759999998</v>
      </c>
      <c r="J225" s="201">
        <v>1.6155455359999999</v>
      </c>
      <c r="K225" s="201">
        <v>848.92</v>
      </c>
      <c r="L225" s="201">
        <v>1400</v>
      </c>
      <c r="M225" s="201">
        <v>1388.47</v>
      </c>
      <c r="N225" s="201">
        <v>685.41</v>
      </c>
      <c r="O225" s="201">
        <v>767.44</v>
      </c>
      <c r="P225" s="201">
        <v>375.51</v>
      </c>
      <c r="Q225" s="201">
        <v>770.2</v>
      </c>
      <c r="R225" s="201">
        <v>347.32</v>
      </c>
      <c r="S225" s="201">
        <v>891.17</v>
      </c>
      <c r="T225" s="201">
        <v>776</v>
      </c>
      <c r="U225" s="201">
        <v>114.82395833333</v>
      </c>
      <c r="V225" s="201">
        <v>166.3337368</v>
      </c>
      <c r="W225" s="201">
        <v>161.929339</v>
      </c>
      <c r="X225" s="201">
        <v>421</v>
      </c>
      <c r="Y225" s="201">
        <v>415</v>
      </c>
      <c r="Z225" s="201">
        <v>394.76</v>
      </c>
      <c r="AA225" s="201">
        <v>328.24</v>
      </c>
      <c r="AB225" s="201">
        <v>223.53746517900001</v>
      </c>
      <c r="AC225" s="201">
        <v>203.1924951</v>
      </c>
      <c r="AD225" s="201">
        <v>0.85366710038000004</v>
      </c>
      <c r="AE225" s="201">
        <v>1.1298677500000001</v>
      </c>
      <c r="AF225" s="201">
        <v>0.52521734804999998</v>
      </c>
      <c r="AG225" s="201">
        <v>5.9362700430000004</v>
      </c>
      <c r="AH225" s="201">
        <v>1.8518808</v>
      </c>
      <c r="AI225" s="201">
        <v>13.68187172</v>
      </c>
      <c r="AJ225" s="201">
        <v>0.36097942399999999</v>
      </c>
      <c r="AK225" s="201">
        <v>0.60053848799999998</v>
      </c>
      <c r="AL225" s="201">
        <v>0.28219136</v>
      </c>
      <c r="AM225" s="201">
        <v>4320.9750000000004</v>
      </c>
      <c r="AN225" s="201">
        <v>1.650378532</v>
      </c>
      <c r="AO225" s="201">
        <v>74</v>
      </c>
      <c r="AP225" s="201">
        <v>248</v>
      </c>
      <c r="AQ225" s="201">
        <v>264</v>
      </c>
      <c r="AR225" s="201">
        <v>224.5</v>
      </c>
      <c r="AS225" s="201">
        <v>265.5</v>
      </c>
      <c r="AT225" s="201">
        <v>1774.79</v>
      </c>
      <c r="AU225" s="201">
        <v>5859.95</v>
      </c>
    </row>
    <row r="226" spans="1:47">
      <c r="A226" s="288" t="s">
        <v>14</v>
      </c>
      <c r="B226" s="201">
        <v>63.353333333329999</v>
      </c>
      <c r="C226" s="201">
        <v>65.849999999999994</v>
      </c>
      <c r="D226" s="201">
        <v>64.41</v>
      </c>
      <c r="E226" s="201">
        <v>59.8</v>
      </c>
      <c r="F226" s="201">
        <v>2.2425000000000002</v>
      </c>
      <c r="G226" s="201">
        <v>56.010463863330003</v>
      </c>
      <c r="H226" s="201">
        <v>2.4447100000000002</v>
      </c>
      <c r="I226" s="201">
        <v>3.4550804639999999</v>
      </c>
      <c r="J226" s="201">
        <v>1.6144432259999999</v>
      </c>
      <c r="K226" s="201">
        <v>1031.29</v>
      </c>
      <c r="L226" s="201">
        <v>1528.75</v>
      </c>
      <c r="M226" s="201">
        <v>1404.96</v>
      </c>
      <c r="N226" s="201">
        <v>763.73</v>
      </c>
      <c r="O226" s="201">
        <v>969.77</v>
      </c>
      <c r="P226" s="201">
        <v>383.2</v>
      </c>
      <c r="Q226" s="201">
        <v>833.52</v>
      </c>
      <c r="R226" s="201">
        <v>352.68</v>
      </c>
      <c r="S226" s="201">
        <v>900.66</v>
      </c>
      <c r="T226" s="201">
        <v>776</v>
      </c>
      <c r="U226" s="201">
        <v>114.82395833333</v>
      </c>
      <c r="V226" s="201">
        <v>166.95575120000001</v>
      </c>
      <c r="W226" s="201">
        <v>163.91349700000001</v>
      </c>
      <c r="X226" s="201">
        <v>432</v>
      </c>
      <c r="Y226" s="201">
        <v>423</v>
      </c>
      <c r="Z226" s="201">
        <v>400.9</v>
      </c>
      <c r="AA226" s="201">
        <v>337.43</v>
      </c>
      <c r="AB226" s="201">
        <v>237.67642939500001</v>
      </c>
      <c r="AC226" s="201">
        <v>210.90866579999999</v>
      </c>
      <c r="AD226" s="201">
        <v>0.85824292698000004</v>
      </c>
      <c r="AE226" s="201">
        <v>1.1367571875</v>
      </c>
      <c r="AF226" s="201">
        <v>0.51622480607999999</v>
      </c>
      <c r="AG226" s="201">
        <v>5.5635790319999998</v>
      </c>
      <c r="AH226" s="201">
        <v>1.97754414</v>
      </c>
      <c r="AI226" s="201">
        <v>13.950835359999999</v>
      </c>
      <c r="AJ226" s="201">
        <v>0.36287347199999997</v>
      </c>
      <c r="AK226" s="201">
        <v>0.573421662</v>
      </c>
      <c r="AL226" s="201">
        <v>0.29563954199999998</v>
      </c>
      <c r="AM226" s="201">
        <v>4321.0249999999996</v>
      </c>
      <c r="AN226" s="201">
        <v>1.6717633460000001</v>
      </c>
      <c r="AO226" s="201">
        <v>72.5</v>
      </c>
      <c r="AP226" s="201">
        <v>238.16</v>
      </c>
      <c r="AQ226" s="201">
        <v>243.33</v>
      </c>
      <c r="AR226" s="201">
        <v>217.5</v>
      </c>
      <c r="AS226" s="201">
        <v>265.5</v>
      </c>
      <c r="AT226" s="201">
        <v>1771.38</v>
      </c>
      <c r="AU226" s="201">
        <v>6077.06</v>
      </c>
    </row>
    <row r="227" spans="1:47" s="291" customFormat="1" ht="15">
      <c r="A227" s="198" t="s">
        <v>1</v>
      </c>
      <c r="B227" s="241">
        <v>61.407499999999175</v>
      </c>
      <c r="C227" s="241">
        <v>64.031666666666666</v>
      </c>
      <c r="D227" s="241">
        <v>63.177500000000002</v>
      </c>
      <c r="E227" s="241">
        <v>57.013333333333343</v>
      </c>
      <c r="F227" s="241">
        <v>2.5658833333333333</v>
      </c>
      <c r="G227" s="241">
        <v>61.14597573991167</v>
      </c>
      <c r="H227" s="241">
        <v>2.3408216666666668</v>
      </c>
      <c r="I227" s="241">
        <v>2.879766503166667</v>
      </c>
      <c r="J227" s="241">
        <v>1.6217735874999999</v>
      </c>
      <c r="K227" s="241">
        <v>735.65083333333348</v>
      </c>
      <c r="L227" s="241">
        <v>1337.8058333333336</v>
      </c>
      <c r="M227" s="241">
        <v>1407.3741666666665</v>
      </c>
      <c r="N227" s="241">
        <v>601.36666666666679</v>
      </c>
      <c r="O227" s="241">
        <v>665.39</v>
      </c>
      <c r="P227" s="241">
        <v>368.94666666666666</v>
      </c>
      <c r="Q227" s="241">
        <v>765.44</v>
      </c>
      <c r="R227" s="241">
        <v>347.02250000000004</v>
      </c>
      <c r="S227" s="241">
        <v>857.18666666666661</v>
      </c>
      <c r="T227" s="241">
        <v>741.10333333333335</v>
      </c>
      <c r="U227" s="241">
        <v>128.06698819444333</v>
      </c>
      <c r="V227" s="241">
        <v>170.07008806666667</v>
      </c>
      <c r="W227" s="241">
        <v>161.50678683333336</v>
      </c>
      <c r="X227" s="241">
        <v>418</v>
      </c>
      <c r="Y227" s="241">
        <v>410.41666666666669</v>
      </c>
      <c r="Z227" s="241">
        <v>393.49333333333328</v>
      </c>
      <c r="AA227" s="241">
        <v>351.88416666666672</v>
      </c>
      <c r="AB227" s="241">
        <v>211.27579630275</v>
      </c>
      <c r="AC227" s="241">
        <v>201.69212857500005</v>
      </c>
      <c r="AD227" s="241">
        <v>0.87572033564333329</v>
      </c>
      <c r="AE227" s="241">
        <v>1.1405463781250003</v>
      </c>
      <c r="AF227" s="241">
        <v>0.56000614274750005</v>
      </c>
      <c r="AG227" s="241">
        <v>4.7636602227499996</v>
      </c>
      <c r="AH227" s="241">
        <v>1.9983961708333331</v>
      </c>
      <c r="AI227" s="241">
        <v>12.601056765000001</v>
      </c>
      <c r="AJ227" s="241">
        <v>0.36566828133333323</v>
      </c>
      <c r="AK227" s="241">
        <v>0.57672859199999993</v>
      </c>
      <c r="AL227" s="241">
        <v>0.28002348366666663</v>
      </c>
      <c r="AM227" s="241">
        <v>4579.3583333333336</v>
      </c>
      <c r="AN227" s="241">
        <v>1.7169396841666666</v>
      </c>
      <c r="AO227" s="241">
        <v>87.958333333333329</v>
      </c>
      <c r="AP227" s="241">
        <v>306.35500000000002</v>
      </c>
      <c r="AQ227" s="241">
        <v>294.54833333333335</v>
      </c>
      <c r="AR227" s="241">
        <v>245.28166666666667</v>
      </c>
      <c r="AS227" s="241">
        <v>255.5</v>
      </c>
      <c r="AT227" s="241">
        <v>1794.4883333333337</v>
      </c>
      <c r="AU227" s="241">
        <v>6010.1449999999995</v>
      </c>
    </row>
    <row r="228" spans="1:47" s="291" customFormat="1" ht="15">
      <c r="A228" s="198" t="s">
        <v>172</v>
      </c>
      <c r="B228" s="241">
        <v>-10.153992464979078</v>
      </c>
      <c r="C228" s="241">
        <v>-9.9054944539549332</v>
      </c>
      <c r="D228" s="241">
        <v>-8.639222964016291</v>
      </c>
      <c r="E228" s="241">
        <v>-12.042477147962916</v>
      </c>
      <c r="F228" s="241">
        <v>-18.794093367830001</v>
      </c>
      <c r="G228" s="241">
        <v>-25.537972377428918</v>
      </c>
      <c r="H228" s="241">
        <v>2.0513550845369988</v>
      </c>
      <c r="I228" s="241">
        <v>-1.579139039582067</v>
      </c>
      <c r="J228" s="241">
        <v>-13.239832524128726</v>
      </c>
      <c r="K228" s="241">
        <v>-26.196531463293084</v>
      </c>
      <c r="L228" s="241">
        <v>1.3589730800338318</v>
      </c>
      <c r="M228" s="241">
        <v>-2.6745287014791619</v>
      </c>
      <c r="N228" s="241">
        <v>-5.838695071810962</v>
      </c>
      <c r="O228" s="241">
        <v>-28.180598180202431</v>
      </c>
      <c r="P228" s="241">
        <v>-6.4594165756408639</v>
      </c>
      <c r="Q228" s="241">
        <v>-3.0005037272649249</v>
      </c>
      <c r="R228" s="241">
        <v>-14.363184314919019</v>
      </c>
      <c r="S228" s="241">
        <v>3.2716656108156661</v>
      </c>
      <c r="T228" s="241">
        <v>-3.1866021624305074</v>
      </c>
      <c r="U228" s="241">
        <v>1.7330495591345363</v>
      </c>
      <c r="V228" s="241">
        <v>3.4398058911090601</v>
      </c>
      <c r="W228" s="241">
        <v>-4.2009480738843692</v>
      </c>
      <c r="X228" s="241">
        <v>-0.63391442155309452</v>
      </c>
      <c r="Y228" s="241">
        <v>0.57177863998367773</v>
      </c>
      <c r="Z228" s="241">
        <v>-1.8891132886196149</v>
      </c>
      <c r="AA228" s="241">
        <v>-13.359788088384061</v>
      </c>
      <c r="AB228" s="241">
        <v>3.6219684898653126</v>
      </c>
      <c r="AC228" s="241">
        <v>-3.9235705950991462</v>
      </c>
      <c r="AD228" s="241">
        <v>-7.582364910527561</v>
      </c>
      <c r="AE228" s="241">
        <v>-0.57554676943093463</v>
      </c>
      <c r="AF228" s="241">
        <v>-29.100021207612738</v>
      </c>
      <c r="AG228" s="241">
        <v>13.554508388769415</v>
      </c>
      <c r="AH228" s="241">
        <v>-10.906144506916416</v>
      </c>
      <c r="AI228" s="241">
        <v>2.9741172231563917</v>
      </c>
      <c r="AJ228" s="241">
        <v>-5.2310491720033099</v>
      </c>
      <c r="AK228" s="241">
        <v>3.1240760816004354</v>
      </c>
      <c r="AL228" s="241">
        <v>1.599786695107297</v>
      </c>
      <c r="AM228" s="241">
        <v>-5.8898714966708958</v>
      </c>
      <c r="AN228" s="241">
        <v>-14.774385350550823</v>
      </c>
      <c r="AO228" s="241">
        <v>6.6363291619264686E-2</v>
      </c>
      <c r="AP228" s="241">
        <v>-22.131282963716082</v>
      </c>
      <c r="AQ228" s="241">
        <v>-15.051083557847832</v>
      </c>
      <c r="AR228" s="241">
        <v>-1.6708453110932497</v>
      </c>
      <c r="AS228" s="241">
        <v>18.561484918793504</v>
      </c>
      <c r="AT228" s="241">
        <v>-14.891647596801771</v>
      </c>
      <c r="AU228" s="241">
        <v>-7.9581834967338505</v>
      </c>
    </row>
    <row r="229" spans="1:47"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01"/>
      <c r="AD229" s="201"/>
      <c r="AE229" s="201"/>
      <c r="AF229" s="201"/>
      <c r="AG229" s="201"/>
      <c r="AH229" s="201"/>
      <c r="AI229" s="201"/>
      <c r="AJ229" s="201"/>
      <c r="AK229" s="201"/>
      <c r="AL229" s="201"/>
      <c r="AM229" s="201"/>
      <c r="AN229" s="201"/>
      <c r="AO229" s="201"/>
      <c r="AP229" s="201"/>
      <c r="AQ229" s="201"/>
      <c r="AR229" s="201"/>
      <c r="AS229" s="201"/>
      <c r="AT229" s="201"/>
      <c r="AU229" s="201"/>
    </row>
    <row r="230" spans="1:47">
      <c r="A230" s="292">
        <v>2020</v>
      </c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  <c r="AB230" s="201"/>
      <c r="AC230" s="201"/>
      <c r="AD230" s="201"/>
      <c r="AE230" s="201"/>
      <c r="AF230" s="201"/>
      <c r="AG230" s="201"/>
      <c r="AH230" s="201"/>
      <c r="AI230" s="201"/>
      <c r="AJ230" s="201"/>
      <c r="AK230" s="201"/>
      <c r="AL230" s="201"/>
      <c r="AM230" s="201"/>
      <c r="AN230" s="201"/>
      <c r="AO230" s="201"/>
      <c r="AP230" s="201"/>
      <c r="AQ230" s="201"/>
      <c r="AR230" s="201"/>
      <c r="AS230" s="201"/>
      <c r="AT230" s="201"/>
      <c r="AU230" s="201"/>
    </row>
    <row r="231" spans="1:47">
      <c r="A231" s="288" t="s">
        <v>3</v>
      </c>
      <c r="B231" s="201">
        <v>61.626666666669998</v>
      </c>
      <c r="C231" s="201">
        <v>63.6</v>
      </c>
      <c r="D231" s="201">
        <v>63.76</v>
      </c>
      <c r="E231" s="201">
        <v>57.52</v>
      </c>
      <c r="F231" s="201">
        <v>2.0305</v>
      </c>
      <c r="G231" s="201">
        <v>48.628477917429997</v>
      </c>
      <c r="H231" s="201">
        <v>2.6030700000000002</v>
      </c>
      <c r="I231" s="201">
        <v>3.1347491779999999</v>
      </c>
      <c r="J231" s="201">
        <v>1.5553594100000001</v>
      </c>
      <c r="K231" s="201">
        <v>1003.72</v>
      </c>
      <c r="L231" s="201">
        <v>1671.59</v>
      </c>
      <c r="M231" s="201">
        <v>1371.35</v>
      </c>
      <c r="N231" s="201">
        <v>810.07</v>
      </c>
      <c r="O231" s="201">
        <v>970.53</v>
      </c>
      <c r="P231" s="201">
        <v>387.23</v>
      </c>
      <c r="Q231" s="201">
        <v>875.64</v>
      </c>
      <c r="R231" s="201">
        <v>355.53</v>
      </c>
      <c r="S231" s="201">
        <v>945.39</v>
      </c>
      <c r="T231" s="201">
        <v>806.91</v>
      </c>
      <c r="U231" s="201">
        <v>114.82395833333</v>
      </c>
      <c r="V231" s="201">
        <v>171.78620480000001</v>
      </c>
      <c r="W231" s="201">
        <v>166.22834800000001</v>
      </c>
      <c r="X231" s="201">
        <v>451</v>
      </c>
      <c r="Y231" s="201">
        <v>440</v>
      </c>
      <c r="Z231" s="201">
        <v>426</v>
      </c>
      <c r="AA231" s="201">
        <v>348.68</v>
      </c>
      <c r="AB231" s="201">
        <v>247.994051931</v>
      </c>
      <c r="AC231" s="201">
        <v>224.5038237</v>
      </c>
      <c r="AD231" s="201">
        <v>0.87031262898999995</v>
      </c>
      <c r="AE231" s="201">
        <v>1.1698264875</v>
      </c>
      <c r="AF231" s="201">
        <v>0.51241620007999999</v>
      </c>
      <c r="AG231" s="201">
        <v>5.0390999340000002</v>
      </c>
      <c r="AH231" s="201">
        <v>2.0712404900000001</v>
      </c>
      <c r="AI231" s="201">
        <v>13.999337000000001</v>
      </c>
      <c r="AJ231" s="201">
        <v>0.36264488</v>
      </c>
      <c r="AK231" s="201">
        <v>0.57099657999999998</v>
      </c>
      <c r="AL231" s="201">
        <v>0.31195372999999998</v>
      </c>
      <c r="AM231" s="201">
        <v>4424.3083333333298</v>
      </c>
      <c r="AN231" s="201">
        <v>1.7431930339999999</v>
      </c>
      <c r="AO231" s="201">
        <v>72.5</v>
      </c>
      <c r="AP231" s="201">
        <v>264.89999999999998</v>
      </c>
      <c r="AQ231" s="201">
        <v>239</v>
      </c>
      <c r="AR231" s="201">
        <v>215.4</v>
      </c>
      <c r="AS231" s="201">
        <v>268.7</v>
      </c>
      <c r="AT231" s="201">
        <v>1773.09</v>
      </c>
      <c r="AU231" s="201">
        <v>6031.21</v>
      </c>
    </row>
    <row r="232" spans="1:47">
      <c r="A232" s="288" t="s">
        <v>4</v>
      </c>
      <c r="B232" s="201">
        <v>53.346666666669996</v>
      </c>
      <c r="C232" s="201">
        <v>55</v>
      </c>
      <c r="D232" s="201">
        <v>54.51</v>
      </c>
      <c r="E232" s="201">
        <v>50.53</v>
      </c>
      <c r="F232" s="201">
        <v>1.9157999999999999</v>
      </c>
      <c r="G232" s="201">
        <v>43.791167729800001</v>
      </c>
      <c r="H232" s="201">
        <v>2.7162099999999998</v>
      </c>
      <c r="I232" s="201">
        <v>2.9872600999999999</v>
      </c>
      <c r="J232" s="201">
        <v>1.5006848340000001</v>
      </c>
      <c r="K232" s="201">
        <v>844.12</v>
      </c>
      <c r="L232" s="201">
        <v>1718.75</v>
      </c>
      <c r="M232" s="201">
        <v>1393.46</v>
      </c>
      <c r="N232" s="201">
        <v>728.81</v>
      </c>
      <c r="O232" s="201">
        <v>801.84</v>
      </c>
      <c r="P232" s="201">
        <v>375.63</v>
      </c>
      <c r="Q232" s="201">
        <v>800.41</v>
      </c>
      <c r="R232" s="201">
        <v>354.14</v>
      </c>
      <c r="S232" s="201">
        <v>902.34</v>
      </c>
      <c r="T232" s="201">
        <v>823</v>
      </c>
      <c r="U232" s="201">
        <v>114.82395833333</v>
      </c>
      <c r="V232" s="201">
        <v>168.71156400000001</v>
      </c>
      <c r="W232" s="201">
        <v>164.133959</v>
      </c>
      <c r="X232" s="201">
        <v>450</v>
      </c>
      <c r="Y232" s="201">
        <v>442</v>
      </c>
      <c r="Z232" s="201">
        <v>426.45</v>
      </c>
      <c r="AA232" s="201">
        <v>357.42</v>
      </c>
      <c r="AB232" s="201">
        <v>238.977155313</v>
      </c>
      <c r="AC232" s="201">
        <v>215.31790620000001</v>
      </c>
      <c r="AD232" s="201">
        <v>0.89920797016999998</v>
      </c>
      <c r="AE232" s="201">
        <v>1.1849832499999999</v>
      </c>
      <c r="AF232" s="201">
        <v>0.51648929260999998</v>
      </c>
      <c r="AG232" s="201">
        <v>4.7173356450000004</v>
      </c>
      <c r="AH232" s="201">
        <v>1.87613162</v>
      </c>
      <c r="AI232" s="201">
        <v>13.999337000000001</v>
      </c>
      <c r="AJ232" s="201">
        <v>0.35624430400000001</v>
      </c>
      <c r="AK232" s="201">
        <v>0.58885400200000004</v>
      </c>
      <c r="AL232" s="201">
        <v>0.32584283600000002</v>
      </c>
      <c r="AM232" s="201">
        <v>4443.2916666666697</v>
      </c>
      <c r="AN232" s="201">
        <v>1.688077534</v>
      </c>
      <c r="AO232" s="201">
        <v>72.5</v>
      </c>
      <c r="AP232" s="201">
        <v>279.38</v>
      </c>
      <c r="AQ232" s="201">
        <v>245</v>
      </c>
      <c r="AR232" s="201">
        <v>214.38</v>
      </c>
      <c r="AS232" s="201">
        <v>243.38</v>
      </c>
      <c r="AT232" s="201">
        <v>1688.1</v>
      </c>
      <c r="AU232" s="201">
        <v>5687.75</v>
      </c>
    </row>
    <row r="233" spans="1:47">
      <c r="A233" s="288" t="s">
        <v>5</v>
      </c>
      <c r="B233" s="201">
        <v>32.203333333330001</v>
      </c>
      <c r="C233" s="201">
        <v>32.979999999999997</v>
      </c>
      <c r="D233" s="201">
        <v>33.75</v>
      </c>
      <c r="E233" s="201">
        <v>29.88</v>
      </c>
      <c r="F233" s="201">
        <v>1.7927</v>
      </c>
      <c r="G233" s="201">
        <v>41.614091657240003</v>
      </c>
      <c r="H233" s="201">
        <v>2.33847</v>
      </c>
      <c r="I233" s="201">
        <v>3.270112846</v>
      </c>
      <c r="J233" s="201">
        <v>1.487236652</v>
      </c>
      <c r="K233" s="201">
        <v>837.72</v>
      </c>
      <c r="L233" s="201">
        <v>1868.18</v>
      </c>
      <c r="M233" s="201">
        <v>1412.91</v>
      </c>
      <c r="N233" s="201">
        <v>636.25</v>
      </c>
      <c r="O233" s="201">
        <v>691.04</v>
      </c>
      <c r="P233" s="201">
        <v>372.61</v>
      </c>
      <c r="Q233" s="201">
        <v>747.8</v>
      </c>
      <c r="R233" s="201">
        <v>377.25</v>
      </c>
      <c r="S233" s="201">
        <v>796.67</v>
      </c>
      <c r="T233" s="201">
        <v>730</v>
      </c>
      <c r="U233" s="201">
        <v>114.82395833333</v>
      </c>
      <c r="V233" s="201">
        <v>162.4205576</v>
      </c>
      <c r="W233" s="201">
        <v>164.354421</v>
      </c>
      <c r="X233" s="201">
        <v>494</v>
      </c>
      <c r="Y233" s="201">
        <v>477</v>
      </c>
      <c r="Z233" s="201">
        <v>469.64</v>
      </c>
      <c r="AA233" s="201">
        <v>372.58</v>
      </c>
      <c r="AB233" s="201">
        <v>228.12307519500001</v>
      </c>
      <c r="AC233" s="201">
        <v>209.07148230000001</v>
      </c>
      <c r="AD233" s="201">
        <v>0.90768886773000002</v>
      </c>
      <c r="AE233" s="201">
        <v>1.19531740625</v>
      </c>
      <c r="AF233" s="201">
        <v>0.55378189311000003</v>
      </c>
      <c r="AG233" s="201">
        <v>4.4736149039999997</v>
      </c>
      <c r="AH233" s="201">
        <v>1.7769237200000001</v>
      </c>
      <c r="AI233" s="201">
        <v>13.999337000000001</v>
      </c>
      <c r="AJ233" s="201">
        <v>0.36130598400000002</v>
      </c>
      <c r="AK233" s="201">
        <v>0.59723155800000005</v>
      </c>
      <c r="AL233" s="201">
        <v>0.26080654599999997</v>
      </c>
      <c r="AM233" s="201">
        <v>4402.4666666666699</v>
      </c>
      <c r="AN233" s="201">
        <v>1.492307278</v>
      </c>
      <c r="AO233" s="201">
        <v>71.88</v>
      </c>
      <c r="AP233" s="201">
        <v>276.22000000000003</v>
      </c>
      <c r="AQ233" s="201">
        <v>245</v>
      </c>
      <c r="AR233" s="201">
        <v>231.13</v>
      </c>
      <c r="AS233" s="201">
        <v>235</v>
      </c>
      <c r="AT233" s="201">
        <v>1610.89</v>
      </c>
      <c r="AU233" s="201">
        <v>5182.63</v>
      </c>
    </row>
    <row r="234" spans="1:47">
      <c r="A234" s="288" t="s">
        <v>6</v>
      </c>
      <c r="B234" s="201">
        <v>21.043333333330001</v>
      </c>
      <c r="C234" s="201">
        <v>23.34</v>
      </c>
      <c r="D234" s="201">
        <v>23.27</v>
      </c>
      <c r="E234" s="201">
        <v>16.52</v>
      </c>
      <c r="F234" s="201">
        <v>1.7385999999999999</v>
      </c>
      <c r="G234" s="201">
        <v>37.97404004066</v>
      </c>
      <c r="H234" s="201">
        <v>2.2702399999999998</v>
      </c>
      <c r="I234" s="201">
        <v>3.4065788239999999</v>
      </c>
      <c r="J234" s="201">
        <v>1.410074952</v>
      </c>
      <c r="K234" s="201">
        <v>834.51</v>
      </c>
      <c r="L234" s="201">
        <v>2050</v>
      </c>
      <c r="M234" s="201">
        <v>1527.27</v>
      </c>
      <c r="N234" s="201">
        <v>608.88</v>
      </c>
      <c r="O234" s="201">
        <v>720.69</v>
      </c>
      <c r="P234" s="201">
        <v>361.26</v>
      </c>
      <c r="Q234" s="201">
        <v>679.98</v>
      </c>
      <c r="R234" s="201">
        <v>363.83</v>
      </c>
      <c r="S234" s="201">
        <v>758.96</v>
      </c>
      <c r="T234" s="201">
        <v>732.1</v>
      </c>
      <c r="U234" s="201">
        <v>114.82395833333</v>
      </c>
      <c r="V234" s="201">
        <v>146.90956560000001</v>
      </c>
      <c r="W234" s="201">
        <v>166.66927200000001</v>
      </c>
      <c r="X234" s="201">
        <v>564</v>
      </c>
      <c r="Y234" s="201">
        <v>536</v>
      </c>
      <c r="Z234" s="201">
        <v>543.70000000000005</v>
      </c>
      <c r="AA234" s="201">
        <v>407.14</v>
      </c>
      <c r="AB234" s="201">
        <v>221.68558421099999</v>
      </c>
      <c r="AC234" s="201">
        <v>218.9922732</v>
      </c>
      <c r="AD234" s="201">
        <v>0.90264914086000003</v>
      </c>
      <c r="AE234" s="201">
        <v>1.281435375</v>
      </c>
      <c r="AF234" s="201">
        <v>0.58192325973000003</v>
      </c>
      <c r="AG234" s="201">
        <v>4.4452855370000002</v>
      </c>
      <c r="AH234" s="201">
        <v>1.2676565</v>
      </c>
      <c r="AI234" s="201">
        <v>13.889106</v>
      </c>
      <c r="AJ234" s="201">
        <v>0.35490540799999998</v>
      </c>
      <c r="AK234" s="201">
        <v>0.57364212400000003</v>
      </c>
      <c r="AL234" s="201">
        <v>0.225091702</v>
      </c>
      <c r="AM234" s="201">
        <v>4345.3416666666699</v>
      </c>
      <c r="AN234" s="201">
        <v>1.400595086</v>
      </c>
      <c r="AO234" s="201">
        <v>70.75</v>
      </c>
      <c r="AP234" s="201">
        <v>282</v>
      </c>
      <c r="AQ234" s="201">
        <v>245</v>
      </c>
      <c r="AR234" s="201">
        <v>235</v>
      </c>
      <c r="AS234" s="201">
        <v>220.38</v>
      </c>
      <c r="AT234" s="201">
        <v>1459.93</v>
      </c>
      <c r="AU234" s="201">
        <v>5057.97</v>
      </c>
    </row>
    <row r="235" spans="1:47">
      <c r="A235" s="288" t="s">
        <v>7</v>
      </c>
      <c r="B235" s="201">
        <v>30.38</v>
      </c>
      <c r="C235" s="201">
        <v>31.02</v>
      </c>
      <c r="D235" s="201">
        <v>31.56</v>
      </c>
      <c r="E235" s="201">
        <v>28.56</v>
      </c>
      <c r="F235" s="201">
        <v>1.7524999999999999</v>
      </c>
      <c r="G235" s="201">
        <v>35.595661957700003</v>
      </c>
      <c r="H235" s="201">
        <v>2.3159900000000002</v>
      </c>
      <c r="I235" s="201">
        <v>3.3034026079999999</v>
      </c>
      <c r="J235" s="201">
        <v>1.4226412859999999</v>
      </c>
      <c r="K235" s="201">
        <v>832.33</v>
      </c>
      <c r="L235" s="201">
        <v>2050</v>
      </c>
      <c r="M235" s="201">
        <v>1588.02</v>
      </c>
      <c r="N235" s="201">
        <v>576.55999999999995</v>
      </c>
      <c r="O235" s="201">
        <v>684.95</v>
      </c>
      <c r="P235" s="201">
        <v>359.17</v>
      </c>
      <c r="Q235" s="201">
        <v>684.78</v>
      </c>
      <c r="R235" s="201">
        <v>339.1</v>
      </c>
      <c r="S235" s="201">
        <v>799.83</v>
      </c>
      <c r="T235" s="201">
        <v>738.26</v>
      </c>
      <c r="U235" s="201">
        <v>80.376770833329999</v>
      </c>
      <c r="V235" s="201">
        <v>143.90578719999999</v>
      </c>
      <c r="W235" s="201">
        <v>175.928676</v>
      </c>
      <c r="X235" s="201">
        <v>510</v>
      </c>
      <c r="Y235" s="201">
        <v>494</v>
      </c>
      <c r="Z235" s="201">
        <v>492.89</v>
      </c>
      <c r="AA235" s="201">
        <v>438.42</v>
      </c>
      <c r="AB235" s="201">
        <v>209.927609811</v>
      </c>
      <c r="AC235" s="201">
        <v>205.76455200000001</v>
      </c>
      <c r="AD235" s="201">
        <v>0.90864427425000005</v>
      </c>
      <c r="AE235" s="201">
        <v>1.2952142499999999</v>
      </c>
      <c r="AF235" s="201">
        <v>0.64502974540000002</v>
      </c>
      <c r="AG235" s="201">
        <v>5.0810979449999998</v>
      </c>
      <c r="AH235" s="201">
        <v>1.5178808699999999</v>
      </c>
      <c r="AI235" s="201">
        <v>12.55310628</v>
      </c>
      <c r="AJ235" s="201">
        <v>0.35601571199999998</v>
      </c>
      <c r="AK235" s="201">
        <v>0.56989427000000004</v>
      </c>
      <c r="AL235" s="201">
        <v>0.24162635199999999</v>
      </c>
      <c r="AM235" s="201">
        <v>4392.7166666666699</v>
      </c>
      <c r="AN235" s="201">
        <v>1.4484353400000001</v>
      </c>
      <c r="AO235" s="201">
        <v>72.900000000000006</v>
      </c>
      <c r="AP235" s="201">
        <v>263</v>
      </c>
      <c r="AQ235" s="201">
        <v>243</v>
      </c>
      <c r="AR235" s="201">
        <v>201.9</v>
      </c>
      <c r="AS235" s="201">
        <v>222.2</v>
      </c>
      <c r="AT235" s="201">
        <v>1466.37</v>
      </c>
      <c r="AU235" s="201">
        <v>5239.83</v>
      </c>
    </row>
    <row r="236" spans="1:47">
      <c r="A236" s="288" t="s">
        <v>8</v>
      </c>
      <c r="B236" s="201">
        <v>39.456666666670003</v>
      </c>
      <c r="C236" s="201">
        <v>39.93</v>
      </c>
      <c r="D236" s="201">
        <v>40.14</v>
      </c>
      <c r="E236" s="201">
        <v>38.299999999999997</v>
      </c>
      <c r="F236" s="201">
        <v>1.6128</v>
      </c>
      <c r="G236" s="201">
        <v>33.992281929710003</v>
      </c>
      <c r="H236" s="201">
        <v>2.2286299999999999</v>
      </c>
      <c r="I236" s="201">
        <v>3.119978224</v>
      </c>
      <c r="J236" s="201">
        <v>1.4246254439999999</v>
      </c>
      <c r="K236" s="201">
        <v>916.38</v>
      </c>
      <c r="L236" s="201">
        <v>2050</v>
      </c>
      <c r="M236" s="201">
        <v>1712.82</v>
      </c>
      <c r="N236" s="201">
        <v>656.49</v>
      </c>
      <c r="O236" s="201">
        <v>724.62</v>
      </c>
      <c r="P236" s="201">
        <v>369.58</v>
      </c>
      <c r="Q236" s="201">
        <v>755.71</v>
      </c>
      <c r="R236" s="201">
        <v>345.17</v>
      </c>
      <c r="S236" s="201">
        <v>850.98</v>
      </c>
      <c r="T236" s="201">
        <v>788.36</v>
      </c>
      <c r="U236" s="201">
        <v>80.376770833329999</v>
      </c>
      <c r="V236" s="201">
        <v>147.98824880000001</v>
      </c>
      <c r="W236" s="201">
        <v>170.85804999999999</v>
      </c>
      <c r="X236" s="201">
        <v>520</v>
      </c>
      <c r="Y236" s="201">
        <v>501</v>
      </c>
      <c r="Z236" s="201">
        <v>493.64</v>
      </c>
      <c r="AA236" s="201">
        <v>449.46</v>
      </c>
      <c r="AB236" s="201">
        <v>200.49550972200001</v>
      </c>
      <c r="AC236" s="201">
        <v>198.415818</v>
      </c>
      <c r="AD236" s="201">
        <v>0.90074283349999995</v>
      </c>
      <c r="AE236" s="201">
        <v>1.2952142499999999</v>
      </c>
      <c r="AF236" s="201">
        <v>0.64952601638999996</v>
      </c>
      <c r="AG236" s="201">
        <v>5.0981837499999996</v>
      </c>
      <c r="AH236" s="201">
        <v>1.5652801999999999</v>
      </c>
      <c r="AI236" s="201">
        <v>12.12541</v>
      </c>
      <c r="AJ236" s="201">
        <v>0.36754328000000003</v>
      </c>
      <c r="AK236" s="201">
        <v>0.57209889000000003</v>
      </c>
      <c r="AL236" s="201">
        <v>0.26675902000000001</v>
      </c>
      <c r="AM236" s="201">
        <v>4401.8166666666702</v>
      </c>
      <c r="AN236" s="201">
        <v>1.49473236</v>
      </c>
      <c r="AO236" s="201">
        <v>75</v>
      </c>
      <c r="AP236" s="201">
        <v>273</v>
      </c>
      <c r="AQ236" s="201">
        <v>240</v>
      </c>
      <c r="AR236" s="201">
        <v>202</v>
      </c>
      <c r="AS236" s="201">
        <v>226.25</v>
      </c>
      <c r="AT236" s="201">
        <v>1568.57</v>
      </c>
      <c r="AU236" s="201">
        <v>5754.6</v>
      </c>
    </row>
    <row r="237" spans="1:47">
      <c r="A237" s="288" t="s">
        <v>9</v>
      </c>
      <c r="B237" s="201">
        <v>42.066666666670002</v>
      </c>
      <c r="C237" s="201">
        <v>42.81</v>
      </c>
      <c r="D237" s="201">
        <v>42.64</v>
      </c>
      <c r="E237" s="201">
        <v>40.75</v>
      </c>
      <c r="F237" s="201">
        <v>1.7352000000000001</v>
      </c>
      <c r="G237" s="201">
        <v>34.908524608450001</v>
      </c>
      <c r="H237" s="201">
        <v>2.1017399999999999</v>
      </c>
      <c r="I237" s="201">
        <v>3.2359412359999999</v>
      </c>
      <c r="J237" s="201">
        <v>1.492307278</v>
      </c>
      <c r="K237" s="201">
        <v>888.31</v>
      </c>
      <c r="L237" s="201">
        <v>1984.78</v>
      </c>
      <c r="M237" s="201">
        <v>1876.87</v>
      </c>
      <c r="N237" s="201">
        <v>694.16</v>
      </c>
      <c r="O237" s="201">
        <v>683.93</v>
      </c>
      <c r="P237" s="201">
        <v>381.07</v>
      </c>
      <c r="Q237" s="201">
        <v>821.11</v>
      </c>
      <c r="R237" s="201">
        <v>355.24</v>
      </c>
      <c r="S237" s="201">
        <v>890.21</v>
      </c>
      <c r="T237" s="201">
        <v>833.17</v>
      </c>
      <c r="U237" s="201">
        <v>80.376770833329999</v>
      </c>
      <c r="V237" s="201">
        <v>152.55493680000001</v>
      </c>
      <c r="W237" s="201">
        <v>174.93659700000001</v>
      </c>
      <c r="X237" s="201">
        <v>480</v>
      </c>
      <c r="Y237" s="201">
        <v>467</v>
      </c>
      <c r="Z237" s="201">
        <v>459.7</v>
      </c>
      <c r="AA237" s="201">
        <v>444.19</v>
      </c>
      <c r="AB237" s="201">
        <v>212.742174933</v>
      </c>
      <c r="AC237" s="201">
        <v>222.13</v>
      </c>
      <c r="AD237" s="201">
        <v>0.86138446914</v>
      </c>
      <c r="AE237" s="201">
        <v>1.270412275</v>
      </c>
      <c r="AF237" s="201">
        <v>0.66079314249999999</v>
      </c>
      <c r="AG237" s="201">
        <v>4.6988168369999999</v>
      </c>
      <c r="AH237" s="201">
        <v>1.52339242</v>
      </c>
      <c r="AI237" s="201">
        <v>12.51783236</v>
      </c>
      <c r="AJ237" s="201">
        <v>0.37427041599999999</v>
      </c>
      <c r="AK237" s="201">
        <v>0.58686984399999997</v>
      </c>
      <c r="AL237" s="201">
        <v>0.27072733599999999</v>
      </c>
      <c r="AM237" s="201">
        <v>4383.6666666666697</v>
      </c>
      <c r="AN237" s="201">
        <v>1.5106056240000001</v>
      </c>
      <c r="AO237" s="201">
        <v>75</v>
      </c>
      <c r="AP237" s="201">
        <v>305.10000000000002</v>
      </c>
      <c r="AQ237" s="201">
        <v>262.2</v>
      </c>
      <c r="AR237" s="201">
        <v>214.4</v>
      </c>
      <c r="AS237" s="201">
        <v>237.5</v>
      </c>
      <c r="AT237" s="201">
        <v>1643.81</v>
      </c>
      <c r="AU237" s="201">
        <v>6372.46</v>
      </c>
    </row>
    <row r="238" spans="1:47">
      <c r="A238" s="288" t="s">
        <v>10</v>
      </c>
      <c r="B238" s="201">
        <v>43.443333333330003</v>
      </c>
      <c r="C238" s="201">
        <v>44.26</v>
      </c>
      <c r="D238" s="201">
        <v>43.71</v>
      </c>
      <c r="E238" s="201">
        <v>42.36</v>
      </c>
      <c r="F238" s="201">
        <v>2.3016999999999999</v>
      </c>
      <c r="G238" s="201">
        <v>45.85350707672</v>
      </c>
      <c r="H238" s="201">
        <v>2.3486799999999999</v>
      </c>
      <c r="I238" s="201">
        <v>3.5990421499999998</v>
      </c>
      <c r="J238" s="201">
        <v>1.602317816</v>
      </c>
      <c r="K238" s="201">
        <v>981.3</v>
      </c>
      <c r="L238" s="201">
        <v>1929.76</v>
      </c>
      <c r="M238" s="201">
        <v>1876.96</v>
      </c>
      <c r="N238" s="201">
        <v>760.3</v>
      </c>
      <c r="O238" s="201">
        <v>739.17</v>
      </c>
      <c r="P238" s="201">
        <v>384.55236292427998</v>
      </c>
      <c r="Q238" s="201">
        <v>866.94</v>
      </c>
      <c r="R238" s="201">
        <v>374.95</v>
      </c>
      <c r="S238" s="201">
        <v>921.55</v>
      </c>
      <c r="T238" s="201">
        <v>877.14</v>
      </c>
      <c r="U238" s="201">
        <v>80.376770833329999</v>
      </c>
      <c r="V238" s="201">
        <v>149.34250800000001</v>
      </c>
      <c r="W238" s="201">
        <v>189.487089</v>
      </c>
      <c r="X238" s="201">
        <v>505</v>
      </c>
      <c r="Y238" s="201">
        <v>486</v>
      </c>
      <c r="Z238" s="201">
        <v>480.85</v>
      </c>
      <c r="AA238" s="201">
        <v>448.91</v>
      </c>
      <c r="AB238" s="201">
        <v>208.93920508799999</v>
      </c>
      <c r="AC238" s="201">
        <v>223</v>
      </c>
      <c r="AD238" s="201">
        <v>0.89531834531999999</v>
      </c>
      <c r="AE238" s="201">
        <v>1.2504329062499999</v>
      </c>
      <c r="AF238" s="201">
        <v>0.61657099495000001</v>
      </c>
      <c r="AG238" s="201">
        <v>4.6323475439999999</v>
      </c>
      <c r="AH238" s="201">
        <v>1.496496056</v>
      </c>
      <c r="AI238" s="201">
        <v>12.566333999999999</v>
      </c>
      <c r="AJ238" s="201">
        <v>0.38625516799999998</v>
      </c>
      <c r="AK238" s="201">
        <v>0.60384541800000002</v>
      </c>
      <c r="AL238" s="201">
        <v>0.28880521999999997</v>
      </c>
      <c r="AM238" s="201">
        <v>4353.3666666666704</v>
      </c>
      <c r="AN238" s="201">
        <v>1.541911228</v>
      </c>
      <c r="AO238" s="201">
        <v>76.88</v>
      </c>
      <c r="AP238" s="201">
        <v>341.88</v>
      </c>
      <c r="AQ238" s="201">
        <v>276.25</v>
      </c>
      <c r="AR238" s="201">
        <v>249.5</v>
      </c>
      <c r="AS238" s="201">
        <v>240.38</v>
      </c>
      <c r="AT238" s="201">
        <v>1737.26</v>
      </c>
      <c r="AU238" s="201">
        <v>6498.94</v>
      </c>
    </row>
    <row r="239" spans="1:47">
      <c r="A239" s="288" t="s">
        <v>11</v>
      </c>
      <c r="B239" s="201">
        <v>40.596666666669996</v>
      </c>
      <c r="C239" s="201">
        <v>41.09</v>
      </c>
      <c r="D239" s="201">
        <v>41.1</v>
      </c>
      <c r="E239" s="201">
        <v>39.6</v>
      </c>
      <c r="F239" s="201">
        <v>1.9186000000000001</v>
      </c>
      <c r="G239" s="201">
        <v>46.072909128329997</v>
      </c>
      <c r="H239" s="201">
        <v>2.4579</v>
      </c>
      <c r="I239" s="201">
        <v>3.6720150720000002</v>
      </c>
      <c r="J239" s="201">
        <v>1.604301974</v>
      </c>
      <c r="K239" s="201">
        <v>1034.18</v>
      </c>
      <c r="L239" s="201">
        <v>1663.64</v>
      </c>
      <c r="M239" s="201">
        <v>1880.71</v>
      </c>
      <c r="N239" s="201">
        <v>796.22</v>
      </c>
      <c r="O239" s="201">
        <v>767.84</v>
      </c>
      <c r="P239" s="201">
        <v>423.41</v>
      </c>
      <c r="Q239" s="201">
        <v>905.86</v>
      </c>
      <c r="R239" s="201">
        <v>408.43</v>
      </c>
      <c r="S239" s="201">
        <v>938.14</v>
      </c>
      <c r="T239" s="201">
        <v>982.38482384823999</v>
      </c>
      <c r="U239" s="201" t="s">
        <v>267</v>
      </c>
      <c r="V239" s="201">
        <v>166.0817816</v>
      </c>
      <c r="W239" s="201" t="s">
        <v>267</v>
      </c>
      <c r="X239" s="201">
        <v>507</v>
      </c>
      <c r="Y239" s="201">
        <v>488</v>
      </c>
      <c r="Z239" s="201">
        <v>483</v>
      </c>
      <c r="AA239" s="201">
        <v>462.66</v>
      </c>
      <c r="AB239" s="201">
        <v>219.683054196</v>
      </c>
      <c r="AC239" s="201">
        <v>247.68</v>
      </c>
      <c r="AD239" s="201">
        <v>0.91014050850999995</v>
      </c>
      <c r="AE239" s="201">
        <v>1.24009875</v>
      </c>
      <c r="AF239" s="201">
        <v>0.60514517692000003</v>
      </c>
      <c r="AG239" s="201">
        <v>4.599057782</v>
      </c>
      <c r="AH239" s="201">
        <v>1.47158385</v>
      </c>
      <c r="AI239" s="201">
        <v>11.85644636</v>
      </c>
      <c r="AJ239" s="201">
        <v>0.38514486399999998</v>
      </c>
      <c r="AK239" s="201">
        <v>0.59194047000000005</v>
      </c>
      <c r="AL239" s="201">
        <v>0.28130951199999998</v>
      </c>
      <c r="AM239" s="201">
        <v>4220.3666666666704</v>
      </c>
      <c r="AN239" s="201">
        <v>1.5610914220000001</v>
      </c>
      <c r="AO239" s="201">
        <v>79.38</v>
      </c>
      <c r="AP239" s="201">
        <v>358.38</v>
      </c>
      <c r="AQ239" s="201">
        <v>282.5</v>
      </c>
      <c r="AR239" s="201">
        <v>250.5</v>
      </c>
      <c r="AS239" s="201">
        <v>247.75</v>
      </c>
      <c r="AT239" s="201">
        <v>1743.77</v>
      </c>
      <c r="AU239" s="201">
        <v>6704.9</v>
      </c>
    </row>
    <row r="240" spans="1:47">
      <c r="A240" s="288" t="s">
        <v>12</v>
      </c>
      <c r="B240" s="201">
        <v>39.9</v>
      </c>
      <c r="C240" s="201">
        <v>40.47</v>
      </c>
      <c r="D240" s="201">
        <v>39.700000000000003</v>
      </c>
      <c r="E240" s="201">
        <v>39.53</v>
      </c>
      <c r="F240" s="201">
        <v>2.2473000000000001</v>
      </c>
      <c r="G240" s="201">
        <v>54.721154852959998</v>
      </c>
      <c r="H240" s="201">
        <v>2.2920500000000001</v>
      </c>
      <c r="I240" s="201">
        <v>3.3523451720000002</v>
      </c>
      <c r="J240" s="201">
        <v>1.507078232</v>
      </c>
      <c r="K240" s="201">
        <v>1118.3599999999999</v>
      </c>
      <c r="L240" s="201">
        <v>1532.73</v>
      </c>
      <c r="M240" s="201">
        <v>1877.59</v>
      </c>
      <c r="N240" s="201">
        <v>819.27</v>
      </c>
      <c r="O240" s="201">
        <v>805.91</v>
      </c>
      <c r="P240" s="201">
        <v>454.25</v>
      </c>
      <c r="Q240" s="201">
        <v>914.77</v>
      </c>
      <c r="R240" s="201">
        <v>465.55</v>
      </c>
      <c r="S240" s="201">
        <v>927.71</v>
      </c>
      <c r="T240" s="201">
        <v>981.40243902438999</v>
      </c>
      <c r="U240" s="201" t="s">
        <v>267</v>
      </c>
      <c r="V240" s="201">
        <v>186.74604479999999</v>
      </c>
      <c r="W240" s="201" t="s">
        <v>267</v>
      </c>
      <c r="X240" s="201">
        <v>471</v>
      </c>
      <c r="Y240" s="201">
        <v>463</v>
      </c>
      <c r="Z240" s="201">
        <v>454.5</v>
      </c>
      <c r="AA240" s="201">
        <v>459.17</v>
      </c>
      <c r="AB240" s="201">
        <v>245.19785864400001</v>
      </c>
      <c r="AC240" s="201">
        <v>272.36</v>
      </c>
      <c r="AD240" s="201">
        <v>0.90325182884999999</v>
      </c>
      <c r="AE240" s="201">
        <v>1.1326235250000001</v>
      </c>
      <c r="AF240" s="201">
        <v>0.60990593443999996</v>
      </c>
      <c r="AG240" s="201">
        <v>4.4247825709999997</v>
      </c>
      <c r="AH240" s="201">
        <v>1.5013462200000001</v>
      </c>
      <c r="AI240" s="201">
        <v>11.353793</v>
      </c>
      <c r="AJ240" s="201">
        <v>0.38436112</v>
      </c>
      <c r="AK240" s="201">
        <v>0.60737280999999999</v>
      </c>
      <c r="AL240" s="201">
        <v>0.30269432600000001</v>
      </c>
      <c r="AM240" s="201">
        <v>4245.3999999999996</v>
      </c>
      <c r="AN240" s="201">
        <v>1.649496684</v>
      </c>
      <c r="AO240" s="201">
        <v>80</v>
      </c>
      <c r="AP240" s="201">
        <v>357.1</v>
      </c>
      <c r="AQ240" s="201">
        <v>290</v>
      </c>
      <c r="AR240" s="201">
        <v>245</v>
      </c>
      <c r="AS240" s="201">
        <v>255</v>
      </c>
      <c r="AT240" s="201">
        <v>1806.1</v>
      </c>
      <c r="AU240" s="201">
        <v>6713.81</v>
      </c>
    </row>
    <row r="241" spans="1:47">
      <c r="A241" s="288" t="s">
        <v>13</v>
      </c>
      <c r="B241" s="201">
        <v>42.303333333330002</v>
      </c>
      <c r="C241" s="201">
        <v>43.23</v>
      </c>
      <c r="D241" s="201">
        <v>42.58</v>
      </c>
      <c r="E241" s="201">
        <v>41.1</v>
      </c>
      <c r="F241" s="201">
        <v>2.5880999999999998</v>
      </c>
      <c r="G241" s="201">
        <v>59.062273054830001</v>
      </c>
      <c r="H241" s="201">
        <v>2.35819</v>
      </c>
      <c r="I241" s="201">
        <v>3.3230237260000002</v>
      </c>
      <c r="J241" s="201">
        <v>1.5957039559999999</v>
      </c>
      <c r="K241" s="201">
        <v>1368.95</v>
      </c>
      <c r="L241" s="201">
        <v>1607.14</v>
      </c>
      <c r="M241" s="201">
        <v>1878.61</v>
      </c>
      <c r="N241" s="201">
        <v>917.81</v>
      </c>
      <c r="O241" s="201">
        <v>1073.48</v>
      </c>
      <c r="P241" s="201">
        <v>499.98</v>
      </c>
      <c r="Q241" s="201">
        <v>973.88</v>
      </c>
      <c r="R241" s="201">
        <v>495.98</v>
      </c>
      <c r="S241" s="201">
        <v>1047.78</v>
      </c>
      <c r="T241" s="201">
        <v>1109.1124661246599</v>
      </c>
      <c r="U241" s="201" t="s">
        <v>267</v>
      </c>
      <c r="V241" s="201">
        <v>190.37577440000001</v>
      </c>
      <c r="W241" s="201" t="s">
        <v>267</v>
      </c>
      <c r="X241" s="201">
        <v>489</v>
      </c>
      <c r="Y241" s="201">
        <v>480</v>
      </c>
      <c r="Z241" s="201">
        <v>468.48</v>
      </c>
      <c r="AA241" s="201">
        <v>469.5</v>
      </c>
      <c r="AB241" s="201">
        <v>247.94628516</v>
      </c>
      <c r="AC241" s="201">
        <v>273</v>
      </c>
      <c r="AD241" s="201">
        <v>0.88583047379000002</v>
      </c>
      <c r="AE241" s="201">
        <v>1.1298677500000001</v>
      </c>
      <c r="AF241" s="201">
        <v>0.64656376726999998</v>
      </c>
      <c r="AG241" s="201">
        <v>4.395902049</v>
      </c>
      <c r="AH241" s="201">
        <v>1.7046121839999999</v>
      </c>
      <c r="AI241" s="201">
        <v>11.532367219999999</v>
      </c>
      <c r="AJ241" s="201">
        <v>0.38651641599999997</v>
      </c>
      <c r="AK241" s="201">
        <v>0.64661504599999997</v>
      </c>
      <c r="AL241" s="201">
        <v>0.31151280599999998</v>
      </c>
      <c r="AM241" s="201">
        <v>4222.2333333333299</v>
      </c>
      <c r="AN241" s="201">
        <v>1.7134306640000001</v>
      </c>
      <c r="AO241" s="201">
        <v>82.5</v>
      </c>
      <c r="AP241" s="201">
        <v>359.63</v>
      </c>
      <c r="AQ241" s="201">
        <v>292.5</v>
      </c>
      <c r="AR241" s="201">
        <v>245</v>
      </c>
      <c r="AS241" s="201">
        <v>250</v>
      </c>
      <c r="AT241" s="201">
        <v>1935.28</v>
      </c>
      <c r="AU241" s="201">
        <v>7068.91</v>
      </c>
    </row>
    <row r="242" spans="1:47">
      <c r="A242" s="288" t="s">
        <v>14</v>
      </c>
      <c r="B242" s="201">
        <v>48.726666666669999</v>
      </c>
      <c r="C242" s="201">
        <v>49.87</v>
      </c>
      <c r="D242" s="201">
        <v>49.26</v>
      </c>
      <c r="E242" s="201">
        <v>47.05</v>
      </c>
      <c r="F242" s="201">
        <v>2.5387</v>
      </c>
      <c r="G242" s="201">
        <v>63.858432563169998</v>
      </c>
      <c r="H242" s="201">
        <v>2.4072</v>
      </c>
      <c r="I242" s="201">
        <v>3.479110822</v>
      </c>
      <c r="J242" s="201">
        <v>1.5882082479999999</v>
      </c>
      <c r="K242" s="201">
        <v>1464.9645697758499</v>
      </c>
      <c r="L242" s="201">
        <v>1937.5</v>
      </c>
      <c r="M242" s="201">
        <v>1977.1738914549701</v>
      </c>
      <c r="N242" s="201">
        <v>1016.37389145497</v>
      </c>
      <c r="O242" s="201">
        <v>1224.8682051282101</v>
      </c>
      <c r="P242" s="201">
        <v>510.93573705179</v>
      </c>
      <c r="Q242" s="201">
        <v>1026.1958677686</v>
      </c>
      <c r="R242" s="201">
        <v>494.97802020201999</v>
      </c>
      <c r="S242" s="201">
        <v>1097.6258446601901</v>
      </c>
      <c r="T242" s="201">
        <v>1170.02032520325</v>
      </c>
      <c r="U242" s="201" t="s">
        <v>267</v>
      </c>
      <c r="V242" s="201">
        <v>198.76903200000001</v>
      </c>
      <c r="W242" s="201" t="s">
        <v>267</v>
      </c>
      <c r="X242" s="201">
        <v>520</v>
      </c>
      <c r="Y242" s="201">
        <v>508</v>
      </c>
      <c r="Z242" s="201">
        <v>496.55</v>
      </c>
      <c r="AA242" s="201">
        <v>477.39</v>
      </c>
      <c r="AB242" s="201">
        <v>251.15400755100001</v>
      </c>
      <c r="AC242" s="201">
        <v>268.55</v>
      </c>
      <c r="AD242" s="201">
        <v>0.92024241631000003</v>
      </c>
      <c r="AE242" s="201">
        <v>1.1505360625000001</v>
      </c>
      <c r="AF242" s="201">
        <v>0.63767701991000003</v>
      </c>
      <c r="AG242" s="201">
        <v>4.4021852160000003</v>
      </c>
      <c r="AH242" s="201">
        <v>1.8077884</v>
      </c>
      <c r="AI242" s="201">
        <v>11.684486</v>
      </c>
      <c r="AJ242" s="201">
        <v>0.39732555200000003</v>
      </c>
      <c r="AK242" s="201">
        <v>0.62655300400000002</v>
      </c>
      <c r="AL242" s="201">
        <v>0.31041049599999998</v>
      </c>
      <c r="AM242" s="201">
        <v>4200.3999999999996</v>
      </c>
      <c r="AN242" s="201">
        <v>1.7861831239999999</v>
      </c>
      <c r="AO242" s="201">
        <v>83.33</v>
      </c>
      <c r="AP242" s="201">
        <v>388.5</v>
      </c>
      <c r="AQ242" s="201">
        <v>320</v>
      </c>
      <c r="AR242" s="201">
        <v>245</v>
      </c>
      <c r="AS242" s="201">
        <v>246.33</v>
      </c>
      <c r="AT242" s="201">
        <v>2014.67</v>
      </c>
      <c r="AU242" s="201">
        <v>7772.24</v>
      </c>
    </row>
    <row r="243" spans="1:47" s="291" customFormat="1" ht="15">
      <c r="A243" s="198" t="s">
        <v>1</v>
      </c>
      <c r="B243" s="241">
        <v>41.25777777777833</v>
      </c>
      <c r="C243" s="241">
        <v>42.300000000000004</v>
      </c>
      <c r="D243" s="241">
        <v>42.164999999999999</v>
      </c>
      <c r="E243" s="241">
        <v>39.308333333333344</v>
      </c>
      <c r="F243" s="241">
        <v>2.0143749999999998</v>
      </c>
      <c r="G243" s="241">
        <v>45.506043543083344</v>
      </c>
      <c r="H243" s="241">
        <v>2.3698641666666664</v>
      </c>
      <c r="I243" s="241">
        <v>3.3236299965000007</v>
      </c>
      <c r="J243" s="241">
        <v>1.5158783401666669</v>
      </c>
      <c r="K243" s="241">
        <v>1010.4037141479876</v>
      </c>
      <c r="L243" s="241">
        <v>1838.6724999999999</v>
      </c>
      <c r="M243" s="241">
        <v>1697.811990954581</v>
      </c>
      <c r="N243" s="241">
        <v>751.76615762124754</v>
      </c>
      <c r="O243" s="241">
        <v>824.0723504273509</v>
      </c>
      <c r="P243" s="241">
        <v>406.63984166467253</v>
      </c>
      <c r="Q243" s="241">
        <v>837.75632231404973</v>
      </c>
      <c r="R243" s="241">
        <v>394.17900168350167</v>
      </c>
      <c r="S243" s="241">
        <v>906.43215372168254</v>
      </c>
      <c r="T243" s="241">
        <v>880.9883378500449</v>
      </c>
      <c r="U243" s="241">
        <v>97.60036458333002</v>
      </c>
      <c r="V243" s="241">
        <v>165.46600046666663</v>
      </c>
      <c r="W243" s="241">
        <v>171.57455150000001</v>
      </c>
      <c r="X243" s="241">
        <v>496.75</v>
      </c>
      <c r="Y243" s="241">
        <v>481.83333333333331</v>
      </c>
      <c r="Z243" s="241">
        <v>474.61666666666673</v>
      </c>
      <c r="AA243" s="241">
        <v>427.96000000000004</v>
      </c>
      <c r="AB243" s="241">
        <v>227.73879764624999</v>
      </c>
      <c r="AC243" s="241">
        <v>231.56548795000003</v>
      </c>
      <c r="AD243" s="241">
        <v>0.89711781311833316</v>
      </c>
      <c r="AE243" s="241">
        <v>1.2163301906250001</v>
      </c>
      <c r="AF243" s="241">
        <v>0.60298520360916663</v>
      </c>
      <c r="AG243" s="241">
        <v>4.667309142833334</v>
      </c>
      <c r="AH243" s="241">
        <v>1.6316943774999997</v>
      </c>
      <c r="AI243" s="241">
        <v>12.673074351666665</v>
      </c>
      <c r="AJ243" s="241">
        <v>0.37271109199999991</v>
      </c>
      <c r="AK243" s="241">
        <v>0.59465950133333334</v>
      </c>
      <c r="AL243" s="241">
        <v>0.2831283235</v>
      </c>
      <c r="AM243" s="241">
        <v>4336.2812500000018</v>
      </c>
      <c r="AN243" s="241">
        <v>1.5858382815000001</v>
      </c>
      <c r="AO243" s="241">
        <v>76.051666666666662</v>
      </c>
      <c r="AP243" s="241">
        <v>312.42416666666668</v>
      </c>
      <c r="AQ243" s="241">
        <v>265.03749999999997</v>
      </c>
      <c r="AR243" s="241">
        <v>229.10083333333333</v>
      </c>
      <c r="AS243" s="241">
        <v>241.07249999999999</v>
      </c>
      <c r="AT243" s="241">
        <v>1703.9866666666665</v>
      </c>
      <c r="AU243" s="241">
        <v>6173.770833333333</v>
      </c>
    </row>
    <row r="244" spans="1:47" s="291" customFormat="1" ht="15">
      <c r="A244" s="198" t="s">
        <v>172</v>
      </c>
      <c r="B244" s="241">
        <v>-32.81312905137176</v>
      </c>
      <c r="C244" s="241">
        <v>-33.938936463728872</v>
      </c>
      <c r="D244" s="241">
        <v>-33.259467373669423</v>
      </c>
      <c r="E244" s="241">
        <v>-31.054139382600553</v>
      </c>
      <c r="F244" s="241">
        <v>-21.493897488194456</v>
      </c>
      <c r="G244" s="241">
        <v>-25.57802374984378</v>
      </c>
      <c r="H244" s="241">
        <v>1.2406968208456659</v>
      </c>
      <c r="I244" s="241">
        <v>15.413176479594771</v>
      </c>
      <c r="J244" s="241">
        <v>-6.5295950155763061</v>
      </c>
      <c r="K244" s="241">
        <v>37.348272898667375</v>
      </c>
      <c r="L244" s="241">
        <v>37.439414165109874</v>
      </c>
      <c r="M244" s="241">
        <v>20.636859135748509</v>
      </c>
      <c r="N244" s="241">
        <v>25.00961547939373</v>
      </c>
      <c r="O244" s="241">
        <v>23.848021525323638</v>
      </c>
      <c r="P244" s="241">
        <v>10.216429203319155</v>
      </c>
      <c r="Q244" s="241">
        <v>9.4476800682025583</v>
      </c>
      <c r="R244" s="241">
        <v>13.588888813694112</v>
      </c>
      <c r="S244" s="241">
        <v>5.7450131890777412</v>
      </c>
      <c r="T244" s="241">
        <v>18.87523618164515</v>
      </c>
      <c r="U244" s="241">
        <v>-23.789599521819017</v>
      </c>
      <c r="V244" s="241">
        <v>-2.7071707037602422</v>
      </c>
      <c r="W244" s="241">
        <v>6.2336480491411494</v>
      </c>
      <c r="X244" s="241">
        <v>18.83971291866029</v>
      </c>
      <c r="Y244" s="241">
        <v>17.401015228426388</v>
      </c>
      <c r="Z244" s="241">
        <v>20.616190024396897</v>
      </c>
      <c r="AA244" s="241">
        <v>21.619567045026656</v>
      </c>
      <c r="AB244" s="241">
        <v>7.792185206065505</v>
      </c>
      <c r="AC244" s="241">
        <v>14.811366009205184</v>
      </c>
      <c r="AD244" s="241">
        <v>2.4434144788108236</v>
      </c>
      <c r="AE244" s="241">
        <v>6.6445182724252483</v>
      </c>
      <c r="AF244" s="241">
        <v>7.6747481109408655</v>
      </c>
      <c r="AG244" s="241">
        <v>-2.0226270433083782</v>
      </c>
      <c r="AH244" s="241">
        <v>-18.349804642610902</v>
      </c>
      <c r="AI244" s="241">
        <v>0.57152021461166491</v>
      </c>
      <c r="AJ244" s="241">
        <v>1.9260108207872273</v>
      </c>
      <c r="AK244" s="241">
        <v>3.1090723751274307</v>
      </c>
      <c r="AL244" s="241">
        <v>1.1087783755412861</v>
      </c>
      <c r="AM244" s="241">
        <v>-5.3081035734627635</v>
      </c>
      <c r="AN244" s="241">
        <v>-7.6357605264565809</v>
      </c>
      <c r="AO244" s="241">
        <v>-13.536712458550449</v>
      </c>
      <c r="AP244" s="241">
        <v>1.9810894768052201</v>
      </c>
      <c r="AQ244" s="241">
        <v>-10.019012159860596</v>
      </c>
      <c r="AR244" s="241">
        <v>-6.5968376492332004</v>
      </c>
      <c r="AS244" s="241">
        <v>-5.6467710371819972</v>
      </c>
      <c r="AT244" s="241">
        <v>-5.0433131821234429</v>
      </c>
      <c r="AU244" s="241">
        <v>2.722493938720838</v>
      </c>
    </row>
    <row r="245" spans="1:47"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  <c r="AB245" s="201"/>
      <c r="AC245" s="201"/>
      <c r="AD245" s="201"/>
      <c r="AE245" s="201"/>
      <c r="AF245" s="201"/>
      <c r="AG245" s="201"/>
      <c r="AH245" s="201"/>
      <c r="AI245" s="201"/>
      <c r="AJ245" s="201"/>
      <c r="AK245" s="201"/>
      <c r="AL245" s="201"/>
      <c r="AM245" s="201"/>
      <c r="AN245" s="201"/>
      <c r="AO245" s="201"/>
      <c r="AP245" s="201"/>
      <c r="AQ245" s="201"/>
      <c r="AR245" s="201"/>
      <c r="AS245" s="201"/>
      <c r="AT245" s="201"/>
      <c r="AU245" s="201"/>
    </row>
    <row r="246" spans="1:47">
      <c r="A246" s="292">
        <v>2021</v>
      </c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  <c r="AB246" s="201"/>
      <c r="AC246" s="201"/>
      <c r="AD246" s="201"/>
      <c r="AE246" s="201"/>
      <c r="AF246" s="201"/>
      <c r="AG246" s="201"/>
      <c r="AH246" s="201"/>
      <c r="AI246" s="201"/>
      <c r="AJ246" s="201"/>
      <c r="AK246" s="201"/>
      <c r="AL246" s="201"/>
      <c r="AM246" s="201"/>
      <c r="AN246" s="201"/>
      <c r="AO246" s="201"/>
      <c r="AP246" s="201"/>
      <c r="AQ246" s="201"/>
      <c r="AR246" s="201"/>
      <c r="AS246" s="201"/>
      <c r="AT246" s="201"/>
      <c r="AU246" s="201"/>
    </row>
    <row r="247" spans="1:47">
      <c r="A247" s="288" t="s">
        <v>3</v>
      </c>
      <c r="B247" s="201">
        <v>53.603333333329999</v>
      </c>
      <c r="C247" s="201">
        <v>54.55</v>
      </c>
      <c r="D247" s="201">
        <v>54.16</v>
      </c>
      <c r="E247" s="201">
        <v>52.1</v>
      </c>
      <c r="F247" s="201">
        <v>2.6655000000000002</v>
      </c>
      <c r="G247" s="201">
        <v>73.021479326420007</v>
      </c>
      <c r="H247" s="201">
        <v>2.39141</v>
      </c>
      <c r="I247" s="201">
        <v>3.5423834159999998</v>
      </c>
      <c r="J247" s="201">
        <v>1.559327726</v>
      </c>
      <c r="K247" s="201">
        <v>1463.07</v>
      </c>
      <c r="L247" s="201">
        <v>1892.86</v>
      </c>
      <c r="M247" s="201">
        <v>1988.94048883757</v>
      </c>
      <c r="N247" s="201">
        <v>990.27</v>
      </c>
      <c r="O247" s="201">
        <v>1368.31</v>
      </c>
      <c r="P247" s="201">
        <v>576.37</v>
      </c>
      <c r="Q247" s="201">
        <v>1098.67</v>
      </c>
      <c r="R247" s="201">
        <v>562.38</v>
      </c>
      <c r="S247" s="201">
        <v>1141.24</v>
      </c>
      <c r="T247" s="201">
        <v>1276.1178861788601</v>
      </c>
      <c r="U247" s="201" t="s">
        <v>267</v>
      </c>
      <c r="V247" s="201">
        <v>234.46795014720001</v>
      </c>
      <c r="W247" s="201" t="s">
        <v>267</v>
      </c>
      <c r="X247" s="201">
        <v>545</v>
      </c>
      <c r="Y247" s="201">
        <v>528</v>
      </c>
      <c r="Z247" s="201">
        <v>517.75</v>
      </c>
      <c r="AA247" s="201">
        <v>490.98</v>
      </c>
      <c r="AB247" s="201">
        <v>276.448349979</v>
      </c>
      <c r="AC247" s="201">
        <v>289.3</v>
      </c>
      <c r="AD247" s="201">
        <v>0.93904568091999996</v>
      </c>
      <c r="AE247" s="201">
        <v>1.2366540312500001</v>
      </c>
      <c r="AF247" s="201">
        <v>0.63418579773999995</v>
      </c>
      <c r="AG247" s="201">
        <v>4.4566393299999998</v>
      </c>
      <c r="AH247" s="201">
        <v>1.8077884</v>
      </c>
      <c r="AI247" s="201">
        <v>11.752829220000001</v>
      </c>
      <c r="AJ247" s="201">
        <v>0.39758680000000002</v>
      </c>
      <c r="AK247" s="201">
        <v>0.634710098</v>
      </c>
      <c r="AL247" s="201">
        <v>0.335543164</v>
      </c>
      <c r="AM247" s="201">
        <v>4157.3999999999996</v>
      </c>
      <c r="AN247" s="201">
        <v>1.9230900259999999</v>
      </c>
      <c r="AO247" s="201">
        <v>85</v>
      </c>
      <c r="AP247" s="201">
        <v>421.3</v>
      </c>
      <c r="AQ247" s="201">
        <v>337.6</v>
      </c>
      <c r="AR247" s="201">
        <v>265</v>
      </c>
      <c r="AS247" s="201">
        <v>255.5</v>
      </c>
      <c r="AT247" s="201">
        <v>2003.98</v>
      </c>
      <c r="AU247" s="201">
        <v>7972.15</v>
      </c>
    </row>
    <row r="248" spans="1:47">
      <c r="A248" s="288" t="s">
        <v>4</v>
      </c>
      <c r="B248" s="201">
        <v>60.463333333329999</v>
      </c>
      <c r="C248" s="201">
        <v>61.96</v>
      </c>
      <c r="D248" s="201">
        <v>60.37</v>
      </c>
      <c r="E248" s="201">
        <v>59.06</v>
      </c>
      <c r="F248" s="201">
        <v>5.0651000000000002</v>
      </c>
      <c r="G248" s="201">
        <v>97.478025425929999</v>
      </c>
      <c r="H248" s="201">
        <v>2.40544</v>
      </c>
      <c r="I248" s="201">
        <v>3.6691490660000001</v>
      </c>
      <c r="J248" s="201">
        <v>1.6175296939999999</v>
      </c>
      <c r="K248" s="201">
        <v>1444.5</v>
      </c>
      <c r="L248" s="201">
        <v>1875</v>
      </c>
      <c r="M248" s="201">
        <v>1993.2059724793701</v>
      </c>
      <c r="N248" s="201">
        <v>1019.86</v>
      </c>
      <c r="O248" s="201">
        <v>1359.5</v>
      </c>
      <c r="P248" s="201">
        <v>578.26</v>
      </c>
      <c r="Q248" s="201">
        <v>1123.5</v>
      </c>
      <c r="R248" s="201">
        <v>548.44000000000005</v>
      </c>
      <c r="S248" s="201">
        <v>1272.1300000000001</v>
      </c>
      <c r="T248" s="201">
        <v>1362.56775067751</v>
      </c>
      <c r="U248" s="201" t="s">
        <v>267</v>
      </c>
      <c r="V248" s="201">
        <v>245.23508240000001</v>
      </c>
      <c r="W248" s="201" t="s">
        <v>267</v>
      </c>
      <c r="X248" s="201">
        <v>557</v>
      </c>
      <c r="Y248" s="201">
        <v>542</v>
      </c>
      <c r="Z248" s="201">
        <v>531</v>
      </c>
      <c r="AA248" s="201">
        <v>500.48</v>
      </c>
      <c r="AB248" s="201">
        <v>276.62839396200002</v>
      </c>
      <c r="AC248" s="201">
        <v>289.39999999999998</v>
      </c>
      <c r="AD248" s="201">
        <v>0.94597281741999995</v>
      </c>
      <c r="AE248" s="201">
        <v>1.22287515625</v>
      </c>
      <c r="AF248" s="201">
        <v>0.58382756274000003</v>
      </c>
      <c r="AG248" s="201">
        <v>4.6616689899999999</v>
      </c>
      <c r="AH248" s="201">
        <v>1.8077884</v>
      </c>
      <c r="AI248" s="201">
        <v>11.932505750000001</v>
      </c>
      <c r="AJ248" s="201">
        <v>0.39503963199999997</v>
      </c>
      <c r="AK248" s="201">
        <v>0.65521306400000001</v>
      </c>
      <c r="AL248" s="201">
        <v>0.35692797799999998</v>
      </c>
      <c r="AM248" s="201">
        <v>4185.4333333333298</v>
      </c>
      <c r="AN248" s="201">
        <v>2.0450055119999999</v>
      </c>
      <c r="AO248" s="201">
        <v>88.13</v>
      </c>
      <c r="AP248" s="201">
        <v>528.88</v>
      </c>
      <c r="AQ248" s="201">
        <v>453.75</v>
      </c>
      <c r="AR248" s="201">
        <v>335</v>
      </c>
      <c r="AS248" s="201">
        <v>290.63</v>
      </c>
      <c r="AT248" s="201">
        <v>2078.59</v>
      </c>
      <c r="AU248" s="201">
        <v>8470.94</v>
      </c>
    </row>
    <row r="249" spans="1:47">
      <c r="A249" s="288" t="s">
        <v>5</v>
      </c>
      <c r="B249" s="201">
        <v>63.83</v>
      </c>
      <c r="C249" s="201">
        <v>65.19</v>
      </c>
      <c r="D249" s="201">
        <v>63.95</v>
      </c>
      <c r="E249" s="201">
        <v>62.35</v>
      </c>
      <c r="F249" s="201">
        <v>2.5644999999999998</v>
      </c>
      <c r="G249" s="201">
        <v>65.618450373450003</v>
      </c>
      <c r="H249" s="201">
        <v>2.4613200000000002</v>
      </c>
      <c r="I249" s="201">
        <v>3.6828177100000001</v>
      </c>
      <c r="J249" s="201">
        <v>1.628332332</v>
      </c>
      <c r="K249" s="201">
        <v>1540.65</v>
      </c>
      <c r="L249" s="201">
        <v>1623.04</v>
      </c>
      <c r="M249" s="201">
        <v>2006.0389818224601</v>
      </c>
      <c r="N249" s="201">
        <v>1030.48</v>
      </c>
      <c r="O249" s="201">
        <v>1478.59</v>
      </c>
      <c r="P249" s="201">
        <v>585.71</v>
      </c>
      <c r="Q249" s="201">
        <v>1284.81</v>
      </c>
      <c r="R249" s="201">
        <v>483.9</v>
      </c>
      <c r="S249" s="201">
        <v>1321.88</v>
      </c>
      <c r="T249" s="201">
        <v>1611.1111111111099</v>
      </c>
      <c r="U249" s="201" t="s">
        <v>267</v>
      </c>
      <c r="V249" s="201">
        <v>245.17209360000001</v>
      </c>
      <c r="W249" s="201" t="s">
        <v>267</v>
      </c>
      <c r="X249" s="201">
        <v>525</v>
      </c>
      <c r="Y249" s="201">
        <v>515</v>
      </c>
      <c r="Z249" s="201">
        <v>504.13</v>
      </c>
      <c r="AA249" s="201">
        <v>498.38</v>
      </c>
      <c r="AB249" s="201">
        <v>272.57556716099998</v>
      </c>
      <c r="AC249" s="201">
        <v>273.13</v>
      </c>
      <c r="AD249" s="201">
        <v>0.95066422672999995</v>
      </c>
      <c r="AE249" s="201">
        <v>1.2263198749999999</v>
      </c>
      <c r="AF249" s="201">
        <v>0.59900908946999998</v>
      </c>
      <c r="AG249" s="201">
        <v>4.7190993409999997</v>
      </c>
      <c r="AH249" s="201">
        <v>1.8862728719999999</v>
      </c>
      <c r="AI249" s="201">
        <v>12.284142640000001</v>
      </c>
      <c r="AJ249" s="201">
        <v>0.38870436800000002</v>
      </c>
      <c r="AK249" s="201">
        <v>0.67196817600000003</v>
      </c>
      <c r="AL249" s="201">
        <v>0.34259794799999999</v>
      </c>
      <c r="AM249" s="201">
        <v>4202.1666666666697</v>
      </c>
      <c r="AN249" s="201">
        <v>2.0161249899999998</v>
      </c>
      <c r="AO249" s="201">
        <v>96.25</v>
      </c>
      <c r="AP249" s="201">
        <v>534.13</v>
      </c>
      <c r="AQ249" s="201">
        <v>458</v>
      </c>
      <c r="AR249" s="201">
        <v>352.88</v>
      </c>
      <c r="AS249" s="201">
        <v>320.88</v>
      </c>
      <c r="AT249" s="201">
        <v>2190.48</v>
      </c>
      <c r="AU249" s="201">
        <v>8988.25</v>
      </c>
    </row>
    <row r="250" spans="1:47">
      <c r="A250" s="288" t="s">
        <v>6</v>
      </c>
      <c r="B250" s="201">
        <v>62.95</v>
      </c>
      <c r="C250" s="201">
        <v>64.77</v>
      </c>
      <c r="D250" s="201">
        <v>62.37</v>
      </c>
      <c r="E250" s="201">
        <v>61.71</v>
      </c>
      <c r="F250" s="201">
        <v>2.61</v>
      </c>
      <c r="G250" s="201">
        <v>71.277449912950004</v>
      </c>
      <c r="H250" s="201">
        <v>2.3683299999999998</v>
      </c>
      <c r="I250" s="201">
        <v>3.71809163</v>
      </c>
      <c r="J250" s="201">
        <v>1.641560052</v>
      </c>
      <c r="K250" s="201">
        <v>1659.64</v>
      </c>
      <c r="L250" s="201">
        <v>1426.82</v>
      </c>
      <c r="M250" s="201">
        <v>2020.63680170152</v>
      </c>
      <c r="N250" s="201">
        <v>1078.05</v>
      </c>
      <c r="O250" s="201">
        <v>1487.14</v>
      </c>
      <c r="P250" s="201">
        <v>597.13</v>
      </c>
      <c r="Q250" s="201">
        <v>1386.35</v>
      </c>
      <c r="R250" s="201">
        <v>464.2</v>
      </c>
      <c r="S250" s="201">
        <v>1312.33</v>
      </c>
      <c r="T250" s="201">
        <v>1572.7981029810301</v>
      </c>
      <c r="U250" s="201" t="s">
        <v>267</v>
      </c>
      <c r="V250" s="201">
        <v>268.23386799999997</v>
      </c>
      <c r="W250" s="201" t="s">
        <v>267</v>
      </c>
      <c r="X250" s="201">
        <v>495</v>
      </c>
      <c r="Y250" s="201">
        <v>484</v>
      </c>
      <c r="Z250" s="201">
        <v>477.38</v>
      </c>
      <c r="AA250" s="201">
        <v>488.17</v>
      </c>
      <c r="AB250" s="201">
        <v>281.379350493</v>
      </c>
      <c r="AC250" s="201">
        <v>280.95</v>
      </c>
      <c r="AD250" s="201">
        <v>0.96138807160999995</v>
      </c>
      <c r="AE250" s="201">
        <v>1.2263198749999999</v>
      </c>
      <c r="AF250" s="201">
        <v>0.58684270916000003</v>
      </c>
      <c r="AG250" s="201">
        <v>5.1724794440000004</v>
      </c>
      <c r="AH250" s="201">
        <v>2.2641447399999999</v>
      </c>
      <c r="AI250" s="201">
        <v>12.493581539999999</v>
      </c>
      <c r="AJ250" s="201">
        <v>0.390500448</v>
      </c>
      <c r="AK250" s="201">
        <v>0.689164212</v>
      </c>
      <c r="AL250" s="201">
        <v>0.35626659199999999</v>
      </c>
      <c r="AM250" s="201">
        <v>4218.7749999999996</v>
      </c>
      <c r="AN250" s="201">
        <v>2.0002517260000001</v>
      </c>
      <c r="AO250" s="201">
        <v>95</v>
      </c>
      <c r="AP250" s="201">
        <v>543.4</v>
      </c>
      <c r="AQ250" s="201">
        <v>478</v>
      </c>
      <c r="AR250" s="201">
        <v>328.1</v>
      </c>
      <c r="AS250" s="201">
        <v>345.5</v>
      </c>
      <c r="AT250" s="201">
        <v>2319.39</v>
      </c>
      <c r="AU250" s="201">
        <v>9324.82</v>
      </c>
    </row>
    <row r="251" spans="1:47">
      <c r="A251" s="288" t="s">
        <v>7</v>
      </c>
      <c r="B251" s="201">
        <v>66.400000000000006</v>
      </c>
      <c r="C251" s="201">
        <v>68.040000000000006</v>
      </c>
      <c r="D251" s="201">
        <v>65.98</v>
      </c>
      <c r="E251" s="201">
        <v>65.180000000000007</v>
      </c>
      <c r="F251" s="201">
        <v>2.8883999999999999</v>
      </c>
      <c r="G251" s="201">
        <v>83.467233274210002</v>
      </c>
      <c r="H251" s="201">
        <v>2.4128599999999998</v>
      </c>
      <c r="I251" s="201">
        <v>4.110734452</v>
      </c>
      <c r="J251" s="201">
        <v>1.756641216</v>
      </c>
      <c r="K251" s="201">
        <v>1715.24</v>
      </c>
      <c r="L251" s="201">
        <v>1450</v>
      </c>
      <c r="M251" s="201">
        <v>2072.0399166727998</v>
      </c>
      <c r="N251" s="201">
        <v>1136.46</v>
      </c>
      <c r="O251" s="201">
        <v>1530.5</v>
      </c>
      <c r="P251" s="201">
        <v>646.79999999999995</v>
      </c>
      <c r="Q251" s="201">
        <v>1574.67</v>
      </c>
      <c r="R251" s="201">
        <v>482.38</v>
      </c>
      <c r="S251" s="201">
        <v>1531.38</v>
      </c>
      <c r="T251" s="201">
        <v>1584.58672086721</v>
      </c>
      <c r="U251" s="201" t="s">
        <v>267</v>
      </c>
      <c r="V251" s="201">
        <v>305.31065039999999</v>
      </c>
      <c r="W251" s="201" t="s">
        <v>267</v>
      </c>
      <c r="X251" s="201">
        <v>493</v>
      </c>
      <c r="Y251" s="201">
        <v>483</v>
      </c>
      <c r="Z251" s="201">
        <v>462.75</v>
      </c>
      <c r="AA251" s="201">
        <v>477.7</v>
      </c>
      <c r="AB251" s="201">
        <v>270.98456625</v>
      </c>
      <c r="AC251" s="201">
        <v>297.25</v>
      </c>
      <c r="AD251" s="201">
        <v>0.96928708729000002</v>
      </c>
      <c r="AE251" s="201">
        <v>1.2263198749999999</v>
      </c>
      <c r="AF251" s="201">
        <v>0.60927116677000004</v>
      </c>
      <c r="AG251" s="201">
        <v>5.48399225</v>
      </c>
      <c r="AH251" s="201">
        <v>2.3748166639999999</v>
      </c>
      <c r="AI251" s="201">
        <v>12.64900725</v>
      </c>
      <c r="AJ251" s="201">
        <v>0.39670508799999998</v>
      </c>
      <c r="AK251" s="201">
        <v>0.71297410800000005</v>
      </c>
      <c r="AL251" s="201">
        <v>0.380517412</v>
      </c>
      <c r="AM251" s="201">
        <v>4168.0083333333296</v>
      </c>
      <c r="AN251" s="201">
        <v>2.0037791180000002</v>
      </c>
      <c r="AO251" s="201">
        <v>102.5</v>
      </c>
      <c r="AP251" s="201">
        <v>574.63</v>
      </c>
      <c r="AQ251" s="201">
        <v>527.5</v>
      </c>
      <c r="AR251" s="201">
        <v>331.63</v>
      </c>
      <c r="AS251" s="201">
        <v>378.13</v>
      </c>
      <c r="AT251" s="201">
        <v>2433.5300000000002</v>
      </c>
      <c r="AU251" s="201">
        <v>10161.969999999999</v>
      </c>
    </row>
    <row r="252" spans="1:47">
      <c r="A252" s="288" t="s">
        <v>8</v>
      </c>
      <c r="B252" s="201">
        <v>71.803333333330002</v>
      </c>
      <c r="C252" s="201">
        <v>73.069999999999993</v>
      </c>
      <c r="D252" s="201">
        <v>70.959999999999994</v>
      </c>
      <c r="E252" s="201">
        <v>71.38</v>
      </c>
      <c r="F252" s="201">
        <v>3.2317999999999998</v>
      </c>
      <c r="G252" s="201">
        <v>94.730656332630005</v>
      </c>
      <c r="H252" s="201">
        <v>2.3662299999999998</v>
      </c>
      <c r="I252" s="201">
        <v>4.2430116519999999</v>
      </c>
      <c r="J252" s="201">
        <v>1.8701791459999999</v>
      </c>
      <c r="K252" s="201">
        <v>1670.68</v>
      </c>
      <c r="L252" s="201">
        <v>1450</v>
      </c>
      <c r="M252" s="201">
        <v>2078.8257589914201</v>
      </c>
      <c r="N252" s="201">
        <v>1004.42</v>
      </c>
      <c r="O252" s="201">
        <v>1400.45</v>
      </c>
      <c r="P252" s="201">
        <v>614.67999999999995</v>
      </c>
      <c r="Q252" s="201">
        <v>1518.16</v>
      </c>
      <c r="R252" s="201">
        <v>467.15</v>
      </c>
      <c r="S252" s="201">
        <v>1527.59</v>
      </c>
      <c r="T252" s="201">
        <v>1296.74796747967</v>
      </c>
      <c r="U252" s="201" t="s">
        <v>267</v>
      </c>
      <c r="V252" s="201">
        <v>292.55935520000003</v>
      </c>
      <c r="W252" s="201" t="s">
        <v>267</v>
      </c>
      <c r="X252" s="201">
        <v>466</v>
      </c>
      <c r="Y252" s="201">
        <v>455</v>
      </c>
      <c r="Z252" s="201">
        <v>438.59</v>
      </c>
      <c r="AA252" s="201">
        <v>474</v>
      </c>
      <c r="AB252" s="201">
        <v>263.47783446900002</v>
      </c>
      <c r="AC252" s="201">
        <v>285.55</v>
      </c>
      <c r="AD252" s="201">
        <v>0.95067186160999995</v>
      </c>
      <c r="AE252" s="201">
        <v>1.2263198749999999</v>
      </c>
      <c r="AF252" s="201">
        <v>0.63577271691000004</v>
      </c>
      <c r="AG252" s="201">
        <v>5.6774476549999999</v>
      </c>
      <c r="AH252" s="201">
        <v>2.3809895999999999</v>
      </c>
      <c r="AI252" s="201">
        <v>13.39968036</v>
      </c>
      <c r="AJ252" s="201">
        <v>0.39350479999999999</v>
      </c>
      <c r="AK252" s="201">
        <v>0.72862691000000002</v>
      </c>
      <c r="AL252" s="201">
        <v>0.38382434199999999</v>
      </c>
      <c r="AM252" s="201">
        <v>4138.9666666666699</v>
      </c>
      <c r="AN252" s="201">
        <v>2.0833659</v>
      </c>
      <c r="AO252" s="201">
        <v>125</v>
      </c>
      <c r="AP252" s="201">
        <v>604.75</v>
      </c>
      <c r="AQ252" s="201">
        <v>550</v>
      </c>
      <c r="AR252" s="201">
        <v>393.25</v>
      </c>
      <c r="AS252" s="201">
        <v>462.5</v>
      </c>
      <c r="AT252" s="201">
        <v>2446.65</v>
      </c>
      <c r="AU252" s="201">
        <v>9631.5</v>
      </c>
    </row>
    <row r="253" spans="1:47">
      <c r="A253" s="288" t="s">
        <v>9</v>
      </c>
      <c r="B253" s="201">
        <v>73.283333333330006</v>
      </c>
      <c r="C253" s="201">
        <v>74.39</v>
      </c>
      <c r="D253" s="201">
        <v>73</v>
      </c>
      <c r="E253" s="201">
        <v>72.459999999999994</v>
      </c>
      <c r="F253" s="201">
        <v>3.8035999999999999</v>
      </c>
      <c r="G253" s="201">
        <v>112.6787432485</v>
      </c>
      <c r="H253" s="201">
        <v>2.3271000000000002</v>
      </c>
      <c r="I253" s="201">
        <v>4.5038181980000003</v>
      </c>
      <c r="J253" s="201">
        <v>2.0804998939999999</v>
      </c>
      <c r="K253" s="201">
        <v>1584.09</v>
      </c>
      <c r="L253" s="201">
        <v>1456.82</v>
      </c>
      <c r="M253" s="201">
        <v>2092.1928941281099</v>
      </c>
      <c r="N253" s="201">
        <v>1062.99</v>
      </c>
      <c r="O253" s="201">
        <v>1274.0899999999999</v>
      </c>
      <c r="P253" s="201">
        <v>600.44000000000005</v>
      </c>
      <c r="Q253" s="201">
        <v>1468.34</v>
      </c>
      <c r="R253" s="201">
        <v>470.02</v>
      </c>
      <c r="S253" s="201">
        <v>1410.08</v>
      </c>
      <c r="T253" s="201">
        <v>1282.0121951219501</v>
      </c>
      <c r="U253" s="201" t="s">
        <v>267</v>
      </c>
      <c r="V253" s="201">
        <v>278.43411680000003</v>
      </c>
      <c r="W253" s="201" t="s">
        <v>267</v>
      </c>
      <c r="X253" s="201">
        <v>414</v>
      </c>
      <c r="Y253" s="201">
        <v>407</v>
      </c>
      <c r="Z253" s="201">
        <v>397</v>
      </c>
      <c r="AA253" s="201">
        <v>436.17</v>
      </c>
      <c r="AB253" s="201">
        <v>254.67037676999999</v>
      </c>
      <c r="AC253" s="201">
        <v>294.27</v>
      </c>
      <c r="AD253" s="201">
        <v>0.84793984208999995</v>
      </c>
      <c r="AE253" s="201">
        <v>1.2345872</v>
      </c>
      <c r="AF253" s="201">
        <v>0.69364236932000001</v>
      </c>
      <c r="AG253" s="201">
        <v>5.5856252319999999</v>
      </c>
      <c r="AH253" s="201">
        <v>2.3809895999999999</v>
      </c>
      <c r="AI253" s="201">
        <v>15.860036279999999</v>
      </c>
      <c r="AJ253" s="201">
        <v>0.38605923199999997</v>
      </c>
      <c r="AK253" s="201">
        <v>0.79674966800000002</v>
      </c>
      <c r="AL253" s="201">
        <v>0.39021773999999998</v>
      </c>
      <c r="AM253" s="201">
        <v>4078.11666666667</v>
      </c>
      <c r="AN253" s="201">
        <v>2.1539137400000001</v>
      </c>
      <c r="AO253" s="201">
        <v>125</v>
      </c>
      <c r="AP253" s="201">
        <v>613</v>
      </c>
      <c r="AQ253" s="201">
        <v>555</v>
      </c>
      <c r="AR253" s="201">
        <v>441.5</v>
      </c>
      <c r="AS253" s="201">
        <v>633</v>
      </c>
      <c r="AT253" s="201">
        <v>2497.64</v>
      </c>
      <c r="AU253" s="201">
        <v>9450.82</v>
      </c>
    </row>
    <row r="254" spans="1:47">
      <c r="A254" s="288" t="s">
        <v>10</v>
      </c>
      <c r="B254" s="201">
        <v>68.86666666667</v>
      </c>
      <c r="C254" s="201">
        <v>70.02</v>
      </c>
      <c r="D254" s="201">
        <v>68.849999999999994</v>
      </c>
      <c r="E254" s="201">
        <v>67.73</v>
      </c>
      <c r="F254" s="201">
        <v>4.0486000000000004</v>
      </c>
      <c r="G254" s="201">
        <v>129.81858281674999</v>
      </c>
      <c r="H254" s="201">
        <v>2.4843099999999998</v>
      </c>
      <c r="I254" s="201">
        <v>4.7672702879999997</v>
      </c>
      <c r="J254" s="201">
        <v>2.098357316</v>
      </c>
      <c r="K254" s="201">
        <v>1493.64</v>
      </c>
      <c r="L254" s="201">
        <v>1443.18</v>
      </c>
      <c r="M254" s="201">
        <v>2102.2883548599998</v>
      </c>
      <c r="N254" s="201">
        <v>1141.82</v>
      </c>
      <c r="O254" s="201">
        <v>1341.14</v>
      </c>
      <c r="P254" s="201">
        <v>585.79999999999995</v>
      </c>
      <c r="Q254" s="201">
        <v>1433.94</v>
      </c>
      <c r="R254" s="201">
        <v>470.26</v>
      </c>
      <c r="S254" s="201">
        <v>1519.19</v>
      </c>
      <c r="T254" s="201">
        <v>1355.6910569105701</v>
      </c>
      <c r="U254" s="201" t="s">
        <v>267</v>
      </c>
      <c r="V254" s="201">
        <v>256.61243439999998</v>
      </c>
      <c r="W254" s="201" t="s">
        <v>267</v>
      </c>
      <c r="X254" s="201">
        <v>403</v>
      </c>
      <c r="Y254" s="201">
        <v>392</v>
      </c>
      <c r="Z254" s="201">
        <v>381</v>
      </c>
      <c r="AA254" s="201">
        <v>384.46</v>
      </c>
      <c r="AB254" s="201">
        <v>276.18379555500002</v>
      </c>
      <c r="AC254" s="201">
        <v>324.52</v>
      </c>
      <c r="AD254" s="201">
        <v>0.89173992325999996</v>
      </c>
      <c r="AE254" s="201">
        <v>1.2297645937499999</v>
      </c>
      <c r="AF254" s="201">
        <v>0.71823961646000001</v>
      </c>
      <c r="AG254" s="201">
        <v>5.60965559</v>
      </c>
      <c r="AH254" s="201">
        <v>2.3809895999999999</v>
      </c>
      <c r="AI254" s="201">
        <v>15.763033</v>
      </c>
      <c r="AJ254" s="201">
        <v>0.38442643199999998</v>
      </c>
      <c r="AK254" s="201">
        <v>0.75971205200000003</v>
      </c>
      <c r="AL254" s="201">
        <v>0.42945997600000002</v>
      </c>
      <c r="AM254" s="201">
        <v>3973.24166666667</v>
      </c>
      <c r="AN254" s="201">
        <v>2.2332800599999998</v>
      </c>
      <c r="AO254" s="201">
        <v>136.88</v>
      </c>
      <c r="AP254" s="201">
        <v>603.13</v>
      </c>
      <c r="AQ254" s="201">
        <v>555</v>
      </c>
      <c r="AR254" s="201">
        <v>446.88</v>
      </c>
      <c r="AS254" s="201">
        <v>695</v>
      </c>
      <c r="AT254" s="201">
        <v>2602.9899999999998</v>
      </c>
      <c r="AU254" s="201">
        <v>9370.14</v>
      </c>
    </row>
    <row r="255" spans="1:47">
      <c r="A255" s="288" t="s">
        <v>11</v>
      </c>
      <c r="B255" s="201">
        <v>72.8</v>
      </c>
      <c r="C255" s="201">
        <v>74.599999999999994</v>
      </c>
      <c r="D255" s="201">
        <v>72.239999999999995</v>
      </c>
      <c r="E255" s="201">
        <v>71.56</v>
      </c>
      <c r="F255" s="201">
        <v>5.1111000000000004</v>
      </c>
      <c r="G255" s="201">
        <v>178.39940517491999</v>
      </c>
      <c r="H255" s="201">
        <v>2.55809</v>
      </c>
      <c r="I255" s="201">
        <v>4.9722999479999999</v>
      </c>
      <c r="J255" s="201">
        <v>2.30603252</v>
      </c>
      <c r="K255" s="201">
        <v>1485</v>
      </c>
      <c r="L255" s="201">
        <v>1476.14</v>
      </c>
      <c r="M255" s="201">
        <v>2109.0202199738901</v>
      </c>
      <c r="N255" s="201">
        <v>1181.3800000000001</v>
      </c>
      <c r="O255" s="201">
        <v>1427.27</v>
      </c>
      <c r="P255" s="201">
        <v>557.54999999999995</v>
      </c>
      <c r="Q255" s="201">
        <v>1398.75</v>
      </c>
      <c r="R255" s="201">
        <v>467.83</v>
      </c>
      <c r="S255" s="201">
        <v>1629.14</v>
      </c>
      <c r="T255" s="201">
        <v>1309.5189701897</v>
      </c>
      <c r="U255" s="201" t="s">
        <v>267</v>
      </c>
      <c r="V255" s="201">
        <v>235.61748</v>
      </c>
      <c r="W255" s="201" t="s">
        <v>267</v>
      </c>
      <c r="X255" s="201">
        <v>400</v>
      </c>
      <c r="Y255" s="201">
        <v>391</v>
      </c>
      <c r="Z255" s="201">
        <v>381.27</v>
      </c>
      <c r="AA255" s="201">
        <v>387.3</v>
      </c>
      <c r="AB255" s="201">
        <v>263.59908858</v>
      </c>
      <c r="AC255" s="201">
        <v>337.55</v>
      </c>
      <c r="AD255" s="201">
        <v>0.91410285826000004</v>
      </c>
      <c r="AE255" s="201">
        <v>1.1849832499999999</v>
      </c>
      <c r="AF255" s="201">
        <v>0.73670077613999996</v>
      </c>
      <c r="AG255" s="201">
        <v>5.6585981539999999</v>
      </c>
      <c r="AH255" s="201">
        <v>2.3787849799999998</v>
      </c>
      <c r="AI255" s="201">
        <v>14.673950720000001</v>
      </c>
      <c r="AJ255" s="201">
        <v>0.38442643199999998</v>
      </c>
      <c r="AK255" s="201">
        <v>0.78793118799999995</v>
      </c>
      <c r="AL255" s="201">
        <v>0.43166459600000001</v>
      </c>
      <c r="AM255" s="201">
        <v>4089.2249999999999</v>
      </c>
      <c r="AN255" s="201">
        <v>2.2857500160000002</v>
      </c>
      <c r="AO255" s="201">
        <v>147.5</v>
      </c>
      <c r="AP255" s="201">
        <v>643.75</v>
      </c>
      <c r="AQ255" s="201">
        <v>573.75</v>
      </c>
      <c r="AR255" s="201">
        <v>418.75</v>
      </c>
      <c r="AS255" s="201">
        <v>736.25</v>
      </c>
      <c r="AT255" s="201">
        <v>2834.56</v>
      </c>
      <c r="AU255" s="201">
        <v>9324.7099999999991</v>
      </c>
    </row>
    <row r="256" spans="1:47">
      <c r="A256" s="288" t="s">
        <v>12</v>
      </c>
      <c r="B256" s="201">
        <v>82.063333333329993</v>
      </c>
      <c r="C256" s="201">
        <v>83.65</v>
      </c>
      <c r="D256" s="201">
        <v>81.22</v>
      </c>
      <c r="E256" s="201">
        <v>81.319999999999993</v>
      </c>
      <c r="F256" s="201">
        <v>5.4779999999999998</v>
      </c>
      <c r="G256" s="201">
        <v>222.52925190517001</v>
      </c>
      <c r="H256" s="201">
        <v>2.5675699999999999</v>
      </c>
      <c r="I256" s="201">
        <v>5.3144569720000003</v>
      </c>
      <c r="J256" s="201">
        <v>2.3201420879999999</v>
      </c>
      <c r="K256" s="201">
        <v>1922.86</v>
      </c>
      <c r="L256" s="201">
        <v>1539.29</v>
      </c>
      <c r="M256" s="201">
        <v>2133.66533688546</v>
      </c>
      <c r="N256" s="201">
        <v>1310.25</v>
      </c>
      <c r="O256" s="201">
        <v>1818.33</v>
      </c>
      <c r="P256" s="201">
        <v>551.95000000000005</v>
      </c>
      <c r="Q256" s="201">
        <v>1483.52</v>
      </c>
      <c r="R256" s="201">
        <v>450.85</v>
      </c>
      <c r="S256" s="201">
        <v>1795.17</v>
      </c>
      <c r="T256" s="201">
        <v>1420.5284552845501</v>
      </c>
      <c r="U256" s="201" t="s">
        <v>267</v>
      </c>
      <c r="V256" s="201">
        <v>239.64876319999999</v>
      </c>
      <c r="W256" s="201" t="s">
        <v>267</v>
      </c>
      <c r="X256" s="201">
        <v>401</v>
      </c>
      <c r="Y256" s="201">
        <v>395</v>
      </c>
      <c r="Z256" s="201">
        <v>382.71</v>
      </c>
      <c r="AA256" s="201">
        <v>404.46</v>
      </c>
      <c r="AB256" s="201" t="s">
        <v>267</v>
      </c>
      <c r="AC256" s="201">
        <v>354.67</v>
      </c>
      <c r="AD256" s="201">
        <v>0.92557798114000001</v>
      </c>
      <c r="AE256" s="201">
        <v>1.1505360625000001</v>
      </c>
      <c r="AF256" s="201">
        <v>0.66364959700000004</v>
      </c>
      <c r="AG256" s="201">
        <v>5.6985017759999996</v>
      </c>
      <c r="AH256" s="201">
        <v>2.32918103</v>
      </c>
      <c r="AI256" s="201">
        <v>14.467818749999999</v>
      </c>
      <c r="AJ256" s="201">
        <v>0.37884225599999999</v>
      </c>
      <c r="AK256" s="201">
        <v>0.817032172</v>
      </c>
      <c r="AL256" s="201">
        <v>0.42416888800000002</v>
      </c>
      <c r="AM256" s="201">
        <v>4241.7462215804499</v>
      </c>
      <c r="AN256" s="201">
        <v>2.5877829559999999</v>
      </c>
      <c r="AO256" s="201">
        <v>147.5</v>
      </c>
      <c r="AP256" s="201">
        <v>672.9</v>
      </c>
      <c r="AQ256" s="201">
        <v>618</v>
      </c>
      <c r="AR256" s="201">
        <v>695</v>
      </c>
      <c r="AS256" s="201">
        <v>782</v>
      </c>
      <c r="AT256" s="201">
        <v>2934.39</v>
      </c>
      <c r="AU256" s="201">
        <v>9829.2199999999993</v>
      </c>
    </row>
    <row r="257" spans="1:47">
      <c r="A257" s="288" t="s">
        <v>13</v>
      </c>
      <c r="B257" s="201">
        <v>79.916666666669997</v>
      </c>
      <c r="C257" s="201">
        <v>80.77</v>
      </c>
      <c r="D257" s="201">
        <v>79.8</v>
      </c>
      <c r="E257" s="201">
        <v>79.180000000000007</v>
      </c>
      <c r="F257" s="201">
        <v>5.0175999999999998</v>
      </c>
      <c r="G257" s="201">
        <v>202.58611793577001</v>
      </c>
      <c r="H257" s="201">
        <v>2.3933300000000002</v>
      </c>
      <c r="I257" s="201">
        <v>5.7090839520000003</v>
      </c>
      <c r="J257" s="201">
        <v>2.41185428</v>
      </c>
      <c r="K257" s="201">
        <v>1960.68</v>
      </c>
      <c r="L257" s="201">
        <v>1552.27</v>
      </c>
      <c r="M257" s="201">
        <v>2150.2094498390102</v>
      </c>
      <c r="N257" s="201">
        <v>1340.65</v>
      </c>
      <c r="O257" s="201">
        <v>2050.23</v>
      </c>
      <c r="P257" s="201">
        <v>551.04</v>
      </c>
      <c r="Q257" s="201">
        <v>1442.96</v>
      </c>
      <c r="R257" s="201">
        <v>442.63</v>
      </c>
      <c r="S257" s="201">
        <v>1825.34</v>
      </c>
      <c r="T257" s="201">
        <v>1415.6165311653101</v>
      </c>
      <c r="U257" s="201" t="s">
        <v>267</v>
      </c>
      <c r="V257" s="201">
        <v>248.71915039999999</v>
      </c>
      <c r="W257" s="201" t="s">
        <v>267</v>
      </c>
      <c r="X257" s="201">
        <v>400</v>
      </c>
      <c r="Y257" s="201">
        <v>394</v>
      </c>
      <c r="Z257" s="201">
        <v>378.55</v>
      </c>
      <c r="AA257" s="201">
        <v>411.41</v>
      </c>
      <c r="AB257" s="201">
        <v>334.499674212</v>
      </c>
      <c r="AC257" s="201">
        <v>379.45</v>
      </c>
      <c r="AD257" s="201">
        <v>0.90364638692999999</v>
      </c>
      <c r="AE257" s="201">
        <v>1.1436466249999999</v>
      </c>
      <c r="AF257" s="201">
        <v>0.66195688322000001</v>
      </c>
      <c r="AG257" s="201">
        <v>5.9524739999999996</v>
      </c>
      <c r="AH257" s="201">
        <v>2.3377790479999998</v>
      </c>
      <c r="AI257" s="201">
        <v>14.488762639999999</v>
      </c>
      <c r="AJ257" s="201">
        <v>0.37280089599999999</v>
      </c>
      <c r="AK257" s="201">
        <v>0.81835494399999997</v>
      </c>
      <c r="AL257" s="201">
        <v>0.42813720399999999</v>
      </c>
      <c r="AM257" s="201">
        <v>4221.6499999999996</v>
      </c>
      <c r="AN257" s="201">
        <v>2.7897261480000002</v>
      </c>
      <c r="AO257" s="201">
        <v>153.13</v>
      </c>
      <c r="AP257" s="201">
        <v>726.69</v>
      </c>
      <c r="AQ257" s="201">
        <v>665</v>
      </c>
      <c r="AR257" s="201">
        <v>900.5</v>
      </c>
      <c r="AS257" s="201">
        <v>806.88</v>
      </c>
      <c r="AT257" s="201">
        <v>2636.45</v>
      </c>
      <c r="AU257" s="201">
        <v>9728.9</v>
      </c>
    </row>
    <row r="258" spans="1:47">
      <c r="A258" s="288" t="s">
        <v>14</v>
      </c>
      <c r="B258" s="201">
        <v>72.86666666667</v>
      </c>
      <c r="C258" s="201">
        <v>74.31</v>
      </c>
      <c r="D258" s="201">
        <v>72.760000000000005</v>
      </c>
      <c r="E258" s="201">
        <v>71.53</v>
      </c>
      <c r="F258" s="201">
        <v>3.7326999999999999</v>
      </c>
      <c r="G258" s="201">
        <v>236.48836750686999</v>
      </c>
      <c r="H258" s="201">
        <v>2.38239</v>
      </c>
      <c r="I258" s="201">
        <v>5.9101452959999996</v>
      </c>
      <c r="J258" s="201">
        <v>2.4837248920000001</v>
      </c>
      <c r="K258" s="201">
        <v>1695.71</v>
      </c>
      <c r="L258" s="201">
        <v>1475</v>
      </c>
      <c r="M258" s="201">
        <v>2154.0602220204401</v>
      </c>
      <c r="N258" s="201">
        <v>1270.29</v>
      </c>
      <c r="O258" s="201">
        <v>1861.43</v>
      </c>
      <c r="P258" s="201">
        <v>554.14</v>
      </c>
      <c r="Q258" s="201">
        <v>1411.21</v>
      </c>
      <c r="R258" s="201">
        <v>461.66</v>
      </c>
      <c r="S258" s="201">
        <v>1742.5</v>
      </c>
      <c r="T258" s="201">
        <v>1361.8309620596201</v>
      </c>
      <c r="U258" s="201" t="s">
        <v>267</v>
      </c>
      <c r="V258" s="201">
        <v>264.53721280000002</v>
      </c>
      <c r="W258" s="201" t="s">
        <v>267</v>
      </c>
      <c r="X258" s="201">
        <v>400</v>
      </c>
      <c r="Y258" s="201">
        <v>393</v>
      </c>
      <c r="Z258" s="201">
        <v>380.95</v>
      </c>
      <c r="AA258" s="201">
        <v>402.66</v>
      </c>
      <c r="AB258" s="201">
        <v>327.81967500600001</v>
      </c>
      <c r="AC258" s="201">
        <v>376.81</v>
      </c>
      <c r="AD258" s="201">
        <v>0.88509689337999997</v>
      </c>
      <c r="AE258" s="201">
        <v>1.1574255</v>
      </c>
      <c r="AF258" s="201">
        <v>0.70797753915999995</v>
      </c>
      <c r="AG258" s="201">
        <v>5.9545683890000003</v>
      </c>
      <c r="AH258" s="201">
        <v>2.741996125</v>
      </c>
      <c r="AI258" s="201">
        <v>14.62324446</v>
      </c>
      <c r="AJ258" s="201">
        <v>0.36911076799999998</v>
      </c>
      <c r="AK258" s="201">
        <v>0.80931600199999998</v>
      </c>
      <c r="AL258" s="201">
        <v>0.415350408</v>
      </c>
      <c r="AM258" s="201">
        <v>4182.1499999999996</v>
      </c>
      <c r="AN258" s="201">
        <v>2.6464258479999998</v>
      </c>
      <c r="AO258" s="201">
        <v>176.67</v>
      </c>
      <c r="AP258" s="201">
        <v>745</v>
      </c>
      <c r="AQ258" s="201">
        <v>686.67</v>
      </c>
      <c r="AR258" s="201">
        <v>890</v>
      </c>
      <c r="AS258" s="201">
        <v>807.5</v>
      </c>
      <c r="AT258" s="201">
        <v>2695.53</v>
      </c>
      <c r="AU258" s="201">
        <v>9551.18</v>
      </c>
    </row>
    <row r="259" spans="1:47" s="291" customFormat="1" ht="15">
      <c r="A259" s="198" t="s">
        <v>1</v>
      </c>
      <c r="B259" s="241">
        <v>69.070555555554989</v>
      </c>
      <c r="C259" s="241">
        <v>70.443333333333328</v>
      </c>
      <c r="D259" s="241">
        <v>68.804999999999993</v>
      </c>
      <c r="E259" s="241">
        <v>67.963333333333324</v>
      </c>
      <c r="F259" s="241">
        <v>3.8514083333333335</v>
      </c>
      <c r="G259" s="241">
        <v>130.67448026946417</v>
      </c>
      <c r="H259" s="241">
        <v>2.426531666666667</v>
      </c>
      <c r="I259" s="241">
        <v>4.5119385483333332</v>
      </c>
      <c r="J259" s="241">
        <v>1.9811817630000002</v>
      </c>
      <c r="K259" s="241">
        <v>1636.3133333333333</v>
      </c>
      <c r="L259" s="241">
        <v>1555.0349999999999</v>
      </c>
      <c r="M259" s="241">
        <v>2075.0936998510042</v>
      </c>
      <c r="N259" s="241">
        <v>1130.5766666666666</v>
      </c>
      <c r="O259" s="241">
        <v>1533.0816666666667</v>
      </c>
      <c r="P259" s="241">
        <v>583.3225000000001</v>
      </c>
      <c r="Q259" s="241">
        <v>1385.4066666666668</v>
      </c>
      <c r="R259" s="241">
        <v>480.97500000000008</v>
      </c>
      <c r="S259" s="241">
        <v>1502.3308333333334</v>
      </c>
      <c r="T259" s="241">
        <v>1404.0939758355908</v>
      </c>
      <c r="U259" s="241" t="s">
        <v>267</v>
      </c>
      <c r="V259" s="241">
        <v>259.54567977893333</v>
      </c>
      <c r="W259" s="241" t="s">
        <v>267</v>
      </c>
      <c r="X259" s="241">
        <v>458.25</v>
      </c>
      <c r="Y259" s="241">
        <v>448.25</v>
      </c>
      <c r="Z259" s="241">
        <v>436.09</v>
      </c>
      <c r="AA259" s="241">
        <v>446.34750000000003</v>
      </c>
      <c r="AB259" s="241">
        <v>281.66060658518188</v>
      </c>
      <c r="AC259" s="241">
        <v>315.23750000000001</v>
      </c>
      <c r="AD259" s="241">
        <v>0.92376113588666664</v>
      </c>
      <c r="AE259" s="241">
        <v>1.2054793265624999</v>
      </c>
      <c r="AF259" s="241">
        <v>0.65258965200749997</v>
      </c>
      <c r="AG259" s="241">
        <v>5.385895845916667</v>
      </c>
      <c r="AH259" s="241">
        <v>2.2559600882499997</v>
      </c>
      <c r="AI259" s="241">
        <v>13.699049384166665</v>
      </c>
      <c r="AJ259" s="241">
        <v>0.38647559599999998</v>
      </c>
      <c r="AK259" s="241">
        <v>0.74014604949999996</v>
      </c>
      <c r="AL259" s="241">
        <v>0.38955635400000005</v>
      </c>
      <c r="AM259" s="241">
        <v>4154.7399629094825</v>
      </c>
      <c r="AN259" s="241">
        <v>2.2307080033333335</v>
      </c>
      <c r="AO259" s="241">
        <v>123.21333333333332</v>
      </c>
      <c r="AP259" s="241">
        <v>600.96333333333325</v>
      </c>
      <c r="AQ259" s="241">
        <v>538.18916666666667</v>
      </c>
      <c r="AR259" s="241">
        <v>483.20749999999998</v>
      </c>
      <c r="AS259" s="241">
        <v>542.81416666666667</v>
      </c>
      <c r="AT259" s="241">
        <v>2472.8483333333334</v>
      </c>
      <c r="AU259" s="241">
        <v>9317.0499999999975</v>
      </c>
    </row>
    <row r="260" spans="1:47" s="291" customFormat="1" ht="15">
      <c r="A260" s="198" t="s">
        <v>172</v>
      </c>
      <c r="B260" s="241">
        <v>67.412205106104324</v>
      </c>
      <c r="C260" s="241">
        <v>66.532702915681611</v>
      </c>
      <c r="D260" s="241">
        <v>63.180362860192083</v>
      </c>
      <c r="E260" s="241">
        <v>72.898028407886301</v>
      </c>
      <c r="F260" s="241">
        <v>91.196194022132616</v>
      </c>
      <c r="G260" s="241">
        <v>187.1585180674885</v>
      </c>
      <c r="H260" s="241">
        <v>2.3911708019833888</v>
      </c>
      <c r="I260" s="241">
        <v>35.753334549414319</v>
      </c>
      <c r="J260" s="241">
        <v>30.695301232562922</v>
      </c>
      <c r="K260" s="241">
        <v>61.946488361153484</v>
      </c>
      <c r="L260" s="241">
        <v>-15.426211029968639</v>
      </c>
      <c r="M260" s="241">
        <v>22.22164237892439</v>
      </c>
      <c r="N260" s="241">
        <v>50.389407025724367</v>
      </c>
      <c r="O260" s="241">
        <v>86.037265523061748</v>
      </c>
      <c r="P260" s="241">
        <v>43.449421387741303</v>
      </c>
      <c r="Q260" s="241">
        <v>65.371078649683923</v>
      </c>
      <c r="R260" s="241">
        <v>22.019437348463722</v>
      </c>
      <c r="S260" s="241">
        <v>65.741123278226056</v>
      </c>
      <c r="T260" s="241">
        <v>59.377135372997955</v>
      </c>
      <c r="U260" s="241" t="s">
        <v>2</v>
      </c>
      <c r="V260" s="241">
        <v>56.857408196809111</v>
      </c>
      <c r="W260" s="241" t="s">
        <v>2</v>
      </c>
      <c r="X260" s="241">
        <v>-7.7503774534474097</v>
      </c>
      <c r="Y260" s="241">
        <v>-6.9699066067104738</v>
      </c>
      <c r="Z260" s="241">
        <v>-8.1174280998700823</v>
      </c>
      <c r="AA260" s="241">
        <v>4.2965464062061809</v>
      </c>
      <c r="AB260" s="241">
        <v>23.67704119641898</v>
      </c>
      <c r="AC260" s="241">
        <v>36.13319618166355</v>
      </c>
      <c r="AD260" s="241">
        <v>2.9698800289922556</v>
      </c>
      <c r="AE260" s="241">
        <v>-0.89209855564997831</v>
      </c>
      <c r="AF260" s="241">
        <v>8.2264785439884811</v>
      </c>
      <c r="AG260" s="241">
        <v>15.396166851015746</v>
      </c>
      <c r="AH260" s="241">
        <v>38.258740077689588</v>
      </c>
      <c r="AI260" s="241">
        <v>8.0957075136631751</v>
      </c>
      <c r="AJ260" s="241">
        <v>3.6930760300527998</v>
      </c>
      <c r="AK260" s="241">
        <v>24.465521502718723</v>
      </c>
      <c r="AL260" s="241">
        <v>37.590033093245111</v>
      </c>
      <c r="AM260" s="241">
        <v>-4.1865662447637453</v>
      </c>
      <c r="AN260" s="241">
        <v>40.664280170066846</v>
      </c>
      <c r="AO260" s="241">
        <v>62.012666827376115</v>
      </c>
      <c r="AP260" s="241">
        <v>92.354944799938082</v>
      </c>
      <c r="AQ260" s="241">
        <v>103.06151645207441</v>
      </c>
      <c r="AR260" s="241">
        <v>110.91477187992184</v>
      </c>
      <c r="AS260" s="241">
        <v>125.16635728532566</v>
      </c>
      <c r="AT260" s="241">
        <v>45.121342890006979</v>
      </c>
      <c r="AU260" s="241">
        <v>50.913440934598952</v>
      </c>
    </row>
    <row r="261" spans="1:47"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  <c r="AC261" s="201"/>
      <c r="AD261" s="201"/>
      <c r="AE261" s="201"/>
      <c r="AF261" s="201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  <c r="AU261" s="201"/>
    </row>
    <row r="262" spans="1:47">
      <c r="A262" s="292">
        <v>2022</v>
      </c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  <c r="AU262" s="201"/>
    </row>
    <row r="263" spans="1:47">
      <c r="A263" s="288" t="s">
        <v>3</v>
      </c>
      <c r="B263" s="201">
        <v>83.92</v>
      </c>
      <c r="C263" s="201">
        <v>85.53</v>
      </c>
      <c r="D263" s="201">
        <v>83.11</v>
      </c>
      <c r="E263" s="201">
        <v>83.12</v>
      </c>
      <c r="F263" s="201">
        <v>4.3324999999999996</v>
      </c>
      <c r="G263" s="201">
        <v>196.91113953145</v>
      </c>
      <c r="H263" s="201">
        <v>2.4673600000000002</v>
      </c>
      <c r="I263" s="201">
        <v>5.976283896</v>
      </c>
      <c r="J263" s="201">
        <v>2.4250820000000002</v>
      </c>
      <c r="K263" s="201">
        <v>2016.14</v>
      </c>
      <c r="L263" s="201">
        <v>1479.55</v>
      </c>
      <c r="M263" s="201">
        <v>2489.88</v>
      </c>
      <c r="N263" s="201">
        <v>1344.79</v>
      </c>
      <c r="O263" s="201">
        <v>2195.79</v>
      </c>
      <c r="P263" s="201">
        <v>606.22</v>
      </c>
      <c r="Q263" s="201">
        <v>1469.56</v>
      </c>
      <c r="R263" s="201">
        <v>526.49</v>
      </c>
      <c r="S263" s="201">
        <v>1865.36</v>
      </c>
      <c r="T263" s="201">
        <v>1411.73</v>
      </c>
      <c r="U263" s="201" t="s">
        <v>313</v>
      </c>
      <c r="V263" s="201">
        <v>276.62318879999998</v>
      </c>
      <c r="W263" s="201" t="s">
        <v>313</v>
      </c>
      <c r="X263" s="201">
        <v>427</v>
      </c>
      <c r="Y263" s="201">
        <v>419</v>
      </c>
      <c r="Z263" s="201">
        <v>403.15</v>
      </c>
      <c r="AA263" s="201">
        <v>395.94</v>
      </c>
      <c r="AB263" s="201">
        <v>325.15943329800001</v>
      </c>
      <c r="AC263" s="201">
        <v>374.24</v>
      </c>
      <c r="AD263" s="201">
        <v>0.91152966024000004</v>
      </c>
      <c r="AE263" s="201">
        <v>1.1574255</v>
      </c>
      <c r="AF263" s="201">
        <v>0.79319509860000004</v>
      </c>
      <c r="AG263" s="201">
        <v>5.8064179249999999</v>
      </c>
      <c r="AH263" s="201">
        <v>1.3574999999999999</v>
      </c>
      <c r="AI263" s="201">
        <v>14.784181719999999</v>
      </c>
      <c r="AJ263" s="201">
        <v>0.36966591999999998</v>
      </c>
      <c r="AK263" s="201">
        <v>0.782199176</v>
      </c>
      <c r="AL263" s="201">
        <v>0.401681764</v>
      </c>
      <c r="AM263" s="201">
        <v>4184.6000000000004</v>
      </c>
      <c r="AN263" s="201">
        <v>2.9112007100000001</v>
      </c>
      <c r="AO263" s="201">
        <v>173.13</v>
      </c>
      <c r="AP263" s="201">
        <v>699.38</v>
      </c>
      <c r="AQ263" s="201">
        <v>674.38</v>
      </c>
      <c r="AR263" s="201">
        <v>846.38</v>
      </c>
      <c r="AS263" s="201">
        <v>785.63</v>
      </c>
      <c r="AT263" s="201">
        <v>3005.98</v>
      </c>
      <c r="AU263" s="201">
        <v>9782.34</v>
      </c>
    </row>
    <row r="264" spans="1:47">
      <c r="A264" s="288" t="s">
        <v>4</v>
      </c>
      <c r="B264" s="201">
        <v>93.543333333329997</v>
      </c>
      <c r="C264" s="201">
        <v>95.76</v>
      </c>
      <c r="D264" s="201">
        <v>93.13</v>
      </c>
      <c r="E264" s="201">
        <v>91.74</v>
      </c>
      <c r="F264" s="201">
        <v>4.6577000000000002</v>
      </c>
      <c r="G264" s="201">
        <v>197.52367940190001</v>
      </c>
      <c r="H264" s="201">
        <v>2.5509400000000002</v>
      </c>
      <c r="I264" s="201">
        <v>6.1691881459999998</v>
      </c>
      <c r="J264" s="201">
        <v>2.412515666</v>
      </c>
      <c r="K264" s="201">
        <v>2147.89</v>
      </c>
      <c r="L264" s="201">
        <v>1496.25</v>
      </c>
      <c r="M264" s="201">
        <v>2473.1</v>
      </c>
      <c r="N264" s="201">
        <v>1522.36</v>
      </c>
      <c r="O264" s="201">
        <v>2442.63</v>
      </c>
      <c r="P264" s="201">
        <v>661.63</v>
      </c>
      <c r="Q264" s="201">
        <v>1595.74</v>
      </c>
      <c r="R264" s="201">
        <v>569.46</v>
      </c>
      <c r="S264" s="201">
        <v>1744.2</v>
      </c>
      <c r="T264" s="201">
        <v>1499.12</v>
      </c>
      <c r="U264" s="201" t="s">
        <v>313</v>
      </c>
      <c r="V264" s="201">
        <v>292.622344</v>
      </c>
      <c r="W264" s="201" t="s">
        <v>313</v>
      </c>
      <c r="X264" s="201">
        <v>427</v>
      </c>
      <c r="Y264" s="201">
        <v>422</v>
      </c>
      <c r="Z264" s="201">
        <v>405.95</v>
      </c>
      <c r="AA264" s="201">
        <v>384.21</v>
      </c>
      <c r="AB264" s="201">
        <v>339.34616428499999</v>
      </c>
      <c r="AC264" s="201">
        <v>390.5</v>
      </c>
      <c r="AD264" s="201">
        <v>0.96250546948000004</v>
      </c>
      <c r="AE264" s="201">
        <v>1.24354346875</v>
      </c>
      <c r="AF264" s="201">
        <v>0.73278637552000003</v>
      </c>
      <c r="AG264" s="201">
        <v>5.9938106250000001</v>
      </c>
      <c r="AH264" s="201">
        <v>1.4483520000000001</v>
      </c>
      <c r="AI264" s="201">
        <v>14.881185</v>
      </c>
      <c r="AJ264" s="201">
        <v>0.37041700799999999</v>
      </c>
      <c r="AK264" s="201">
        <v>0.77999455600000001</v>
      </c>
      <c r="AL264" s="201">
        <v>0.393745132</v>
      </c>
      <c r="AM264" s="201">
        <v>4219.55</v>
      </c>
      <c r="AN264" s="201">
        <v>3.0514145419999998</v>
      </c>
      <c r="AO264" s="201">
        <v>172.5</v>
      </c>
      <c r="AP264" s="201">
        <v>747.13</v>
      </c>
      <c r="AQ264" s="201">
        <v>680</v>
      </c>
      <c r="AR264" s="201">
        <v>744.17</v>
      </c>
      <c r="AS264" s="201">
        <v>791.88</v>
      </c>
      <c r="AT264" s="201">
        <v>3245.79</v>
      </c>
      <c r="AU264" s="201">
        <v>9943.17</v>
      </c>
    </row>
    <row r="265" spans="1:47">
      <c r="A265" s="288" t="s">
        <v>5</v>
      </c>
      <c r="B265" s="201">
        <v>112.39666666667</v>
      </c>
      <c r="C265" s="201">
        <v>115.59</v>
      </c>
      <c r="D265" s="201">
        <v>113.11</v>
      </c>
      <c r="E265" s="201">
        <v>108.49</v>
      </c>
      <c r="F265" s="201">
        <v>4.8838999999999997</v>
      </c>
      <c r="G265" s="201">
        <v>271.07990593108002</v>
      </c>
      <c r="H265" s="201">
        <v>2.4590100000000001</v>
      </c>
      <c r="I265" s="201">
        <v>5.6985017759999996</v>
      </c>
      <c r="J265" s="201">
        <v>2.2888364839999999</v>
      </c>
      <c r="K265" s="201">
        <v>2230.2199999999998</v>
      </c>
      <c r="L265" s="201">
        <v>1491.3</v>
      </c>
      <c r="M265" s="201">
        <v>2153.15</v>
      </c>
      <c r="N265" s="201">
        <v>1776.96</v>
      </c>
      <c r="O265" s="201">
        <v>2441.48</v>
      </c>
      <c r="P265" s="201">
        <v>720.6</v>
      </c>
      <c r="Q265" s="201">
        <v>1956.88</v>
      </c>
      <c r="R265" s="201">
        <v>601.42999999999995</v>
      </c>
      <c r="S265" s="201">
        <v>2162.3000000000002</v>
      </c>
      <c r="T265" s="201">
        <v>2361.13</v>
      </c>
      <c r="U265" s="201" t="s">
        <v>313</v>
      </c>
      <c r="V265" s="201">
        <v>335.52952720000002</v>
      </c>
      <c r="W265" s="201" t="s">
        <v>313</v>
      </c>
      <c r="X265" s="201">
        <v>422</v>
      </c>
      <c r="Y265" s="201">
        <v>419</v>
      </c>
      <c r="Z265" s="201">
        <v>407.13</v>
      </c>
      <c r="AA265" s="201">
        <v>391.67</v>
      </c>
      <c r="AB265" s="201">
        <v>446.65605252</v>
      </c>
      <c r="AC265" s="201">
        <v>486.3</v>
      </c>
      <c r="AD265" s="201">
        <v>0.97017463973999996</v>
      </c>
      <c r="AE265" s="201">
        <v>1.3889106</v>
      </c>
      <c r="AF265" s="201">
        <v>0.76669354846000004</v>
      </c>
      <c r="AG265" s="201">
        <v>6.0682165499999998</v>
      </c>
      <c r="AH265" s="201">
        <v>1.756807</v>
      </c>
      <c r="AI265" s="201">
        <v>14.9583467</v>
      </c>
      <c r="AJ265" s="201">
        <v>0.35983646400000002</v>
      </c>
      <c r="AK265" s="201">
        <v>0.80093844599999997</v>
      </c>
      <c r="AL265" s="201">
        <v>0.41998011000000002</v>
      </c>
      <c r="AM265" s="201">
        <v>4258</v>
      </c>
      <c r="AN265" s="201">
        <v>3.1113802060000002</v>
      </c>
      <c r="AO265" s="201">
        <v>178.75</v>
      </c>
      <c r="AP265" s="201">
        <v>938.13</v>
      </c>
      <c r="AQ265" s="201">
        <v>792.5</v>
      </c>
      <c r="AR265" s="201">
        <v>872.5</v>
      </c>
      <c r="AS265" s="201">
        <v>977.5</v>
      </c>
      <c r="AT265" s="201">
        <v>3498.37</v>
      </c>
      <c r="AU265" s="201">
        <v>10230.89</v>
      </c>
    </row>
    <row r="266" spans="1:47">
      <c r="A266" s="288" t="s">
        <v>6</v>
      </c>
      <c r="B266" s="201">
        <v>103.41333333333</v>
      </c>
      <c r="C266" s="201">
        <v>105.78</v>
      </c>
      <c r="D266" s="201">
        <v>102.68</v>
      </c>
      <c r="E266" s="201">
        <v>101.78</v>
      </c>
      <c r="F266" s="201">
        <v>6.5305999999999997</v>
      </c>
      <c r="G266" s="201">
        <v>243.43602963927</v>
      </c>
      <c r="H266" s="201">
        <v>2.4553500000000001</v>
      </c>
      <c r="I266" s="201">
        <v>5.8541479479999996</v>
      </c>
      <c r="J266" s="201">
        <v>2.2910411040000001</v>
      </c>
      <c r="K266" s="201">
        <v>2094.61</v>
      </c>
      <c r="L266" s="201">
        <v>1443.75</v>
      </c>
      <c r="M266" s="201">
        <v>2145.25</v>
      </c>
      <c r="N266" s="201">
        <v>1682.74</v>
      </c>
      <c r="O266" s="201">
        <v>2064.31</v>
      </c>
      <c r="P266" s="201">
        <v>720.79</v>
      </c>
      <c r="Q266" s="201">
        <v>1947.51</v>
      </c>
      <c r="R266" s="201">
        <v>579.45000000000005</v>
      </c>
      <c r="S266" s="201">
        <v>2266.17</v>
      </c>
      <c r="T266" s="201">
        <v>2275.7600000000002</v>
      </c>
      <c r="U266" s="201" t="s">
        <v>313</v>
      </c>
      <c r="V266" s="201">
        <v>348.16665519999998</v>
      </c>
      <c r="W266" s="201" t="s">
        <v>313</v>
      </c>
      <c r="X266" s="201">
        <v>431</v>
      </c>
      <c r="Y266" s="201">
        <v>429</v>
      </c>
      <c r="Z266" s="201">
        <v>409.06</v>
      </c>
      <c r="AA266" s="201">
        <v>402.38</v>
      </c>
      <c r="AB266" s="201">
        <v>427.30683589799997</v>
      </c>
      <c r="AC266" s="201">
        <v>495.28</v>
      </c>
      <c r="AD266" s="201">
        <v>0.96240781171000001</v>
      </c>
      <c r="AE266" s="201">
        <v>1.45711603125</v>
      </c>
      <c r="AF266" s="201">
        <v>0.90703010040999998</v>
      </c>
      <c r="AG266" s="201">
        <v>5.9745201999999997</v>
      </c>
      <c r="AH266" s="201">
        <v>1.868574</v>
      </c>
      <c r="AI266" s="201">
        <v>14.991415999999999</v>
      </c>
      <c r="AJ266" s="201">
        <v>0.353468544</v>
      </c>
      <c r="AK266" s="201">
        <v>0.81350478000000004</v>
      </c>
      <c r="AL266" s="201">
        <v>0.43342829199999999</v>
      </c>
      <c r="AM266" s="201">
        <v>4263.3416666666699</v>
      </c>
      <c r="AN266" s="201">
        <v>3.4242157839999998</v>
      </c>
      <c r="AO266" s="201">
        <v>249.5</v>
      </c>
      <c r="AP266" s="201">
        <v>954</v>
      </c>
      <c r="AQ266" s="201">
        <v>856</v>
      </c>
      <c r="AR266" s="201">
        <v>925</v>
      </c>
      <c r="AS266" s="201">
        <v>1202</v>
      </c>
      <c r="AT266" s="201">
        <v>3244.41</v>
      </c>
      <c r="AU266" s="201">
        <v>10161.379999999999</v>
      </c>
    </row>
    <row r="267" spans="1:47">
      <c r="A267" s="288" t="s">
        <v>7</v>
      </c>
      <c r="B267" s="201">
        <v>110.09666666667</v>
      </c>
      <c r="C267" s="201">
        <v>112.37</v>
      </c>
      <c r="D267" s="201">
        <v>108.32</v>
      </c>
      <c r="E267" s="201">
        <v>109.6</v>
      </c>
      <c r="F267" s="201">
        <v>8.1372999999999998</v>
      </c>
      <c r="G267" s="201">
        <v>248.79106483488999</v>
      </c>
      <c r="H267" s="201">
        <v>2.3666200000000002</v>
      </c>
      <c r="I267" s="201">
        <v>5.7412714039999999</v>
      </c>
      <c r="J267" s="201">
        <v>2.2729632199999998</v>
      </c>
      <c r="K267" s="201">
        <v>1813.33</v>
      </c>
      <c r="L267" s="201">
        <v>1482.95</v>
      </c>
      <c r="M267" s="201">
        <v>2146.29</v>
      </c>
      <c r="N267" s="201">
        <v>1716.92</v>
      </c>
      <c r="O267" s="201">
        <v>1811.19</v>
      </c>
      <c r="P267" s="201">
        <v>724.09</v>
      </c>
      <c r="Q267" s="201">
        <v>1962.88</v>
      </c>
      <c r="R267" s="201">
        <v>529.83000000000004</v>
      </c>
      <c r="S267" s="201">
        <v>2218.4499999999998</v>
      </c>
      <c r="T267" s="201">
        <v>2079.3000000000002</v>
      </c>
      <c r="U267" s="201" t="s">
        <v>313</v>
      </c>
      <c r="V267" s="201">
        <v>344.84005919999998</v>
      </c>
      <c r="W267" s="201" t="s">
        <v>313</v>
      </c>
      <c r="X267" s="201">
        <v>464</v>
      </c>
      <c r="Y267" s="201">
        <v>458</v>
      </c>
      <c r="Z267" s="201">
        <v>442.86</v>
      </c>
      <c r="AA267" s="201">
        <v>406.45</v>
      </c>
      <c r="AB267" s="201">
        <v>438.381378036</v>
      </c>
      <c r="AC267" s="201">
        <v>522.29</v>
      </c>
      <c r="AD267" s="201">
        <v>0.96246988554000001</v>
      </c>
      <c r="AE267" s="201">
        <v>1.46056075</v>
      </c>
      <c r="AF267" s="201">
        <v>0.92178844869999998</v>
      </c>
      <c r="AG267" s="201">
        <v>5.9414509000000004</v>
      </c>
      <c r="AH267" s="201">
        <v>1.8956980000000001</v>
      </c>
      <c r="AI267" s="201">
        <v>15.12589782</v>
      </c>
      <c r="AJ267" s="201">
        <v>0.34546782399999998</v>
      </c>
      <c r="AK267" s="201">
        <v>0.80204075600000002</v>
      </c>
      <c r="AL267" s="201">
        <v>0.42879858999999998</v>
      </c>
      <c r="AM267" s="201">
        <v>4277.0666666666702</v>
      </c>
      <c r="AN267" s="201">
        <v>3.6100652499999999</v>
      </c>
      <c r="AO267" s="201">
        <v>255</v>
      </c>
      <c r="AP267" s="201">
        <v>842.5</v>
      </c>
      <c r="AQ267" s="201">
        <v>827.5</v>
      </c>
      <c r="AR267" s="201">
        <v>707.5</v>
      </c>
      <c r="AS267" s="201">
        <v>1170</v>
      </c>
      <c r="AT267" s="201">
        <v>2830.32</v>
      </c>
      <c r="AU267" s="201">
        <v>9377.15</v>
      </c>
    </row>
    <row r="268" spans="1:47">
      <c r="A268" s="288" t="s">
        <v>8</v>
      </c>
      <c r="B268" s="201">
        <v>116.8</v>
      </c>
      <c r="C268" s="201">
        <v>120.08</v>
      </c>
      <c r="D268" s="201">
        <v>115.73</v>
      </c>
      <c r="E268" s="201">
        <v>114.59</v>
      </c>
      <c r="F268" s="201">
        <v>7.6740000000000004</v>
      </c>
      <c r="G268" s="201">
        <v>263.24491050026</v>
      </c>
      <c r="H268" s="201">
        <v>2.3222900000000002</v>
      </c>
      <c r="I268" s="201">
        <v>6.0338244779999997</v>
      </c>
      <c r="J268" s="201">
        <v>2.2886160219999998</v>
      </c>
      <c r="K268" s="201">
        <v>1700.5</v>
      </c>
      <c r="L268" s="201">
        <v>1607.14</v>
      </c>
      <c r="M268" s="201">
        <v>2146.19</v>
      </c>
      <c r="N268" s="201">
        <v>1501.1</v>
      </c>
      <c r="O268" s="201">
        <v>1554.5</v>
      </c>
      <c r="P268" s="201">
        <v>737.06</v>
      </c>
      <c r="Q268" s="201">
        <v>1751.76</v>
      </c>
      <c r="R268" s="201">
        <v>528.14</v>
      </c>
      <c r="S268" s="201">
        <v>2000.53</v>
      </c>
      <c r="T268" s="201">
        <v>1884.59</v>
      </c>
      <c r="U268" s="201" t="s">
        <v>313</v>
      </c>
      <c r="V268" s="201">
        <v>335.71455680000003</v>
      </c>
      <c r="W268" s="201" t="s">
        <v>313</v>
      </c>
      <c r="X268" s="201">
        <v>444</v>
      </c>
      <c r="Y268" s="201">
        <v>441</v>
      </c>
      <c r="Z268" s="201">
        <v>427.55</v>
      </c>
      <c r="AA268" s="201">
        <v>411.92</v>
      </c>
      <c r="AB268" s="201">
        <v>379.89280413</v>
      </c>
      <c r="AC268" s="201">
        <v>459.59</v>
      </c>
      <c r="AD268" s="201">
        <v>0.95185945594999999</v>
      </c>
      <c r="AE268" s="201">
        <v>1.4385145500000001</v>
      </c>
      <c r="AF268" s="201">
        <v>0.93866268920999996</v>
      </c>
      <c r="AG268" s="201">
        <v>5.8119294750000003</v>
      </c>
      <c r="AH268" s="201">
        <v>1.8483860000000001</v>
      </c>
      <c r="AI268" s="201">
        <v>14.85693418</v>
      </c>
      <c r="AJ268" s="201">
        <v>0.34530454399999999</v>
      </c>
      <c r="AK268" s="201">
        <v>0.79300181400000003</v>
      </c>
      <c r="AL268" s="201">
        <v>0.41777549000000003</v>
      </c>
      <c r="AM268" s="201">
        <v>4206.0583333333298</v>
      </c>
      <c r="AN268" s="201">
        <v>3.3988626540000002</v>
      </c>
      <c r="AO268" s="201">
        <v>287.5</v>
      </c>
      <c r="AP268" s="201">
        <v>783.75</v>
      </c>
      <c r="AQ268" s="201">
        <v>730.13</v>
      </c>
      <c r="AR268" s="201">
        <v>690</v>
      </c>
      <c r="AS268" s="201">
        <v>1101.8800000000001</v>
      </c>
      <c r="AT268" s="201">
        <v>2563.44</v>
      </c>
      <c r="AU268" s="201">
        <v>9024.4599999999991</v>
      </c>
    </row>
    <row r="269" spans="1:47">
      <c r="A269" s="288" t="s">
        <v>9</v>
      </c>
      <c r="B269" s="201">
        <v>105.08333333333</v>
      </c>
      <c r="C269" s="201">
        <v>108.92</v>
      </c>
      <c r="D269" s="201">
        <v>106.48</v>
      </c>
      <c r="E269" s="201">
        <v>99.85</v>
      </c>
      <c r="F269" s="201">
        <v>7.2561</v>
      </c>
      <c r="G269" s="201">
        <v>344.92667574040001</v>
      </c>
      <c r="H269" s="201">
        <v>2.2391299999999998</v>
      </c>
      <c r="I269" s="201">
        <v>5.6391974979999997</v>
      </c>
      <c r="J269" s="201">
        <v>2.2121157079999998</v>
      </c>
      <c r="K269" s="201">
        <v>1540.53</v>
      </c>
      <c r="L269" s="201">
        <v>1621.09</v>
      </c>
      <c r="M269" s="201">
        <v>2146.19</v>
      </c>
      <c r="N269" s="201">
        <v>1056.6400000000001</v>
      </c>
      <c r="O269" s="201">
        <v>1301.05</v>
      </c>
      <c r="P269" s="201">
        <v>678.2</v>
      </c>
      <c r="Q269" s="201">
        <v>1533.4</v>
      </c>
      <c r="R269" s="201">
        <v>535.54</v>
      </c>
      <c r="S269" s="201">
        <v>1737.34</v>
      </c>
      <c r="T269" s="201">
        <v>1556.87</v>
      </c>
      <c r="U269" s="201" t="s">
        <v>313</v>
      </c>
      <c r="V269" s="201">
        <v>322.96719839999997</v>
      </c>
      <c r="W269" s="201" t="s">
        <v>313</v>
      </c>
      <c r="X269" s="201">
        <v>418</v>
      </c>
      <c r="Y269" s="201">
        <v>412</v>
      </c>
      <c r="Z269" s="201">
        <v>405.67</v>
      </c>
      <c r="AA269" s="201">
        <v>411.09</v>
      </c>
      <c r="AB269" s="201">
        <v>316.68634299600001</v>
      </c>
      <c r="AC269" s="201">
        <v>382.5</v>
      </c>
      <c r="AD269" s="201">
        <v>0.89148039815000002</v>
      </c>
      <c r="AE269" s="201">
        <v>1.52601040625</v>
      </c>
      <c r="AF269" s="201">
        <v>0.84180772252000002</v>
      </c>
      <c r="AG269" s="201">
        <v>5.7342166199999998</v>
      </c>
      <c r="AH269" s="201">
        <v>1.7232749999999999</v>
      </c>
      <c r="AI269" s="201">
        <v>14.04122478</v>
      </c>
      <c r="AJ269" s="201">
        <v>0.33260136000000001</v>
      </c>
      <c r="AK269" s="201">
        <v>0.767869146</v>
      </c>
      <c r="AL269" s="201">
        <v>0.40278407399999999</v>
      </c>
      <c r="AM269" s="201">
        <v>4268.3916666666701</v>
      </c>
      <c r="AN269" s="201">
        <v>2.8887135860000002</v>
      </c>
      <c r="AO269" s="201">
        <v>320</v>
      </c>
      <c r="AP269" s="201">
        <v>784</v>
      </c>
      <c r="AQ269" s="201">
        <v>736</v>
      </c>
      <c r="AR269" s="201">
        <v>601</v>
      </c>
      <c r="AS269" s="201">
        <v>1013</v>
      </c>
      <c r="AT269" s="201">
        <v>2408.42</v>
      </c>
      <c r="AU269" s="201">
        <v>7544.81</v>
      </c>
    </row>
    <row r="270" spans="1:47">
      <c r="A270" s="288" t="s">
        <v>10</v>
      </c>
      <c r="B270" s="201">
        <v>95.973333333330004</v>
      </c>
      <c r="C270" s="201">
        <v>98.6</v>
      </c>
      <c r="D270" s="201">
        <v>97.75</v>
      </c>
      <c r="E270" s="201">
        <v>91.57</v>
      </c>
      <c r="F270" s="201">
        <v>8.7853999999999992</v>
      </c>
      <c r="G270" s="201">
        <v>454.04014274839</v>
      </c>
      <c r="H270" s="201">
        <v>2.3232200000000001</v>
      </c>
      <c r="I270" s="201">
        <v>5.9178614659999997</v>
      </c>
      <c r="J270" s="201">
        <v>2.41736583</v>
      </c>
      <c r="K270" s="201">
        <v>1384.57</v>
      </c>
      <c r="L270" s="201">
        <v>1625</v>
      </c>
      <c r="M270" s="201">
        <v>2146.11</v>
      </c>
      <c r="N270" s="201">
        <v>1025.95</v>
      </c>
      <c r="O270" s="201">
        <v>1173.04</v>
      </c>
      <c r="P270" s="201">
        <v>671.11</v>
      </c>
      <c r="Q270" s="201">
        <v>1598.78</v>
      </c>
      <c r="R270" s="201">
        <v>535.41999999999996</v>
      </c>
      <c r="S270" s="201">
        <v>1638.85</v>
      </c>
      <c r="T270" s="201">
        <v>1496.22</v>
      </c>
      <c r="U270" s="201" t="s">
        <v>313</v>
      </c>
      <c r="V270" s="201">
        <v>289.8350896</v>
      </c>
      <c r="W270" s="201" t="s">
        <v>313</v>
      </c>
      <c r="X270" s="201">
        <v>431</v>
      </c>
      <c r="Y270" s="201">
        <v>421</v>
      </c>
      <c r="Z270" s="201">
        <v>412.55</v>
      </c>
      <c r="AA270" s="201">
        <v>395.8</v>
      </c>
      <c r="AB270" s="201" t="s">
        <v>313</v>
      </c>
      <c r="AC270" s="201">
        <v>382.86</v>
      </c>
      <c r="AD270" s="201">
        <v>0.87670059121999999</v>
      </c>
      <c r="AE270" s="201">
        <v>1.67068859375</v>
      </c>
      <c r="AF270" s="201">
        <v>0.93284398558000003</v>
      </c>
      <c r="AG270" s="201">
        <v>5.5666655</v>
      </c>
      <c r="AH270" s="201">
        <v>1.8351360000000001</v>
      </c>
      <c r="AI270" s="201">
        <v>12.628063360000001</v>
      </c>
      <c r="AJ270" s="201">
        <v>0.33077262400000002</v>
      </c>
      <c r="AK270" s="201">
        <v>0.782199176</v>
      </c>
      <c r="AL270" s="201">
        <v>0.39352467000000002</v>
      </c>
      <c r="AM270" s="201">
        <v>4356.6000000000004</v>
      </c>
      <c r="AN270" s="201">
        <v>2.742988204</v>
      </c>
      <c r="AO270" s="201">
        <v>320</v>
      </c>
      <c r="AP270" s="201">
        <v>749.38</v>
      </c>
      <c r="AQ270" s="201">
        <v>703.75</v>
      </c>
      <c r="AR270" s="201">
        <v>591.25</v>
      </c>
      <c r="AS270" s="201">
        <v>888.75</v>
      </c>
      <c r="AT270" s="201">
        <v>2430.79</v>
      </c>
      <c r="AU270" s="201">
        <v>7981.84</v>
      </c>
    </row>
    <row r="271" spans="1:47">
      <c r="A271" s="288" t="s">
        <v>11</v>
      </c>
      <c r="B271" s="201">
        <v>88.22</v>
      </c>
      <c r="C271" s="201">
        <v>90.16</v>
      </c>
      <c r="D271" s="201">
        <v>90.63</v>
      </c>
      <c r="E271" s="201">
        <v>83.87</v>
      </c>
      <c r="F271" s="201">
        <v>7.7629000000000001</v>
      </c>
      <c r="G271" s="201">
        <v>391.31952732705003</v>
      </c>
      <c r="H271" s="201">
        <v>2.2984599999999999</v>
      </c>
      <c r="I271" s="201">
        <v>5.8971380379999996</v>
      </c>
      <c r="J271" s="201">
        <v>2.4550648320000001</v>
      </c>
      <c r="K271" s="201">
        <v>1248.0999999999999</v>
      </c>
      <c r="L271" s="201">
        <v>1641.67</v>
      </c>
      <c r="M271" s="201">
        <v>2146.13</v>
      </c>
      <c r="N271" s="201">
        <v>909.32</v>
      </c>
      <c r="O271" s="201">
        <v>1249.29</v>
      </c>
      <c r="P271" s="201">
        <v>664.45</v>
      </c>
      <c r="Q271" s="201">
        <v>1548.32</v>
      </c>
      <c r="R271" s="201">
        <v>536.54999999999995</v>
      </c>
      <c r="S271" s="201">
        <v>1402.02</v>
      </c>
      <c r="T271" s="201">
        <v>1304.75</v>
      </c>
      <c r="U271" s="201" t="s">
        <v>313</v>
      </c>
      <c r="V271" s="201">
        <v>312.6567192</v>
      </c>
      <c r="W271" s="201" t="s">
        <v>313</v>
      </c>
      <c r="X271" s="201">
        <v>439</v>
      </c>
      <c r="Y271" s="201">
        <v>428</v>
      </c>
      <c r="Z271" s="201">
        <v>423.36</v>
      </c>
      <c r="AA271" s="201">
        <v>392.24</v>
      </c>
      <c r="AB271" s="201" t="s">
        <v>313</v>
      </c>
      <c r="AC271" s="201">
        <v>419.14</v>
      </c>
      <c r="AD271" s="201">
        <v>0.90106243450000001</v>
      </c>
      <c r="AE271" s="201">
        <v>1.6190178125000001</v>
      </c>
      <c r="AF271" s="201">
        <v>0.93416641822000002</v>
      </c>
      <c r="AG271" s="201">
        <v>5.4432067799999997</v>
      </c>
      <c r="AH271" s="201">
        <v>1.74956</v>
      </c>
      <c r="AI271" s="201">
        <v>11.51252564</v>
      </c>
      <c r="AJ271" s="201">
        <v>0.32362096000000001</v>
      </c>
      <c r="AK271" s="201">
        <v>0.77095561400000001</v>
      </c>
      <c r="AL271" s="201">
        <v>0.39065866399999999</v>
      </c>
      <c r="AM271" s="201">
        <v>4146.9576487579598</v>
      </c>
      <c r="AN271" s="201">
        <v>2.5926331199999999</v>
      </c>
      <c r="AO271" s="201">
        <v>320</v>
      </c>
      <c r="AP271" s="201">
        <v>752</v>
      </c>
      <c r="AQ271" s="201">
        <v>708</v>
      </c>
      <c r="AR271" s="201">
        <v>678</v>
      </c>
      <c r="AS271" s="201">
        <v>731</v>
      </c>
      <c r="AT271" s="201">
        <v>2224.7600000000002</v>
      </c>
      <c r="AU271" s="201">
        <v>7746.01</v>
      </c>
    </row>
    <row r="272" spans="1:47">
      <c r="A272" s="288" t="s">
        <v>12</v>
      </c>
      <c r="B272" s="201">
        <v>90.326666666669993</v>
      </c>
      <c r="C272" s="201">
        <v>93.13</v>
      </c>
      <c r="D272" s="201">
        <v>90.59</v>
      </c>
      <c r="E272" s="201">
        <v>87.26</v>
      </c>
      <c r="F272" s="201">
        <v>5.6195000000000004</v>
      </c>
      <c r="G272" s="201">
        <v>268.54710666569002</v>
      </c>
      <c r="H272" s="201">
        <v>2.3090199999999999</v>
      </c>
      <c r="I272" s="201">
        <v>5.2928516959999996</v>
      </c>
      <c r="J272" s="201">
        <v>2.2709790619999999</v>
      </c>
      <c r="K272" s="201">
        <v>1108.0999999999999</v>
      </c>
      <c r="L272" s="201">
        <v>1619.05</v>
      </c>
      <c r="M272" s="201">
        <v>2146.1</v>
      </c>
      <c r="N272" s="201">
        <v>888.99</v>
      </c>
      <c r="O272" s="201">
        <v>1038.81</v>
      </c>
      <c r="P272" s="201">
        <v>626</v>
      </c>
      <c r="Q272" s="201">
        <v>1575.9</v>
      </c>
      <c r="R272" s="201">
        <v>542.15</v>
      </c>
      <c r="S272" s="201">
        <v>1408.01</v>
      </c>
      <c r="T272" s="201">
        <v>1359.15</v>
      </c>
      <c r="U272" s="201" t="s">
        <v>313</v>
      </c>
      <c r="V272" s="201">
        <v>343.55666239999999</v>
      </c>
      <c r="W272" s="201" t="s">
        <v>313</v>
      </c>
      <c r="X272" s="201">
        <v>431</v>
      </c>
      <c r="Y272" s="201">
        <v>420</v>
      </c>
      <c r="Z272" s="201">
        <v>411.62</v>
      </c>
      <c r="AA272" s="201">
        <v>409.08</v>
      </c>
      <c r="AB272" s="201" t="s">
        <v>313</v>
      </c>
      <c r="AC272" s="201">
        <v>437.95</v>
      </c>
      <c r="AD272" s="201">
        <v>0.95008123013000001</v>
      </c>
      <c r="AE272" s="201">
        <v>1.5707917499999999</v>
      </c>
      <c r="AF272" s="201">
        <v>1.0687900611700001</v>
      </c>
      <c r="AG272" s="201">
        <v>5.3324246249999998</v>
      </c>
      <c r="AH272" s="201">
        <v>1.62792</v>
      </c>
      <c r="AI272" s="201">
        <v>11.464024</v>
      </c>
      <c r="AJ272" s="201">
        <v>0.320943168</v>
      </c>
      <c r="AK272" s="201">
        <v>0.762578058</v>
      </c>
      <c r="AL272" s="201">
        <v>0.38691080999999999</v>
      </c>
      <c r="AM272" s="201">
        <v>4325.1583333333301</v>
      </c>
      <c r="AN272" s="201">
        <v>2.1975652160000001</v>
      </c>
      <c r="AO272" s="201">
        <v>317.5</v>
      </c>
      <c r="AP272" s="201">
        <v>725</v>
      </c>
      <c r="AQ272" s="201">
        <v>675</v>
      </c>
      <c r="AR272" s="201">
        <v>636.25</v>
      </c>
      <c r="AS272" s="201">
        <v>622.5</v>
      </c>
      <c r="AT272" s="201">
        <v>2255.54</v>
      </c>
      <c r="AU272" s="201">
        <v>7651.08</v>
      </c>
    </row>
    <row r="273" spans="1:47">
      <c r="A273" s="288" t="s">
        <v>13</v>
      </c>
      <c r="B273" s="201">
        <v>87.376666666670005</v>
      </c>
      <c r="C273" s="201">
        <v>91.07</v>
      </c>
      <c r="D273" s="201">
        <v>86.28</v>
      </c>
      <c r="E273" s="201">
        <v>84.78</v>
      </c>
      <c r="F273" s="201">
        <v>5.2769000000000004</v>
      </c>
      <c r="G273" s="201">
        <v>247.17644268952</v>
      </c>
      <c r="H273" s="201">
        <v>2.4120400000000002</v>
      </c>
      <c r="I273" s="201">
        <v>4.7154617180000002</v>
      </c>
      <c r="J273" s="201">
        <v>2.0412576580000001</v>
      </c>
      <c r="K273" s="201">
        <v>1173.25</v>
      </c>
      <c r="L273" s="201">
        <v>1639.29</v>
      </c>
      <c r="M273" s="201">
        <v>2146.14</v>
      </c>
      <c r="N273" s="201">
        <v>945.74</v>
      </c>
      <c r="O273" s="201">
        <v>1061.58</v>
      </c>
      <c r="P273" s="201">
        <v>648.91999999999996</v>
      </c>
      <c r="Q273" s="201">
        <v>1651.6</v>
      </c>
      <c r="R273" s="201">
        <v>518.67999999999995</v>
      </c>
      <c r="S273" s="201">
        <v>1377.58</v>
      </c>
      <c r="T273" s="201">
        <v>1347.28</v>
      </c>
      <c r="U273" s="201" t="s">
        <v>313</v>
      </c>
      <c r="V273" s="201">
        <v>320.92006240000001</v>
      </c>
      <c r="W273" s="201" t="s">
        <v>313</v>
      </c>
      <c r="X273" s="201">
        <v>440</v>
      </c>
      <c r="Y273" s="201">
        <v>430</v>
      </c>
      <c r="Z273" s="201">
        <v>417.5</v>
      </c>
      <c r="AA273" s="201">
        <v>421.21</v>
      </c>
      <c r="AB273" s="201" t="s">
        <v>313</v>
      </c>
      <c r="AC273" s="201">
        <v>422.68</v>
      </c>
      <c r="AD273" s="201">
        <v>0.96972615114000005</v>
      </c>
      <c r="AE273" s="201">
        <v>1.653465</v>
      </c>
      <c r="AF273" s="201">
        <v>1.0889968319400001</v>
      </c>
      <c r="AG273" s="201">
        <v>5.0733817749999996</v>
      </c>
      <c r="AH273" s="201">
        <v>1.539822</v>
      </c>
      <c r="AI273" s="201">
        <v>11.464024</v>
      </c>
      <c r="AJ273" s="201">
        <v>0.33299323199999997</v>
      </c>
      <c r="AK273" s="201">
        <v>0.79234042800000004</v>
      </c>
      <c r="AL273" s="201">
        <v>0.40741377600000001</v>
      </c>
      <c r="AM273" s="201">
        <v>4333.3249999999998</v>
      </c>
      <c r="AN273" s="201">
        <v>2.2255638900000001</v>
      </c>
      <c r="AO273" s="201">
        <v>300</v>
      </c>
      <c r="AP273" s="201">
        <v>665.63</v>
      </c>
      <c r="AQ273" s="201">
        <v>625</v>
      </c>
      <c r="AR273" s="201">
        <v>588.75</v>
      </c>
      <c r="AS273" s="201">
        <v>563.13</v>
      </c>
      <c r="AT273" s="201">
        <v>2350.7199999999998</v>
      </c>
      <c r="AU273" s="201">
        <v>8049.86</v>
      </c>
    </row>
    <row r="274" spans="1:47">
      <c r="A274" s="288" t="s">
        <v>14</v>
      </c>
      <c r="B274" s="201">
        <v>78.066666666670002</v>
      </c>
      <c r="C274" s="201">
        <v>80.900000000000006</v>
      </c>
      <c r="D274" s="201">
        <v>76.78</v>
      </c>
      <c r="E274" s="201">
        <v>76.52</v>
      </c>
      <c r="F274" s="201">
        <v>5.5030000000000001</v>
      </c>
      <c r="G274" s="201">
        <v>252.11901984184999</v>
      </c>
      <c r="H274" s="201">
        <v>2.5123099999999998</v>
      </c>
      <c r="I274" s="201">
        <v>4.6294815380000003</v>
      </c>
      <c r="J274" s="201">
        <v>2.0454464360000002</v>
      </c>
      <c r="K274" s="201">
        <v>1158.4100000000001</v>
      </c>
      <c r="L274" s="201">
        <v>1670.45</v>
      </c>
      <c r="M274" s="201">
        <v>2146.1</v>
      </c>
      <c r="N274" s="201">
        <v>940.39</v>
      </c>
      <c r="O274" s="201">
        <v>1067.05</v>
      </c>
      <c r="P274" s="201">
        <v>645.66999999999996</v>
      </c>
      <c r="Q274" s="201">
        <v>1409.24</v>
      </c>
      <c r="R274" s="201">
        <v>571.15</v>
      </c>
      <c r="S274" s="201">
        <v>1259.95</v>
      </c>
      <c r="T274" s="201">
        <v>1233.8</v>
      </c>
      <c r="U274" s="201" t="s">
        <v>313</v>
      </c>
      <c r="V274" s="201">
        <v>302.24781999999999</v>
      </c>
      <c r="W274" s="201" t="s">
        <v>313</v>
      </c>
      <c r="X274" s="201">
        <v>467</v>
      </c>
      <c r="Y274" s="201">
        <v>457</v>
      </c>
      <c r="Z274" s="201">
        <v>446.39</v>
      </c>
      <c r="AA274" s="201">
        <v>432.35</v>
      </c>
      <c r="AB274" s="201" t="s">
        <v>313</v>
      </c>
      <c r="AC274" s="201">
        <v>386.33</v>
      </c>
      <c r="AD274" s="201">
        <v>1.01413735297</v>
      </c>
      <c r="AE274" s="201">
        <v>1.6810227499999999</v>
      </c>
      <c r="AF274" s="201">
        <v>1.10465443442</v>
      </c>
      <c r="AG274" s="201">
        <v>4.7134775600000003</v>
      </c>
      <c r="AH274" s="201">
        <v>1.5468599999999999</v>
      </c>
      <c r="AI274" s="201">
        <v>11.464024</v>
      </c>
      <c r="AJ274" s="201">
        <v>0.34572907200000003</v>
      </c>
      <c r="AK274" s="201">
        <v>0.80512722400000003</v>
      </c>
      <c r="AL274" s="201">
        <v>0.41733456600000002</v>
      </c>
      <c r="AM274" s="201">
        <v>4399.3249999999998</v>
      </c>
      <c r="AN274" s="201">
        <v>2.2238001939999998</v>
      </c>
      <c r="AO274" s="201">
        <v>300</v>
      </c>
      <c r="AP274" s="201">
        <v>625</v>
      </c>
      <c r="AQ274" s="201">
        <v>584.38</v>
      </c>
      <c r="AR274" s="201">
        <v>519.38</v>
      </c>
      <c r="AS274" s="201">
        <v>513.75</v>
      </c>
      <c r="AT274" s="201">
        <v>2401.69</v>
      </c>
      <c r="AU274" s="201">
        <v>8375.4</v>
      </c>
    </row>
    <row r="275" spans="1:47" s="291" customFormat="1" ht="15">
      <c r="A275" s="198" t="s">
        <v>1</v>
      </c>
      <c r="B275" s="241">
        <v>97.101388888889161</v>
      </c>
      <c r="C275" s="241">
        <v>99.82416666666667</v>
      </c>
      <c r="D275" s="241">
        <v>97.049166666666679</v>
      </c>
      <c r="E275" s="241">
        <v>94.430833333333339</v>
      </c>
      <c r="F275" s="241">
        <v>6.368316666666666</v>
      </c>
      <c r="G275" s="241">
        <v>281.5929704043125</v>
      </c>
      <c r="H275" s="241">
        <v>2.3929791666666667</v>
      </c>
      <c r="I275" s="241">
        <v>5.6304341335000005</v>
      </c>
      <c r="J275" s="241">
        <v>2.285107001833333</v>
      </c>
      <c r="K275" s="241">
        <v>1634.6375</v>
      </c>
      <c r="L275" s="241">
        <v>1568.1241666666667</v>
      </c>
      <c r="M275" s="241">
        <v>2202.5524999999998</v>
      </c>
      <c r="N275" s="241">
        <v>1275.9916666666666</v>
      </c>
      <c r="O275" s="241">
        <v>1616.7266666666665</v>
      </c>
      <c r="P275" s="241">
        <v>675.39499999999987</v>
      </c>
      <c r="Q275" s="241">
        <v>1666.7974999999999</v>
      </c>
      <c r="R275" s="241">
        <v>547.85749999999996</v>
      </c>
      <c r="S275" s="241">
        <v>1756.7299999999998</v>
      </c>
      <c r="T275" s="241">
        <v>1650.8083333333332</v>
      </c>
      <c r="U275" s="241" t="s">
        <v>267</v>
      </c>
      <c r="V275" s="241">
        <v>318.80665693333333</v>
      </c>
      <c r="W275" s="241" t="s">
        <v>267</v>
      </c>
      <c r="X275" s="241">
        <v>436.75</v>
      </c>
      <c r="Y275" s="241">
        <v>429.66666666666669</v>
      </c>
      <c r="Z275" s="241">
        <v>417.73250000000007</v>
      </c>
      <c r="AA275" s="241">
        <v>404.52833333333336</v>
      </c>
      <c r="AB275" s="241">
        <v>381.91843016614285</v>
      </c>
      <c r="AC275" s="241">
        <v>429.97166666666664</v>
      </c>
      <c r="AD275" s="241">
        <v>0.94367792339749978</v>
      </c>
      <c r="AE275" s="241">
        <v>1.4889222677083334</v>
      </c>
      <c r="AF275" s="241">
        <v>0.91928464289583334</v>
      </c>
      <c r="AG275" s="241">
        <v>5.6216432112499994</v>
      </c>
      <c r="AH275" s="241">
        <v>1.6831575000000001</v>
      </c>
      <c r="AI275" s="241">
        <v>13.5143206</v>
      </c>
      <c r="AJ275" s="241">
        <v>0.34423505999999998</v>
      </c>
      <c r="AK275" s="241">
        <v>0.78772909783333322</v>
      </c>
      <c r="AL275" s="241">
        <v>0.40783632816666665</v>
      </c>
      <c r="AM275" s="241">
        <v>4269.8645262853861</v>
      </c>
      <c r="AN275" s="241">
        <v>2.8648669463333332</v>
      </c>
      <c r="AO275" s="241">
        <v>266.15666666666669</v>
      </c>
      <c r="AP275" s="241">
        <v>772.1583333333333</v>
      </c>
      <c r="AQ275" s="241">
        <v>716.05333333333328</v>
      </c>
      <c r="AR275" s="241">
        <v>700.01499999999999</v>
      </c>
      <c r="AS275" s="241">
        <v>863.41833333333318</v>
      </c>
      <c r="AT275" s="241">
        <v>2705.0191666666665</v>
      </c>
      <c r="AU275" s="241">
        <v>8822.3658333333315</v>
      </c>
    </row>
    <row r="276" spans="1:47" s="291" customFormat="1" ht="15">
      <c r="A276" s="198" t="s">
        <v>172</v>
      </c>
      <c r="B276" s="241">
        <v>40.582898324581087</v>
      </c>
      <c r="C276" s="241">
        <v>41.708465433208744</v>
      </c>
      <c r="D276" s="241">
        <v>41.049584574764467</v>
      </c>
      <c r="E276" s="241">
        <v>38.943793221835321</v>
      </c>
      <c r="F276" s="241">
        <v>65.350337214309036</v>
      </c>
      <c r="G276" s="241">
        <v>115.49193830626984</v>
      </c>
      <c r="H276" s="241">
        <v>-1.3827348911581105</v>
      </c>
      <c r="I276" s="241">
        <v>24.789690133963127</v>
      </c>
      <c r="J276" s="241">
        <v>15.340603497839322</v>
      </c>
      <c r="K276" s="241">
        <v>-0.1024151853556865</v>
      </c>
      <c r="L276" s="241">
        <v>0.8417281068700655</v>
      </c>
      <c r="M276" s="241">
        <v>6.1423154124629287</v>
      </c>
      <c r="N276" s="241">
        <v>12.862020266943407</v>
      </c>
      <c r="O276" s="241">
        <v>5.4560041919923696</v>
      </c>
      <c r="P276" s="241">
        <v>15.784150277076536</v>
      </c>
      <c r="Q276" s="241">
        <v>20.311063899408577</v>
      </c>
      <c r="R276" s="241">
        <v>13.905608399604951</v>
      </c>
      <c r="S276" s="241">
        <v>16.933631462666042</v>
      </c>
      <c r="T276" s="241">
        <v>17.571071576667087</v>
      </c>
      <c r="U276" s="241" t="s">
        <v>267</v>
      </c>
      <c r="V276" s="241">
        <v>22.832580840827422</v>
      </c>
      <c r="W276" s="241" t="s">
        <v>267</v>
      </c>
      <c r="X276" s="241">
        <v>-4.6917621385706543</v>
      </c>
      <c r="Y276" s="241">
        <v>-4.1457519985127256</v>
      </c>
      <c r="Z276" s="241">
        <v>-4.2095668325345503</v>
      </c>
      <c r="AA276" s="241">
        <v>-9.3691947791052161</v>
      </c>
      <c r="AB276" s="241">
        <v>35.595259413971434</v>
      </c>
      <c r="AC276" s="241">
        <v>36.396103466962714</v>
      </c>
      <c r="AD276" s="241">
        <v>2.1560538473743174</v>
      </c>
      <c r="AE276" s="241">
        <v>23.512882792779944</v>
      </c>
      <c r="AF276" s="241">
        <v>40.867180481321562</v>
      </c>
      <c r="AG276" s="241">
        <v>4.3771244761828143</v>
      </c>
      <c r="AH276" s="241">
        <v>-25.390634844711979</v>
      </c>
      <c r="AI276" s="241">
        <v>-1.348478854161772</v>
      </c>
      <c r="AJ276" s="241">
        <v>-10.929677432983375</v>
      </c>
      <c r="AK276" s="241">
        <v>6.4288728373917081</v>
      </c>
      <c r="AL276" s="241">
        <v>4.6925108470099897</v>
      </c>
      <c r="AM276" s="241">
        <v>2.7709210300440601</v>
      </c>
      <c r="AN276" s="241">
        <v>28.428594959644183</v>
      </c>
      <c r="AO276" s="241">
        <v>116.01287739422146</v>
      </c>
      <c r="AP276" s="241">
        <v>28.486762919534758</v>
      </c>
      <c r="AQ276" s="241">
        <v>33.048633767247246</v>
      </c>
      <c r="AR276" s="241">
        <v>44.868405395197719</v>
      </c>
      <c r="AS276" s="241">
        <v>59.063338128303556</v>
      </c>
      <c r="AT276" s="241">
        <v>9.3888019820598245</v>
      </c>
      <c r="AU276" s="241">
        <v>-5.3094505950560089</v>
      </c>
    </row>
    <row r="277" spans="1:47"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  <c r="AB277" s="201"/>
      <c r="AC277" s="201"/>
      <c r="AD277" s="201"/>
      <c r="AE277" s="201"/>
      <c r="AF277" s="201"/>
      <c r="AG277" s="201"/>
      <c r="AH277" s="201"/>
      <c r="AI277" s="201"/>
      <c r="AJ277" s="201"/>
      <c r="AK277" s="201"/>
      <c r="AL277" s="201"/>
      <c r="AM277" s="201"/>
      <c r="AN277" s="201"/>
      <c r="AO277" s="201"/>
      <c r="AP277" s="201"/>
      <c r="AQ277" s="201"/>
      <c r="AR277" s="201"/>
      <c r="AS277" s="201"/>
      <c r="AT277" s="201"/>
      <c r="AU277" s="201"/>
    </row>
    <row r="278" spans="1:47">
      <c r="A278" s="292">
        <v>2023</v>
      </c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  <c r="AB278" s="201"/>
      <c r="AC278" s="201"/>
      <c r="AD278" s="201"/>
      <c r="AE278" s="201"/>
      <c r="AF278" s="201"/>
      <c r="AG278" s="201"/>
      <c r="AH278" s="201"/>
      <c r="AI278" s="201"/>
      <c r="AJ278" s="201"/>
      <c r="AK278" s="201"/>
      <c r="AL278" s="201"/>
      <c r="AM278" s="201"/>
      <c r="AN278" s="201"/>
      <c r="AO278" s="201"/>
      <c r="AP278" s="201"/>
      <c r="AQ278" s="201"/>
      <c r="AR278" s="201"/>
      <c r="AS278" s="201"/>
      <c r="AT278" s="201"/>
      <c r="AU278" s="201"/>
    </row>
    <row r="279" spans="1:47">
      <c r="A279" s="288" t="s">
        <v>3</v>
      </c>
      <c r="B279" s="201">
        <v>80.41</v>
      </c>
      <c r="C279" s="201">
        <v>83.09</v>
      </c>
      <c r="D279" s="201">
        <v>80.03</v>
      </c>
      <c r="E279" s="201">
        <v>78.11</v>
      </c>
      <c r="F279" s="201">
        <v>3.2728000000000002</v>
      </c>
      <c r="G279" s="201">
        <v>149.37872119292999</v>
      </c>
      <c r="H279" s="201">
        <v>2.6246800000000001</v>
      </c>
      <c r="I279" s="201">
        <v>4.5582723119999997</v>
      </c>
      <c r="J279" s="201">
        <v>2.1159942759999999</v>
      </c>
      <c r="K279" s="201">
        <v>1078.5</v>
      </c>
      <c r="L279" s="201">
        <v>1681.25</v>
      </c>
      <c r="M279" s="201">
        <v>1970.67</v>
      </c>
      <c r="N279" s="201">
        <v>941.97</v>
      </c>
      <c r="O279" s="201">
        <v>1060</v>
      </c>
      <c r="P279" s="201">
        <v>626.59</v>
      </c>
      <c r="Q279" s="201">
        <v>1351.77</v>
      </c>
      <c r="R279" s="201">
        <v>605.12</v>
      </c>
      <c r="S279" s="201">
        <v>1223.58</v>
      </c>
      <c r="T279" s="201">
        <v>1218.3399999999999</v>
      </c>
      <c r="U279" s="201" t="s">
        <v>313</v>
      </c>
      <c r="V279" s="201">
        <v>302.77535119999999</v>
      </c>
      <c r="W279" s="201" t="s">
        <v>313</v>
      </c>
      <c r="X279" s="201">
        <v>517</v>
      </c>
      <c r="Y279" s="201">
        <v>507</v>
      </c>
      <c r="Z279" s="201">
        <v>484.64</v>
      </c>
      <c r="AA279" s="201">
        <v>440.66</v>
      </c>
      <c r="AB279" s="201" t="s">
        <v>313</v>
      </c>
      <c r="AC279" s="201">
        <v>380.36</v>
      </c>
      <c r="AD279" s="201">
        <v>1.0721073191599999</v>
      </c>
      <c r="AE279" s="201">
        <v>1.6810227499999999</v>
      </c>
      <c r="AF279" s="201">
        <v>1.0913243133899999</v>
      </c>
      <c r="AG279" s="201">
        <v>4.6517482000000001</v>
      </c>
      <c r="AH279" s="201">
        <v>1.5446519999999999</v>
      </c>
      <c r="AI279" s="201">
        <v>11.464024</v>
      </c>
      <c r="AJ279" s="201">
        <v>0.35186840000000003</v>
      </c>
      <c r="AK279" s="201">
        <v>0.80468629999999997</v>
      </c>
      <c r="AL279" s="201">
        <v>0.41601179399999999</v>
      </c>
      <c r="AM279" s="201">
        <v>4475.6166666666704</v>
      </c>
      <c r="AN279" s="201">
        <v>2.211013398</v>
      </c>
      <c r="AO279" s="201">
        <v>300</v>
      </c>
      <c r="AP279" s="201">
        <v>631</v>
      </c>
      <c r="AQ279" s="201">
        <v>569.38</v>
      </c>
      <c r="AR279" s="201">
        <v>443.75</v>
      </c>
      <c r="AS279" s="201">
        <v>508.75</v>
      </c>
      <c r="AT279" s="201">
        <v>2501.8200000000002</v>
      </c>
      <c r="AU279" s="201">
        <v>9037.9500000000007</v>
      </c>
    </row>
    <row r="280" spans="1:47">
      <c r="A280" s="288" t="s">
        <v>4</v>
      </c>
      <c r="B280" s="201">
        <v>80.253333333330005</v>
      </c>
      <c r="C280" s="201">
        <v>82.71</v>
      </c>
      <c r="D280" s="201">
        <v>81.209999999999994</v>
      </c>
      <c r="E280" s="201">
        <v>76.84</v>
      </c>
      <c r="F280" s="201">
        <v>2.3835999999999999</v>
      </c>
      <c r="G280" s="201">
        <v>120.03831493101001</v>
      </c>
      <c r="H280" s="201">
        <v>2.6526999999999998</v>
      </c>
      <c r="I280" s="201">
        <v>5.064673526</v>
      </c>
      <c r="J280" s="201">
        <v>2.2912615660000002</v>
      </c>
      <c r="K280" s="201">
        <v>1086.67</v>
      </c>
      <c r="L280" s="201">
        <v>1750</v>
      </c>
      <c r="M280" s="201">
        <v>2042.62</v>
      </c>
      <c r="N280" s="201">
        <v>949.98</v>
      </c>
      <c r="O280" s="201">
        <v>1036.67</v>
      </c>
      <c r="P280" s="201">
        <v>651.12</v>
      </c>
      <c r="Q280" s="201">
        <v>1243.01</v>
      </c>
      <c r="R280" s="201">
        <v>605.27</v>
      </c>
      <c r="S280" s="201">
        <v>1188.57</v>
      </c>
      <c r="T280" s="201">
        <v>1158.5999999999999</v>
      </c>
      <c r="U280" s="201" t="s">
        <v>313</v>
      </c>
      <c r="V280" s="201">
        <v>298.1771688</v>
      </c>
      <c r="W280" s="201" t="s">
        <v>313</v>
      </c>
      <c r="X280" s="201">
        <v>492</v>
      </c>
      <c r="Y280" s="201">
        <v>482</v>
      </c>
      <c r="Z280" s="201">
        <v>468.95</v>
      </c>
      <c r="AA280" s="201">
        <v>448.28</v>
      </c>
      <c r="AB280" s="201">
        <v>311.88027096000002</v>
      </c>
      <c r="AC280" s="201">
        <v>394.75</v>
      </c>
      <c r="AD280" s="201">
        <v>1.0981034128</v>
      </c>
      <c r="AE280" s="201">
        <v>1.6603544374999999</v>
      </c>
      <c r="AF280" s="201">
        <v>1.30137951422</v>
      </c>
      <c r="AG280" s="201">
        <v>4.6517482000000001</v>
      </c>
      <c r="AH280" s="201">
        <v>1.532076</v>
      </c>
      <c r="AI280" s="201">
        <v>11.064987779999999</v>
      </c>
      <c r="AJ280" s="201">
        <v>0.35000700800000001</v>
      </c>
      <c r="AK280" s="201">
        <v>0.81306385599999997</v>
      </c>
      <c r="AL280" s="201">
        <v>0.44599462600000001</v>
      </c>
      <c r="AM280" s="201">
        <v>4492.3416666666699</v>
      </c>
      <c r="AN280" s="201">
        <v>2.1909513559999998</v>
      </c>
      <c r="AO280" s="201">
        <v>322.5</v>
      </c>
      <c r="AP280" s="201">
        <v>612.5</v>
      </c>
      <c r="AQ280" s="201">
        <v>547.5</v>
      </c>
      <c r="AR280" s="201">
        <v>357.5</v>
      </c>
      <c r="AS280" s="201">
        <v>496.88</v>
      </c>
      <c r="AT280" s="201">
        <v>2416.1799999999998</v>
      </c>
      <c r="AU280" s="201">
        <v>8936.59</v>
      </c>
    </row>
    <row r="281" spans="1:47">
      <c r="A281" s="288" t="s">
        <v>5</v>
      </c>
      <c r="B281" s="201">
        <v>76.473333333330004</v>
      </c>
      <c r="C281" s="201">
        <v>78.53</v>
      </c>
      <c r="D281" s="201">
        <v>77.52</v>
      </c>
      <c r="E281" s="201">
        <v>73.37</v>
      </c>
      <c r="F281" s="201">
        <v>2.3048999999999999</v>
      </c>
      <c r="G281" s="201">
        <v>104.51384047273</v>
      </c>
      <c r="H281" s="201">
        <v>2.7476400000000001</v>
      </c>
      <c r="I281" s="201">
        <v>4.9021930319999996</v>
      </c>
      <c r="J281" s="201">
        <v>2.347699838</v>
      </c>
      <c r="K281" s="201">
        <v>1114.75</v>
      </c>
      <c r="L281" s="201">
        <v>1750</v>
      </c>
      <c r="M281" s="201">
        <v>2100.41</v>
      </c>
      <c r="N281" s="201">
        <v>972.06</v>
      </c>
      <c r="O281" s="201">
        <v>1051.75</v>
      </c>
      <c r="P281" s="201">
        <v>628.38</v>
      </c>
      <c r="Q281" s="201">
        <v>1113.19</v>
      </c>
      <c r="R281" s="201">
        <v>580.70000000000005</v>
      </c>
      <c r="S281" s="201">
        <v>1053.74</v>
      </c>
      <c r="T281" s="201">
        <v>1075.05</v>
      </c>
      <c r="U281" s="201" t="s">
        <v>313</v>
      </c>
      <c r="V281" s="201">
        <v>282.48902079999999</v>
      </c>
      <c r="W281" s="201" t="s">
        <v>313</v>
      </c>
      <c r="X281" s="201">
        <v>476</v>
      </c>
      <c r="Y281" s="201">
        <v>468</v>
      </c>
      <c r="Z281" s="201">
        <v>460.91</v>
      </c>
      <c r="AA281" s="201">
        <v>444.64</v>
      </c>
      <c r="AB281" s="201">
        <v>284.68260642600001</v>
      </c>
      <c r="AC281" s="201">
        <v>369.86</v>
      </c>
      <c r="AD281" s="201">
        <v>1.1059515844300001</v>
      </c>
      <c r="AE281" s="201">
        <v>1.6017942187500001</v>
      </c>
      <c r="AF281" s="201">
        <v>1.2895834150600001</v>
      </c>
      <c r="AG281" s="201">
        <v>4.8363851249999996</v>
      </c>
      <c r="AH281" s="201">
        <v>1.522224</v>
      </c>
      <c r="AI281" s="201">
        <v>10.998849180000001</v>
      </c>
      <c r="AJ281" s="201">
        <v>0.34958247999999997</v>
      </c>
      <c r="AK281" s="201">
        <v>0.83511005599999999</v>
      </c>
      <c r="AL281" s="201">
        <v>0.452388024</v>
      </c>
      <c r="AM281" s="201">
        <v>4525.6583333333301</v>
      </c>
      <c r="AN281" s="201">
        <v>2.1029870179999999</v>
      </c>
      <c r="AO281" s="201">
        <v>345</v>
      </c>
      <c r="AP281" s="201">
        <v>606</v>
      </c>
      <c r="AQ281" s="201">
        <v>537.5</v>
      </c>
      <c r="AR281" s="201">
        <v>313.5</v>
      </c>
      <c r="AS281" s="201">
        <v>453</v>
      </c>
      <c r="AT281" s="201">
        <v>2296.42</v>
      </c>
      <c r="AU281" s="201">
        <v>8856.31</v>
      </c>
    </row>
    <row r="282" spans="1:47">
      <c r="A282" s="288" t="s">
        <v>6</v>
      </c>
      <c r="B282" s="201">
        <v>82.46</v>
      </c>
      <c r="C282" s="201">
        <v>84.11</v>
      </c>
      <c r="D282" s="201">
        <v>83.83</v>
      </c>
      <c r="E282" s="201">
        <v>79.44</v>
      </c>
      <c r="F282" s="201">
        <v>2.1610999999999998</v>
      </c>
      <c r="G282" s="201">
        <v>100.25219027939001</v>
      </c>
      <c r="H282" s="201">
        <v>2.8832399999999998</v>
      </c>
      <c r="I282" s="201">
        <v>5.0609256719999998</v>
      </c>
      <c r="J282" s="201">
        <v>2.5507453400000002</v>
      </c>
      <c r="K282" s="201">
        <v>1073.95</v>
      </c>
      <c r="L282" s="201">
        <v>1737.5</v>
      </c>
      <c r="M282" s="201">
        <v>2088.2600000000002</v>
      </c>
      <c r="N282" s="201">
        <v>1005.24</v>
      </c>
      <c r="O282" s="201">
        <v>1016.84</v>
      </c>
      <c r="P282" s="201">
        <v>614.92999999999995</v>
      </c>
      <c r="Q282" s="201">
        <v>1029.97</v>
      </c>
      <c r="R282" s="201">
        <v>546.73</v>
      </c>
      <c r="S282" s="201">
        <v>1026.1400000000001</v>
      </c>
      <c r="T282" s="201">
        <v>1034.83</v>
      </c>
      <c r="U282" s="201" t="s">
        <v>313</v>
      </c>
      <c r="V282" s="201">
        <v>291.11454959999998</v>
      </c>
      <c r="W282" s="201" t="s">
        <v>313</v>
      </c>
      <c r="X282" s="201">
        <v>501</v>
      </c>
      <c r="Y282" s="201">
        <v>490</v>
      </c>
      <c r="Z282" s="201">
        <v>482.88</v>
      </c>
      <c r="AA282" s="201">
        <v>455.1</v>
      </c>
      <c r="AB282" s="201">
        <v>277.16485154399999</v>
      </c>
      <c r="AC282" s="201">
        <v>378.18</v>
      </c>
      <c r="AD282" s="201">
        <v>1.1427169987500001</v>
      </c>
      <c r="AE282" s="201">
        <v>1.653465</v>
      </c>
      <c r="AF282" s="201">
        <v>1.46155255581</v>
      </c>
      <c r="AG282" s="201">
        <v>5.30431572</v>
      </c>
      <c r="AH282" s="201">
        <v>1.5708519999999999</v>
      </c>
      <c r="AI282" s="201">
        <v>10.912869000000001</v>
      </c>
      <c r="AJ282" s="201">
        <v>0.35810569599999997</v>
      </c>
      <c r="AK282" s="201">
        <v>0.91116944600000005</v>
      </c>
      <c r="AL282" s="201">
        <v>0.53219526800000005</v>
      </c>
      <c r="AM282" s="201">
        <v>4586.5833333333303</v>
      </c>
      <c r="AN282" s="201">
        <v>2.0979163920000001</v>
      </c>
      <c r="AO282" s="201">
        <v>345</v>
      </c>
      <c r="AP282" s="201">
        <v>637</v>
      </c>
      <c r="AQ282" s="201">
        <v>550</v>
      </c>
      <c r="AR282" s="201">
        <v>313.38</v>
      </c>
      <c r="AS282" s="201">
        <v>407.5</v>
      </c>
      <c r="AT282" s="201">
        <v>2343.23</v>
      </c>
      <c r="AU282" s="201">
        <v>8809.42</v>
      </c>
    </row>
    <row r="283" spans="1:47">
      <c r="A283" s="288" t="s">
        <v>7</v>
      </c>
      <c r="B283" s="201">
        <v>74.123333333329995</v>
      </c>
      <c r="C283" s="201">
        <v>75.7</v>
      </c>
      <c r="D283" s="201">
        <v>75.08</v>
      </c>
      <c r="E283" s="201">
        <v>71.59</v>
      </c>
      <c r="F283" s="201">
        <v>2.1463999999999999</v>
      </c>
      <c r="G283" s="201">
        <v>83.220229002829996</v>
      </c>
      <c r="H283" s="201">
        <v>2.9648400000000001</v>
      </c>
      <c r="I283" s="201">
        <v>4.8528095440000003</v>
      </c>
      <c r="J283" s="201">
        <v>2.7017618099999998</v>
      </c>
      <c r="K283" s="201">
        <v>1047.69</v>
      </c>
      <c r="L283" s="201">
        <v>1773.08</v>
      </c>
      <c r="M283" s="201">
        <v>2016.88</v>
      </c>
      <c r="N283" s="201">
        <v>934.06</v>
      </c>
      <c r="O283" s="201">
        <v>992.5</v>
      </c>
      <c r="P283" s="201">
        <v>595</v>
      </c>
      <c r="Q283" s="201">
        <v>988.32</v>
      </c>
      <c r="R283" s="201">
        <v>519.19000000000005</v>
      </c>
      <c r="S283" s="201">
        <v>967.27</v>
      </c>
      <c r="T283" s="201">
        <v>961.79</v>
      </c>
      <c r="U283" s="201" t="s">
        <v>313</v>
      </c>
      <c r="V283" s="201">
        <v>268.135448</v>
      </c>
      <c r="W283" s="201" t="s">
        <v>313</v>
      </c>
      <c r="X283" s="201">
        <v>510</v>
      </c>
      <c r="Y283" s="201">
        <v>495</v>
      </c>
      <c r="Z283" s="201">
        <v>492.68</v>
      </c>
      <c r="AA283" s="201">
        <v>470.53</v>
      </c>
      <c r="AB283" s="201">
        <v>260.50894593300001</v>
      </c>
      <c r="AC283" s="201">
        <v>367.74</v>
      </c>
      <c r="AD283" s="201">
        <v>1.11147560431</v>
      </c>
      <c r="AE283" s="201">
        <v>1.6121283749999999</v>
      </c>
      <c r="AF283" s="201">
        <v>1.4054814117900001</v>
      </c>
      <c r="AG283" s="201">
        <v>5.3103784249999997</v>
      </c>
      <c r="AH283" s="201">
        <v>1.5429120000000001</v>
      </c>
      <c r="AI283" s="201">
        <v>10.912869000000001</v>
      </c>
      <c r="AJ283" s="201">
        <v>0.355036032</v>
      </c>
      <c r="AK283" s="201">
        <v>0.93828627200000003</v>
      </c>
      <c r="AL283" s="201">
        <v>0.55997348000000002</v>
      </c>
      <c r="AM283" s="201">
        <v>4786.75</v>
      </c>
      <c r="AN283" s="201">
        <v>2.0734451100000002</v>
      </c>
      <c r="AO283" s="201">
        <v>345</v>
      </c>
      <c r="AP283" s="201">
        <v>510</v>
      </c>
      <c r="AQ283" s="201">
        <v>485.63</v>
      </c>
      <c r="AR283" s="201">
        <v>329.25</v>
      </c>
      <c r="AS283" s="201">
        <v>372.5</v>
      </c>
      <c r="AT283" s="201">
        <v>2268.6</v>
      </c>
      <c r="AU283" s="201">
        <v>8217.4699999999993</v>
      </c>
    </row>
    <row r="284" spans="1:47">
      <c r="A284" s="288" t="s">
        <v>8</v>
      </c>
      <c r="B284" s="201">
        <v>73.263333333329996</v>
      </c>
      <c r="C284" s="201">
        <v>74.89</v>
      </c>
      <c r="D284" s="201">
        <v>74.67</v>
      </c>
      <c r="E284" s="201">
        <v>70.23</v>
      </c>
      <c r="F284" s="201">
        <v>2.1833999999999998</v>
      </c>
      <c r="G284" s="201">
        <v>84.310528834129997</v>
      </c>
      <c r="H284" s="201">
        <v>3.1728700000000001</v>
      </c>
      <c r="I284" s="201">
        <v>4.5721614180000003</v>
      </c>
      <c r="J284" s="201">
        <v>2.912964406</v>
      </c>
      <c r="K284" s="201">
        <v>1012.73</v>
      </c>
      <c r="L284" s="201">
        <v>1850</v>
      </c>
      <c r="M284" s="201">
        <v>1971.27</v>
      </c>
      <c r="N284" s="201">
        <v>816.97</v>
      </c>
      <c r="O284" s="201">
        <v>927.95</v>
      </c>
      <c r="P284" s="201">
        <v>591.89</v>
      </c>
      <c r="Q284" s="201">
        <v>1007.12</v>
      </c>
      <c r="R284" s="201">
        <v>491.56</v>
      </c>
      <c r="S284" s="201">
        <v>990.58</v>
      </c>
      <c r="T284" s="201">
        <v>910.95</v>
      </c>
      <c r="U284" s="201" t="s">
        <v>313</v>
      </c>
      <c r="V284" s="201">
        <v>266.86779840000003</v>
      </c>
      <c r="W284" s="201" t="s">
        <v>313</v>
      </c>
      <c r="X284" s="201">
        <v>514</v>
      </c>
      <c r="Y284" s="201">
        <v>496</v>
      </c>
      <c r="Z284" s="201">
        <v>495.75</v>
      </c>
      <c r="AA284" s="201">
        <v>508.24</v>
      </c>
      <c r="AB284" s="201">
        <v>256.999925448</v>
      </c>
      <c r="AC284" s="201">
        <v>345.5</v>
      </c>
      <c r="AD284" s="201">
        <v>1.1008424395800001</v>
      </c>
      <c r="AE284" s="201">
        <v>1.5928379500000001</v>
      </c>
      <c r="AF284" s="201">
        <v>1.4049524387300001</v>
      </c>
      <c r="AG284" s="201">
        <v>5.0133058799999999</v>
      </c>
      <c r="AH284" s="201">
        <v>1.4675039999999999</v>
      </c>
      <c r="AI284" s="201">
        <v>10.361713999999999</v>
      </c>
      <c r="AJ284" s="201">
        <v>0.35395838400000001</v>
      </c>
      <c r="AK284" s="201">
        <v>0.90918528799999998</v>
      </c>
      <c r="AL284" s="201">
        <v>0.54211605799999996</v>
      </c>
      <c r="AM284" s="201">
        <v>5064.7416666666704</v>
      </c>
      <c r="AN284" s="201">
        <v>2.0388325759999999</v>
      </c>
      <c r="AO284" s="201">
        <v>344.5</v>
      </c>
      <c r="AP284" s="201">
        <v>454.55</v>
      </c>
      <c r="AQ284" s="201">
        <v>390</v>
      </c>
      <c r="AR284" s="201">
        <v>287.5</v>
      </c>
      <c r="AS284" s="201">
        <v>328</v>
      </c>
      <c r="AT284" s="201">
        <v>2184.75</v>
      </c>
      <c r="AU284" s="201">
        <v>8396.52</v>
      </c>
    </row>
    <row r="285" spans="1:47">
      <c r="A285" s="288" t="s">
        <v>9</v>
      </c>
      <c r="B285" s="201">
        <v>78.983333333329995</v>
      </c>
      <c r="C285" s="201">
        <v>80.099999999999994</v>
      </c>
      <c r="D285" s="201">
        <v>80.459999999999994</v>
      </c>
      <c r="E285" s="201">
        <v>76.39</v>
      </c>
      <c r="F285" s="201">
        <v>2.5539999999999998</v>
      </c>
      <c r="G285" s="201">
        <v>85.192100927490003</v>
      </c>
      <c r="H285" s="201">
        <v>3.3874599999999999</v>
      </c>
      <c r="I285" s="201">
        <v>4.265719238</v>
      </c>
      <c r="J285" s="201">
        <v>2.812654196</v>
      </c>
      <c r="K285" s="201">
        <v>1047.3800000000001</v>
      </c>
      <c r="L285" s="201">
        <v>1960.48</v>
      </c>
      <c r="M285" s="201">
        <v>2159.21</v>
      </c>
      <c r="N285" s="201">
        <v>878.5</v>
      </c>
      <c r="O285" s="201">
        <v>998.1</v>
      </c>
      <c r="P285" s="201">
        <v>633.85</v>
      </c>
      <c r="Q285" s="201">
        <v>1135.74</v>
      </c>
      <c r="R285" s="201">
        <v>517.23</v>
      </c>
      <c r="S285" s="201">
        <v>1107.99</v>
      </c>
      <c r="T285" s="201">
        <v>1038.8</v>
      </c>
      <c r="U285" s="201" t="s">
        <v>313</v>
      </c>
      <c r="V285" s="201">
        <v>242.38483919999999</v>
      </c>
      <c r="W285" s="201" t="s">
        <v>313</v>
      </c>
      <c r="X285" s="201">
        <v>547</v>
      </c>
      <c r="Y285" s="201">
        <v>524</v>
      </c>
      <c r="Z285" s="201">
        <v>533.45000000000005</v>
      </c>
      <c r="AA285" s="201">
        <v>502.76</v>
      </c>
      <c r="AB285" s="201">
        <v>249.85328163299999</v>
      </c>
      <c r="AC285" s="201">
        <v>345.5</v>
      </c>
      <c r="AD285" s="201">
        <v>1.11815780753</v>
      </c>
      <c r="AE285" s="201">
        <v>1.5501234374999999</v>
      </c>
      <c r="AF285" s="201">
        <v>1.51291583962</v>
      </c>
      <c r="AG285" s="201">
        <v>4.7840254</v>
      </c>
      <c r="AH285" s="201">
        <v>1.3720380000000001</v>
      </c>
      <c r="AI285" s="201">
        <v>9.7973312799999999</v>
      </c>
      <c r="AJ285" s="201">
        <v>0.36114270399999998</v>
      </c>
      <c r="AK285" s="201">
        <v>0.85120378200000002</v>
      </c>
      <c r="AL285" s="201">
        <v>0.52117216799999999</v>
      </c>
      <c r="AM285" s="201">
        <v>5098.1750000000002</v>
      </c>
      <c r="AN285" s="201">
        <v>2.0542649160000002</v>
      </c>
      <c r="AO285" s="201">
        <v>342.5</v>
      </c>
      <c r="AP285" s="201">
        <v>458.75</v>
      </c>
      <c r="AQ285" s="201">
        <v>392.25</v>
      </c>
      <c r="AR285" s="201">
        <v>334.63</v>
      </c>
      <c r="AS285" s="201">
        <v>341.25</v>
      </c>
      <c r="AT285" s="201">
        <v>2159.73</v>
      </c>
      <c r="AU285" s="201">
        <v>8476.68</v>
      </c>
    </row>
    <row r="286" spans="1:47">
      <c r="A286" s="288" t="s">
        <v>10</v>
      </c>
      <c r="B286" s="201">
        <v>84.724333333329994</v>
      </c>
      <c r="C286" s="201">
        <v>86.162999999999997</v>
      </c>
      <c r="D286" s="201">
        <v>86.61</v>
      </c>
      <c r="E286" s="201">
        <v>81.400000000000006</v>
      </c>
      <c r="F286" s="201">
        <v>2.5844999999999998</v>
      </c>
      <c r="G286" s="201">
        <v>93.089278527909997</v>
      </c>
      <c r="H286" s="201">
        <v>3.4596100000000001</v>
      </c>
      <c r="I286" s="201">
        <v>4.1166869259999999</v>
      </c>
      <c r="J286" s="201">
        <v>2.7473974440000002</v>
      </c>
      <c r="K286" s="201">
        <v>1099.0899999999999</v>
      </c>
      <c r="L286" s="201">
        <v>2000</v>
      </c>
      <c r="M286" s="201">
        <v>2173.94</v>
      </c>
      <c r="N286" s="201">
        <v>860.82</v>
      </c>
      <c r="O286" s="201">
        <v>998.41</v>
      </c>
      <c r="P286" s="201">
        <v>583.92999999999995</v>
      </c>
      <c r="Q286" s="201">
        <v>1126.53</v>
      </c>
      <c r="R286" s="201">
        <v>514.55999999999995</v>
      </c>
      <c r="S286" s="201">
        <v>1066.77</v>
      </c>
      <c r="T286" s="201">
        <v>989.42</v>
      </c>
      <c r="U286" s="201" t="s">
        <v>313</v>
      </c>
      <c r="V286" s="201">
        <v>207.607148</v>
      </c>
      <c r="W286" s="201" t="s">
        <v>313</v>
      </c>
      <c r="X286" s="201">
        <v>635</v>
      </c>
      <c r="Y286" s="201">
        <v>600</v>
      </c>
      <c r="Z286" s="201">
        <v>626</v>
      </c>
      <c r="AA286" s="201">
        <v>541.15</v>
      </c>
      <c r="AB286" s="201">
        <v>230.805363105</v>
      </c>
      <c r="AC286" s="201">
        <v>315.82</v>
      </c>
      <c r="AD286" s="201">
        <v>1.0742535098399999</v>
      </c>
      <c r="AE286" s="201">
        <v>1.5570128750000001</v>
      </c>
      <c r="AF286" s="201">
        <v>1.65885950598</v>
      </c>
      <c r="AG286" s="201">
        <v>4.7261541249999999</v>
      </c>
      <c r="AH286" s="201">
        <v>1.4245620000000001</v>
      </c>
      <c r="AI286" s="201">
        <v>9.0499650999999997</v>
      </c>
      <c r="AJ286" s="201">
        <v>0.356309616</v>
      </c>
      <c r="AK286" s="201">
        <v>0.89287110000000003</v>
      </c>
      <c r="AL286" s="201">
        <v>0.52800648999999999</v>
      </c>
      <c r="AM286" s="201">
        <v>5295.7916666666697</v>
      </c>
      <c r="AN286" s="201">
        <v>2.1148919660000001</v>
      </c>
      <c r="AO286" s="201">
        <v>346.25</v>
      </c>
      <c r="AP286" s="201">
        <v>528.75</v>
      </c>
      <c r="AQ286" s="201">
        <v>450.63</v>
      </c>
      <c r="AR286" s="201">
        <v>385.63</v>
      </c>
      <c r="AS286" s="201">
        <v>353.13</v>
      </c>
      <c r="AT286" s="201">
        <v>2136.5700000000002</v>
      </c>
      <c r="AU286" s="201">
        <v>8349.1299999999992</v>
      </c>
    </row>
    <row r="287" spans="1:47">
      <c r="A287" s="288" t="s">
        <v>11</v>
      </c>
      <c r="B287" s="201">
        <v>92.22</v>
      </c>
      <c r="C287" s="201">
        <v>94</v>
      </c>
      <c r="D287" s="201">
        <v>93.08</v>
      </c>
      <c r="E287" s="201">
        <v>89.58</v>
      </c>
      <c r="F287" s="201">
        <v>2.6395</v>
      </c>
      <c r="G287" s="201">
        <v>95.230103269370005</v>
      </c>
      <c r="H287" s="201">
        <v>3.6082200000000002</v>
      </c>
      <c r="I287" s="201">
        <v>4.0459186239999996</v>
      </c>
      <c r="J287" s="201">
        <v>2.7313037179999999</v>
      </c>
      <c r="K287" s="201">
        <v>1071.67</v>
      </c>
      <c r="L287" s="201">
        <v>2050</v>
      </c>
      <c r="M287" s="201">
        <v>2106.2199999999998</v>
      </c>
      <c r="N287" s="201">
        <v>829.6</v>
      </c>
      <c r="O287" s="201">
        <v>957.64</v>
      </c>
      <c r="P287" s="201">
        <v>619.04</v>
      </c>
      <c r="Q287" s="201">
        <v>1111.6300000000001</v>
      </c>
      <c r="R287" s="201">
        <v>509.31</v>
      </c>
      <c r="S287" s="201">
        <v>1047.44</v>
      </c>
      <c r="T287" s="201">
        <v>894.81</v>
      </c>
      <c r="U287" s="201" t="s">
        <v>313</v>
      </c>
      <c r="V287" s="201">
        <v>223.80708000000001</v>
      </c>
      <c r="W287" s="201" t="s">
        <v>313</v>
      </c>
      <c r="X287" s="201">
        <v>620</v>
      </c>
      <c r="Y287" s="201">
        <v>587</v>
      </c>
      <c r="Z287" s="201">
        <v>609.9</v>
      </c>
      <c r="AA287" s="201">
        <v>594.37</v>
      </c>
      <c r="AB287" s="201">
        <v>230.55183178199999</v>
      </c>
      <c r="AC287" s="201">
        <v>314.68</v>
      </c>
      <c r="AD287" s="201">
        <v>1.0431175720200001</v>
      </c>
      <c r="AE287" s="201">
        <v>1.5639023125</v>
      </c>
      <c r="AF287" s="201">
        <v>1.76930908023</v>
      </c>
      <c r="AG287" s="201">
        <v>4.9030748800000001</v>
      </c>
      <c r="AH287" s="201">
        <v>1.53748</v>
      </c>
      <c r="AI287" s="201">
        <v>8.7082490000000004</v>
      </c>
      <c r="AJ287" s="201">
        <v>0.34896201599999999</v>
      </c>
      <c r="AK287" s="201">
        <v>0.94049089200000002</v>
      </c>
      <c r="AL287" s="201">
        <v>0.57959459800000002</v>
      </c>
      <c r="AM287" s="201">
        <v>5437.4166666666697</v>
      </c>
      <c r="AN287" s="201">
        <v>2.1594252900000002</v>
      </c>
      <c r="AO287" s="201">
        <v>347.5</v>
      </c>
      <c r="AP287" s="201">
        <v>527.9</v>
      </c>
      <c r="AQ287" s="201">
        <v>461.5</v>
      </c>
      <c r="AR287" s="201">
        <v>380</v>
      </c>
      <c r="AS287" s="201">
        <v>352</v>
      </c>
      <c r="AT287" s="201">
        <v>2184.67</v>
      </c>
      <c r="AU287" s="201">
        <v>8276.7099999999991</v>
      </c>
    </row>
    <row r="288" spans="1:47">
      <c r="A288" s="288" t="s">
        <v>12</v>
      </c>
      <c r="B288" s="201">
        <v>89.083666666669998</v>
      </c>
      <c r="C288" s="201">
        <v>91.061000000000007</v>
      </c>
      <c r="D288" s="201">
        <v>90.62</v>
      </c>
      <c r="E288" s="201">
        <v>85.57</v>
      </c>
      <c r="F288" s="201">
        <v>2.9885999999999999</v>
      </c>
      <c r="G288" s="201">
        <v>114.10461380273</v>
      </c>
      <c r="H288" s="201">
        <v>3.6301399999999999</v>
      </c>
      <c r="I288" s="201">
        <v>4.0476823199999998</v>
      </c>
      <c r="J288" s="201">
        <v>2.6199704079999999</v>
      </c>
      <c r="K288" s="201">
        <v>1046.43</v>
      </c>
      <c r="L288" s="201">
        <v>2050</v>
      </c>
      <c r="M288" s="201">
        <v>1954.4</v>
      </c>
      <c r="N288" s="201">
        <v>804.26</v>
      </c>
      <c r="O288" s="201">
        <v>912.38</v>
      </c>
      <c r="P288" s="201">
        <v>529.57000000000005</v>
      </c>
      <c r="Q288" s="201">
        <v>1133.8699999999999</v>
      </c>
      <c r="R288" s="201">
        <v>511.73</v>
      </c>
      <c r="S288" s="201">
        <v>1060.31</v>
      </c>
      <c r="T288" s="201">
        <v>910.17</v>
      </c>
      <c r="U288" s="201" t="s">
        <v>313</v>
      </c>
      <c r="V288" s="201">
        <v>230.69648000000001</v>
      </c>
      <c r="W288" s="201" t="s">
        <v>313</v>
      </c>
      <c r="X288" s="201">
        <v>590</v>
      </c>
      <c r="Y288" s="201">
        <v>563</v>
      </c>
      <c r="Z288" s="201">
        <v>574.71</v>
      </c>
      <c r="AA288" s="201">
        <v>616.15</v>
      </c>
      <c r="AB288" s="201">
        <v>236.64760663499999</v>
      </c>
      <c r="AC288" s="201">
        <v>298.10000000000002</v>
      </c>
      <c r="AD288" s="201">
        <v>1.0530950620899999</v>
      </c>
      <c r="AE288" s="201">
        <v>1.5707917499999999</v>
      </c>
      <c r="AF288" s="201">
        <v>2.0345890681899998</v>
      </c>
      <c r="AG288" s="201">
        <v>4.9796854250000004</v>
      </c>
      <c r="AH288" s="201">
        <v>1.58395</v>
      </c>
      <c r="AI288" s="201">
        <v>8.5980179999999997</v>
      </c>
      <c r="AJ288" s="201">
        <v>0.34491267199999998</v>
      </c>
      <c r="AK288" s="201">
        <v>0.975103426</v>
      </c>
      <c r="AL288" s="201">
        <v>0.56702826399999995</v>
      </c>
      <c r="AM288" s="201">
        <v>5488.1750000000002</v>
      </c>
      <c r="AN288" s="201">
        <v>2.1062939479999998</v>
      </c>
      <c r="AO288" s="201">
        <v>347.5</v>
      </c>
      <c r="AP288" s="201">
        <v>534.75</v>
      </c>
      <c r="AQ288" s="201">
        <v>468.13</v>
      </c>
      <c r="AR288" s="201">
        <v>411.38</v>
      </c>
      <c r="AS288" s="201">
        <v>341.88</v>
      </c>
      <c r="AT288" s="201">
        <v>2192.21</v>
      </c>
      <c r="AU288" s="201">
        <v>7937.18</v>
      </c>
    </row>
    <row r="289" spans="1:47">
      <c r="A289" s="288" t="s">
        <v>13</v>
      </c>
      <c r="B289" s="201">
        <v>81.354333333330004</v>
      </c>
      <c r="C289" s="201">
        <v>83.183000000000007</v>
      </c>
      <c r="D289" s="201">
        <v>83.45</v>
      </c>
      <c r="E289" s="201">
        <v>77.430000000000007</v>
      </c>
      <c r="F289" s="201">
        <v>2.7084000000000001</v>
      </c>
      <c r="G289" s="201">
        <v>110.370695067</v>
      </c>
      <c r="H289" s="201">
        <v>4.0277099999999999</v>
      </c>
      <c r="I289" s="201">
        <v>4.347069716</v>
      </c>
      <c r="J289" s="201">
        <v>2.7035255060000001</v>
      </c>
      <c r="K289" s="201">
        <v>1114.55</v>
      </c>
      <c r="L289" s="201">
        <v>2050</v>
      </c>
      <c r="M289" s="201">
        <v>1891.89</v>
      </c>
      <c r="N289" s="201">
        <v>830.47</v>
      </c>
      <c r="O289" s="201">
        <v>967.5</v>
      </c>
      <c r="P289" s="201">
        <v>553.04999999999995</v>
      </c>
      <c r="Q289" s="201">
        <v>1118.3900000000001</v>
      </c>
      <c r="R289" s="201">
        <v>571.61</v>
      </c>
      <c r="S289" s="201">
        <v>1039.32</v>
      </c>
      <c r="T289" s="201">
        <v>943.6</v>
      </c>
      <c r="U289" s="201" t="s">
        <v>313</v>
      </c>
      <c r="V289" s="201">
        <v>211.26049839999999</v>
      </c>
      <c r="W289" s="201" t="s">
        <v>313</v>
      </c>
      <c r="X289" s="201">
        <v>598</v>
      </c>
      <c r="Y289" s="201">
        <v>573</v>
      </c>
      <c r="Z289" s="201">
        <v>574.59</v>
      </c>
      <c r="AA289" s="201">
        <v>629.41</v>
      </c>
      <c r="AB289" s="201">
        <v>241.03112646599999</v>
      </c>
      <c r="AC289" s="201">
        <v>283.55</v>
      </c>
      <c r="AD289" s="201">
        <v>1.0766935901500001</v>
      </c>
      <c r="AE289" s="201">
        <v>1.5501234374999999</v>
      </c>
      <c r="AF289" s="201">
        <v>2.0619898725299999</v>
      </c>
      <c r="AG289" s="201">
        <v>4.8832332999999997</v>
      </c>
      <c r="AH289" s="201">
        <v>1.667497</v>
      </c>
      <c r="AI289" s="201" t="s">
        <v>314</v>
      </c>
      <c r="AJ289" s="201">
        <v>0.35281542399999999</v>
      </c>
      <c r="AK289" s="201">
        <v>0.98590606400000003</v>
      </c>
      <c r="AL289" s="201">
        <v>0.574964896</v>
      </c>
      <c r="AM289" s="201">
        <v>5475.2666666666701</v>
      </c>
      <c r="AN289" s="201">
        <v>1.994299252</v>
      </c>
      <c r="AO289" s="201" t="s">
        <v>314</v>
      </c>
      <c r="AP289" s="201">
        <v>535.63</v>
      </c>
      <c r="AQ289" s="201">
        <v>462.63</v>
      </c>
      <c r="AR289" s="201">
        <v>385.5</v>
      </c>
      <c r="AS289" s="201">
        <v>331.88</v>
      </c>
      <c r="AT289" s="201">
        <v>2202.2600000000002</v>
      </c>
      <c r="AU289" s="201">
        <v>8189.59</v>
      </c>
    </row>
    <row r="290" spans="1:47">
      <c r="A290" s="288" t="s">
        <v>14</v>
      </c>
      <c r="B290" s="201">
        <v>75.719333333329999</v>
      </c>
      <c r="C290" s="201">
        <v>77.858000000000004</v>
      </c>
      <c r="D290" s="201">
        <v>77.22</v>
      </c>
      <c r="E290" s="201">
        <v>72.08</v>
      </c>
      <c r="F290" s="201">
        <v>2.5265</v>
      </c>
      <c r="G290" s="201">
        <v>95.165272338380007</v>
      </c>
      <c r="H290" s="201">
        <v>4.2088900000000002</v>
      </c>
      <c r="I290" s="201">
        <v>4.6464571120000002</v>
      </c>
      <c r="J290" s="201">
        <v>2.9865987139999999</v>
      </c>
      <c r="K290" s="201">
        <v>1108.81</v>
      </c>
      <c r="L290" s="201">
        <v>2050</v>
      </c>
      <c r="M290" s="201">
        <v>1940.09</v>
      </c>
      <c r="N290" s="201">
        <v>813.51</v>
      </c>
      <c r="O290" s="201">
        <v>966.19</v>
      </c>
      <c r="P290" s="201">
        <v>547.42999999999995</v>
      </c>
      <c r="Q290" s="201">
        <v>1062.48</v>
      </c>
      <c r="R290" s="201">
        <v>524.08000000000004</v>
      </c>
      <c r="S290" s="201">
        <v>1009.98</v>
      </c>
      <c r="T290" s="201">
        <v>944.03</v>
      </c>
      <c r="U290" s="201" t="s">
        <v>313</v>
      </c>
      <c r="V290" s="201">
        <v>206.54803944445001</v>
      </c>
      <c r="W290" s="201" t="s">
        <v>313</v>
      </c>
      <c r="X290" s="201">
        <v>644</v>
      </c>
      <c r="Y290" s="201">
        <v>610</v>
      </c>
      <c r="Z290" s="201">
        <v>629.59</v>
      </c>
      <c r="AA290" s="201">
        <v>632.9</v>
      </c>
      <c r="AB290" s="201">
        <v>255.034139103</v>
      </c>
      <c r="AC290" s="201">
        <v>291.12</v>
      </c>
      <c r="AD290" s="201">
        <v>1.0834627862899999</v>
      </c>
      <c r="AE290" s="201">
        <v>1.5652801999999999</v>
      </c>
      <c r="AF290" s="201">
        <v>1.8975850464899999</v>
      </c>
      <c r="AG290" s="201">
        <v>4.7913741333299997</v>
      </c>
      <c r="AH290" s="201">
        <v>1.6335999999999999</v>
      </c>
      <c r="AI290" s="201" t="s">
        <v>314</v>
      </c>
      <c r="AJ290" s="201">
        <v>0.35644024000000002</v>
      </c>
      <c r="AK290" s="201">
        <v>0.882068462</v>
      </c>
      <c r="AL290" s="201">
        <v>0.47818207800000001</v>
      </c>
      <c r="AM290" s="201">
        <v>5461.7749999999996</v>
      </c>
      <c r="AN290" s="201">
        <v>1.9954015620000001</v>
      </c>
      <c r="AO290" s="201">
        <v>152.5</v>
      </c>
      <c r="AP290" s="201">
        <v>563.75</v>
      </c>
      <c r="AQ290" s="201">
        <v>447.5</v>
      </c>
      <c r="AR290" s="201">
        <v>354</v>
      </c>
      <c r="AS290" s="201">
        <v>311.88</v>
      </c>
      <c r="AT290" s="201">
        <v>2182.4299999999998</v>
      </c>
      <c r="AU290" s="201">
        <v>8399.94</v>
      </c>
    </row>
    <row r="291" spans="1:47" s="291" customFormat="1" ht="15">
      <c r="A291" s="198" t="s">
        <v>1</v>
      </c>
      <c r="B291" s="241">
        <v>80.755694444442497</v>
      </c>
      <c r="C291" s="241">
        <v>82.616249999999994</v>
      </c>
      <c r="D291" s="241">
        <v>81.981666666666669</v>
      </c>
      <c r="E291" s="241">
        <v>77.669166666666669</v>
      </c>
      <c r="F291" s="241">
        <v>2.537808333333333</v>
      </c>
      <c r="G291" s="241">
        <v>102.90549072049167</v>
      </c>
      <c r="H291" s="241">
        <v>3.2806666666666673</v>
      </c>
      <c r="I291" s="241">
        <v>4.5400474533333339</v>
      </c>
      <c r="J291" s="241">
        <v>2.6268231018333337</v>
      </c>
      <c r="K291" s="241">
        <v>1075.1849999999997</v>
      </c>
      <c r="L291" s="241">
        <v>1891.8591666666664</v>
      </c>
      <c r="M291" s="241">
        <v>2034.655</v>
      </c>
      <c r="N291" s="241">
        <v>886.45333333333326</v>
      </c>
      <c r="O291" s="241">
        <v>990.49416666666673</v>
      </c>
      <c r="P291" s="241">
        <v>597.89833333333343</v>
      </c>
      <c r="Q291" s="241">
        <v>1118.5016666666663</v>
      </c>
      <c r="R291" s="241">
        <v>541.42416666666657</v>
      </c>
      <c r="S291" s="241">
        <v>1065.1408333333331</v>
      </c>
      <c r="T291" s="241">
        <v>1006.6991666666667</v>
      </c>
      <c r="U291" s="241" t="s">
        <v>313</v>
      </c>
      <c r="V291" s="241">
        <v>252.65528515370417</v>
      </c>
      <c r="W291" s="241" t="s">
        <v>313</v>
      </c>
      <c r="X291" s="241">
        <v>553.66666666666663</v>
      </c>
      <c r="Y291" s="241">
        <v>532.91666666666663</v>
      </c>
      <c r="Z291" s="241">
        <v>536.17083333333335</v>
      </c>
      <c r="AA291" s="241">
        <v>523.6825</v>
      </c>
      <c r="AB291" s="241">
        <v>257.7418135486364</v>
      </c>
      <c r="AC291" s="241">
        <v>340.43</v>
      </c>
      <c r="AD291" s="241">
        <v>1.0899981405791666</v>
      </c>
      <c r="AE291" s="241">
        <v>1.5965697286458331</v>
      </c>
      <c r="AF291" s="241">
        <v>1.5741268385033333</v>
      </c>
      <c r="AG291" s="241">
        <v>4.9029524011108334</v>
      </c>
      <c r="AH291" s="241">
        <v>1.5332789166666669</v>
      </c>
      <c r="AI291" s="241" t="s">
        <v>314</v>
      </c>
      <c r="AJ291" s="241">
        <v>0.35326172266666672</v>
      </c>
      <c r="AK291" s="241">
        <v>0.89492874533333333</v>
      </c>
      <c r="AL291" s="241">
        <v>0.51646897866666663</v>
      </c>
      <c r="AM291" s="241">
        <v>5015.6909722222235</v>
      </c>
      <c r="AN291" s="241">
        <v>2.0949768986666673</v>
      </c>
      <c r="AO291" s="241">
        <v>321.65909090909093</v>
      </c>
      <c r="AP291" s="241">
        <v>550.04833333333329</v>
      </c>
      <c r="AQ291" s="241">
        <v>480.22083333333336</v>
      </c>
      <c r="AR291" s="241">
        <v>358.00166666666672</v>
      </c>
      <c r="AS291" s="241">
        <v>383.22083333333336</v>
      </c>
      <c r="AT291" s="241">
        <v>2255.7391666666667</v>
      </c>
      <c r="AU291" s="241">
        <v>8490.2908333333326</v>
      </c>
    </row>
    <row r="292" spans="1:47" s="291" customFormat="1" ht="15">
      <c r="A292" s="198" t="s">
        <v>172</v>
      </c>
      <c r="B292" s="241">
        <v>-16.833636090571947</v>
      </c>
      <c r="C292" s="241">
        <v>-17.238227216188474</v>
      </c>
      <c r="D292" s="241">
        <v>-15.52563563142394</v>
      </c>
      <c r="E292" s="241">
        <v>-17.750205176628398</v>
      </c>
      <c r="F292" s="241">
        <v>-60.149463882396972</v>
      </c>
      <c r="G292" s="241">
        <v>-63.455944737278244</v>
      </c>
      <c r="H292" s="241">
        <v>37.09549637394116</v>
      </c>
      <c r="I292" s="241">
        <v>-19.365943270325737</v>
      </c>
      <c r="J292" s="241">
        <v>14.954052467820667</v>
      </c>
      <c r="K292" s="241">
        <v>-34.224866369455022</v>
      </c>
      <c r="L292" s="241">
        <v>20.644729982585332</v>
      </c>
      <c r="M292" s="241">
        <v>-7.6228602950440427</v>
      </c>
      <c r="N292" s="241">
        <v>-30.528281924516222</v>
      </c>
      <c r="O292" s="241">
        <v>-38.734593355298145</v>
      </c>
      <c r="P292" s="241">
        <v>-11.474273079703945</v>
      </c>
      <c r="Q292" s="241">
        <v>-32.895167729333266</v>
      </c>
      <c r="R292" s="241">
        <v>-1.1742712901317232</v>
      </c>
      <c r="S292" s="241">
        <v>-39.367982937996551</v>
      </c>
      <c r="T292" s="241">
        <v>-39.017804408951164</v>
      </c>
      <c r="U292" s="241" t="s">
        <v>267</v>
      </c>
      <c r="V292" s="241">
        <v>-20.749683339724701</v>
      </c>
      <c r="W292" s="241" t="s">
        <v>267</v>
      </c>
      <c r="X292" s="241">
        <v>26.769700438847543</v>
      </c>
      <c r="Y292" s="241">
        <v>24.03025601241271</v>
      </c>
      <c r="Z292" s="241">
        <v>28.352673860265433</v>
      </c>
      <c r="AA292" s="241">
        <v>29.455085552309889</v>
      </c>
      <c r="AB292" s="241">
        <v>-32.513910513165577</v>
      </c>
      <c r="AC292" s="241">
        <v>-20.825015601803209</v>
      </c>
      <c r="AD292" s="241">
        <v>15.505313153334544</v>
      </c>
      <c r="AE292" s="241">
        <v>7.2298912624354061</v>
      </c>
      <c r="AF292" s="241">
        <v>71.233888292170903</v>
      </c>
      <c r="AG292" s="241">
        <v>-12.784354736368297</v>
      </c>
      <c r="AH292" s="241">
        <v>-8.9046083526546411</v>
      </c>
      <c r="AI292" s="241" t="s">
        <v>314</v>
      </c>
      <c r="AJ292" s="241">
        <v>2.6222380331238693</v>
      </c>
      <c r="AK292" s="241">
        <v>13.608694638150997</v>
      </c>
      <c r="AL292" s="241">
        <v>26.636334970043695</v>
      </c>
      <c r="AM292" s="241">
        <v>17.467215677347902</v>
      </c>
      <c r="AN292" s="241">
        <v>-26.873501006810375</v>
      </c>
      <c r="AO292" s="241">
        <v>20.853291009965645</v>
      </c>
      <c r="AP292" s="241">
        <v>-28.764825866888266</v>
      </c>
      <c r="AQ292" s="241">
        <v>-32.935046737673169</v>
      </c>
      <c r="AR292" s="241">
        <v>-48.858000661890564</v>
      </c>
      <c r="AS292" s="241">
        <v>-55.615856353911084</v>
      </c>
      <c r="AT292" s="241">
        <v>-16.609124457836554</v>
      </c>
      <c r="AU292" s="241">
        <v>-3.7640130354301138</v>
      </c>
    </row>
    <row r="293" spans="1:47" ht="15">
      <c r="A293" s="198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  <c r="AB293" s="201"/>
      <c r="AC293" s="201"/>
      <c r="AD293" s="201"/>
      <c r="AE293" s="201"/>
      <c r="AF293" s="201"/>
      <c r="AG293" s="201"/>
      <c r="AH293" s="201"/>
      <c r="AI293" s="201"/>
      <c r="AJ293" s="201"/>
      <c r="AK293" s="201"/>
      <c r="AL293" s="201"/>
      <c r="AM293" s="201"/>
      <c r="AN293" s="201"/>
      <c r="AO293" s="201"/>
      <c r="AP293" s="201"/>
      <c r="AQ293" s="201"/>
      <c r="AR293" s="201"/>
      <c r="AS293" s="201"/>
      <c r="AT293" s="201"/>
      <c r="AU293" s="201"/>
    </row>
    <row r="294" spans="1:47">
      <c r="A294" s="292">
        <v>2024</v>
      </c>
    </row>
    <row r="295" spans="1:47">
      <c r="A295" s="288" t="s">
        <v>3</v>
      </c>
      <c r="B295" s="201">
        <v>77.672333333330002</v>
      </c>
      <c r="C295" s="201">
        <v>80.227000000000004</v>
      </c>
      <c r="D295" s="201">
        <v>78.86</v>
      </c>
      <c r="E295" s="201">
        <v>73.930000000000007</v>
      </c>
      <c r="F295" s="201">
        <v>3.1806000000000001</v>
      </c>
      <c r="G295" s="201">
        <v>93.787430637560007</v>
      </c>
      <c r="H295" s="201">
        <v>4.3976300000000004</v>
      </c>
      <c r="I295" s="201">
        <v>4.4731739800000003</v>
      </c>
      <c r="J295" s="201">
        <v>3.2639399099999999</v>
      </c>
      <c r="K295" s="201">
        <v>1130.57</v>
      </c>
      <c r="L295" s="201">
        <v>2056</v>
      </c>
      <c r="M295" s="201">
        <v>1896.09</v>
      </c>
      <c r="N295" s="201">
        <v>844.9</v>
      </c>
      <c r="O295" s="201">
        <v>977.5</v>
      </c>
      <c r="P295" s="201">
        <v>547.38</v>
      </c>
      <c r="Q295" s="201">
        <v>971.46</v>
      </c>
      <c r="R295" s="201">
        <v>493.64</v>
      </c>
      <c r="S295" s="201">
        <v>972.06</v>
      </c>
      <c r="T295" s="201">
        <v>943.36</v>
      </c>
      <c r="U295" s="201" t="s">
        <v>313</v>
      </c>
      <c r="V295" s="201">
        <v>198.62480884614999</v>
      </c>
      <c r="W295" s="201" t="s">
        <v>313</v>
      </c>
      <c r="X295" s="201">
        <v>660</v>
      </c>
      <c r="Y295" s="201">
        <v>620</v>
      </c>
      <c r="Z295" s="201">
        <v>648.86</v>
      </c>
      <c r="AA295" s="201">
        <v>625.51</v>
      </c>
      <c r="AB295" s="201">
        <v>247.86177471900001</v>
      </c>
      <c r="AC295" s="201">
        <v>283.91000000000003</v>
      </c>
      <c r="AD295" s="201">
        <v>1.08631628107</v>
      </c>
      <c r="AE295" s="201">
        <v>1.6052389375</v>
      </c>
      <c r="AF295" s="201">
        <v>1.6677991506300001</v>
      </c>
      <c r="AG295" s="201">
        <v>4.9963839999999999</v>
      </c>
      <c r="AH295" s="201">
        <v>1.5661799999999999</v>
      </c>
      <c r="AI295" s="201" t="s">
        <v>314</v>
      </c>
      <c r="AJ295" s="201">
        <v>0.35614633600000001</v>
      </c>
      <c r="AK295" s="201">
        <v>0.882068462</v>
      </c>
      <c r="AL295" s="201">
        <v>0.484575476</v>
      </c>
      <c r="AM295" s="201">
        <v>5533.8416666666699</v>
      </c>
      <c r="AN295" s="201">
        <v>2.0300140959999999</v>
      </c>
      <c r="AO295" s="201">
        <v>152.5</v>
      </c>
      <c r="AP295" s="201">
        <v>596.25</v>
      </c>
      <c r="AQ295" s="201">
        <v>450.63</v>
      </c>
      <c r="AR295" s="201">
        <v>335.38</v>
      </c>
      <c r="AS295" s="201">
        <v>296.25</v>
      </c>
      <c r="AT295" s="201">
        <v>2192.8200000000002</v>
      </c>
      <c r="AU295" s="201">
        <v>8338.8799999999992</v>
      </c>
    </row>
    <row r="296" spans="1:47">
      <c r="A296" s="288" t="s">
        <v>4</v>
      </c>
      <c r="B296" s="201">
        <v>80.548000000000002</v>
      </c>
      <c r="C296" s="201">
        <v>83.763999999999996</v>
      </c>
      <c r="D296" s="201">
        <v>81.180000000000007</v>
      </c>
      <c r="E296" s="201">
        <v>76.7</v>
      </c>
      <c r="F296" s="201">
        <v>1.7211000000000001</v>
      </c>
      <c r="G296" s="201">
        <v>68.881538663279997</v>
      </c>
      <c r="H296" s="201">
        <v>5.5557100000000004</v>
      </c>
      <c r="I296" s="201">
        <v>4.6028056360000003</v>
      </c>
      <c r="J296" s="201">
        <v>3.3781392260000001</v>
      </c>
      <c r="K296" s="201">
        <v>1171.58</v>
      </c>
      <c r="L296" s="201">
        <v>2025</v>
      </c>
      <c r="M296" s="201">
        <v>1809.43</v>
      </c>
      <c r="N296" s="201">
        <v>856.93</v>
      </c>
      <c r="O296" s="201">
        <v>1034.17</v>
      </c>
      <c r="P296" s="201">
        <v>519.75</v>
      </c>
      <c r="Q296" s="201">
        <v>911.9</v>
      </c>
      <c r="R296" s="201">
        <v>457.08</v>
      </c>
      <c r="S296" s="201">
        <v>962.71</v>
      </c>
      <c r="T296" s="201">
        <v>925.08</v>
      </c>
      <c r="U296" s="201" t="s">
        <v>313</v>
      </c>
      <c r="V296" s="201">
        <v>189.128793</v>
      </c>
      <c r="W296" s="201" t="s">
        <v>313</v>
      </c>
      <c r="X296" s="201">
        <v>624</v>
      </c>
      <c r="Y296" s="201">
        <v>594</v>
      </c>
      <c r="Z296" s="201">
        <v>619.9</v>
      </c>
      <c r="AA296" s="201">
        <v>614.26</v>
      </c>
      <c r="AB296" s="201">
        <v>246.16054279799999</v>
      </c>
      <c r="AC296" s="201">
        <v>278.5</v>
      </c>
      <c r="AD296" s="201">
        <v>1.0679953652800001</v>
      </c>
      <c r="AE296" s="201">
        <v>1.5742364687499999</v>
      </c>
      <c r="AF296" s="201">
        <v>1.95418516356</v>
      </c>
      <c r="AG296" s="201">
        <v>5.3755649999999999</v>
      </c>
      <c r="AH296" s="201">
        <v>1.51528</v>
      </c>
      <c r="AI296" s="201" t="s">
        <v>314</v>
      </c>
      <c r="AJ296" s="201">
        <v>0.35242355199999997</v>
      </c>
      <c r="AK296" s="201">
        <v>0.91646053400000005</v>
      </c>
      <c r="AL296" s="201">
        <v>0.50155105</v>
      </c>
      <c r="AM296" s="201">
        <v>5534.9583333333303</v>
      </c>
      <c r="AN296" s="201">
        <v>2.196021982</v>
      </c>
      <c r="AO296" s="201">
        <v>152.5</v>
      </c>
      <c r="AP296" s="201">
        <v>583.80999999999995</v>
      </c>
      <c r="AQ296" s="201">
        <v>454.38</v>
      </c>
      <c r="AR296" s="201">
        <v>351.25</v>
      </c>
      <c r="AS296" s="201">
        <v>289.38</v>
      </c>
      <c r="AT296" s="201">
        <v>2179.46</v>
      </c>
      <c r="AU296" s="201">
        <v>8304.9500000000007</v>
      </c>
    </row>
    <row r="297" spans="1:47">
      <c r="A297" s="288" t="s">
        <v>5</v>
      </c>
      <c r="B297" s="201">
        <v>83.545666666670002</v>
      </c>
      <c r="C297" s="201">
        <v>85.447000000000003</v>
      </c>
      <c r="D297" s="201">
        <v>84.7</v>
      </c>
      <c r="E297" s="201">
        <v>80.489999999999995</v>
      </c>
      <c r="F297" s="201">
        <v>1.4999</v>
      </c>
      <c r="G297" s="201">
        <v>67.811209560910001</v>
      </c>
      <c r="H297" s="201">
        <v>7.08887</v>
      </c>
      <c r="I297" s="201">
        <v>4.6050102559999999</v>
      </c>
      <c r="J297" s="201">
        <v>3.6563622699999998</v>
      </c>
      <c r="K297" s="201">
        <v>1287.8599999999999</v>
      </c>
      <c r="L297" s="201">
        <v>1950</v>
      </c>
      <c r="M297" s="201">
        <v>1821.63</v>
      </c>
      <c r="N297" s="201">
        <v>942.92</v>
      </c>
      <c r="O297" s="201">
        <v>1176.9000000000001</v>
      </c>
      <c r="P297" s="201">
        <v>487.49</v>
      </c>
      <c r="Q297" s="201">
        <v>964.95</v>
      </c>
      <c r="R297" s="201">
        <v>441.29</v>
      </c>
      <c r="S297" s="201">
        <v>1029.01</v>
      </c>
      <c r="T297" s="201">
        <v>950.93</v>
      </c>
      <c r="U297" s="201" t="s">
        <v>313</v>
      </c>
      <c r="V297" s="201">
        <v>190.56700445999999</v>
      </c>
      <c r="W297" s="201" t="s">
        <v>313</v>
      </c>
      <c r="X297" s="201">
        <v>613</v>
      </c>
      <c r="Y297" s="201">
        <v>584</v>
      </c>
      <c r="Z297" s="201">
        <v>607.72</v>
      </c>
      <c r="AA297" s="201">
        <v>585.42999999999995</v>
      </c>
      <c r="AB297" s="201">
        <v>228.490511895</v>
      </c>
      <c r="AC297" s="201">
        <v>274.83</v>
      </c>
      <c r="AD297" s="201">
        <v>1.0835458177899999</v>
      </c>
      <c r="AE297" s="201">
        <v>1.6396861250000001</v>
      </c>
      <c r="AF297" s="201">
        <v>1.9219178071</v>
      </c>
      <c r="AG297" s="201">
        <v>5.7297919999999998</v>
      </c>
      <c r="AH297" s="201">
        <v>1.5280879999999999</v>
      </c>
      <c r="AI297" s="201" t="s">
        <v>314</v>
      </c>
      <c r="AJ297" s="201">
        <v>0.354938064</v>
      </c>
      <c r="AK297" s="201">
        <v>0.88118661399999998</v>
      </c>
      <c r="AL297" s="201">
        <v>0.47509561</v>
      </c>
      <c r="AM297" s="201">
        <v>5608.2416666666704</v>
      </c>
      <c r="AN297" s="201">
        <v>2.1988879880000001</v>
      </c>
      <c r="AO297" s="201">
        <v>152.5</v>
      </c>
      <c r="AP297" s="201">
        <v>617.5</v>
      </c>
      <c r="AQ297" s="201">
        <v>449</v>
      </c>
      <c r="AR297" s="201">
        <v>330</v>
      </c>
      <c r="AS297" s="201">
        <v>300.5</v>
      </c>
      <c r="AT297" s="201">
        <v>2226.16</v>
      </c>
      <c r="AU297" s="201">
        <v>8689.1299999999992</v>
      </c>
    </row>
    <row r="298" spans="1:47">
      <c r="A298" s="288" t="s">
        <v>6</v>
      </c>
      <c r="B298" s="201">
        <v>88.011333333330001</v>
      </c>
      <c r="C298" s="201">
        <v>90.054000000000002</v>
      </c>
      <c r="D298" s="201">
        <v>89.39</v>
      </c>
      <c r="E298" s="201">
        <v>84.59</v>
      </c>
      <c r="F298" s="201">
        <v>1.5967</v>
      </c>
      <c r="G298" s="201">
        <v>70.626847274689993</v>
      </c>
      <c r="H298" s="201">
        <v>9.7400300000000009</v>
      </c>
      <c r="I298" s="201">
        <v>5.274332888</v>
      </c>
      <c r="J298" s="201">
        <v>4.2335317860000004</v>
      </c>
      <c r="K298" s="201">
        <v>1425.23</v>
      </c>
      <c r="L298" s="201">
        <v>1850</v>
      </c>
      <c r="M298" s="201">
        <v>1820.32</v>
      </c>
      <c r="N298" s="201">
        <v>935.69</v>
      </c>
      <c r="O298" s="201">
        <v>1290.23</v>
      </c>
      <c r="P298" s="201">
        <v>477.3</v>
      </c>
      <c r="Q298" s="201">
        <v>958.56</v>
      </c>
      <c r="R298" s="201">
        <v>428.86</v>
      </c>
      <c r="S298" s="201">
        <v>1058.58</v>
      </c>
      <c r="T298" s="201">
        <v>971.27</v>
      </c>
      <c r="U298" s="201" t="s">
        <v>313</v>
      </c>
      <c r="V298" s="201">
        <v>191.65107888889</v>
      </c>
      <c r="W298" s="201" t="s">
        <v>313</v>
      </c>
      <c r="X298" s="201">
        <v>592</v>
      </c>
      <c r="Y298" s="201">
        <v>564</v>
      </c>
      <c r="Z298" s="201">
        <v>577.95000000000005</v>
      </c>
      <c r="AA298" s="201">
        <v>571.5</v>
      </c>
      <c r="AB298" s="201">
        <v>227.810754</v>
      </c>
      <c r="AC298" s="201">
        <v>272.3</v>
      </c>
      <c r="AD298" s="201">
        <v>1.0742903132199999</v>
      </c>
      <c r="AE298" s="201">
        <v>1.62590725</v>
      </c>
      <c r="AF298" s="201">
        <v>1.9518047848</v>
      </c>
      <c r="AG298" s="201">
        <v>6.0502799999999999</v>
      </c>
      <c r="AH298" s="201">
        <v>1.439838</v>
      </c>
      <c r="AI298" s="201" t="s">
        <v>314</v>
      </c>
      <c r="AJ298" s="201">
        <v>0.35043153599999999</v>
      </c>
      <c r="AK298" s="201">
        <v>0.87192720999999995</v>
      </c>
      <c r="AL298" s="201">
        <v>0.45106525200000003</v>
      </c>
      <c r="AM298" s="201">
        <v>5674.4916666666704</v>
      </c>
      <c r="AN298" s="201">
        <v>1.9885672400000001</v>
      </c>
      <c r="AO298" s="201">
        <v>152.5</v>
      </c>
      <c r="AP298" s="201">
        <v>545</v>
      </c>
      <c r="AQ298" s="201">
        <v>442.5</v>
      </c>
      <c r="AR298" s="201">
        <v>320</v>
      </c>
      <c r="AS298" s="201">
        <v>305</v>
      </c>
      <c r="AT298" s="201">
        <v>2506.1</v>
      </c>
      <c r="AU298" s="201">
        <v>9464.43</v>
      </c>
    </row>
    <row r="299" spans="1:47">
      <c r="A299" s="288" t="s">
        <v>7</v>
      </c>
      <c r="B299" s="201">
        <v>81.444999999999993</v>
      </c>
      <c r="C299" s="201">
        <v>81.995000000000005</v>
      </c>
      <c r="D299" s="201">
        <v>83.53</v>
      </c>
      <c r="E299" s="201">
        <v>78.81</v>
      </c>
      <c r="F299" s="201">
        <v>2.1314000000000002</v>
      </c>
      <c r="G299" s="201">
        <v>82.247449470830006</v>
      </c>
      <c r="H299" s="201">
        <v>7.53803</v>
      </c>
      <c r="I299" s="201">
        <v>5.0831923339999996</v>
      </c>
      <c r="J299" s="201">
        <v>4.0421707700000002</v>
      </c>
      <c r="K299" s="201">
        <v>1401.74</v>
      </c>
      <c r="L299" s="201">
        <v>1800</v>
      </c>
      <c r="M299" s="201">
        <v>1837.96</v>
      </c>
      <c r="N299" s="201">
        <v>859.15</v>
      </c>
      <c r="O299" s="201">
        <v>1196.0899999999999</v>
      </c>
      <c r="P299" s="201">
        <v>490.22</v>
      </c>
      <c r="Q299" s="201">
        <v>988</v>
      </c>
      <c r="R299" s="201">
        <v>478.8</v>
      </c>
      <c r="S299" s="201">
        <v>1104.1099999999999</v>
      </c>
      <c r="T299" s="201">
        <v>1005.73</v>
      </c>
      <c r="U299" s="201" t="s">
        <v>313</v>
      </c>
      <c r="V299" s="201">
        <v>197.79344374999999</v>
      </c>
      <c r="W299" s="201" t="s">
        <v>313</v>
      </c>
      <c r="X299" s="201">
        <v>628</v>
      </c>
      <c r="Y299" s="201">
        <v>593</v>
      </c>
      <c r="Z299" s="201">
        <v>606.47</v>
      </c>
      <c r="AA299" s="201">
        <v>567.97</v>
      </c>
      <c r="AB299" s="201">
        <v>253.1638863</v>
      </c>
      <c r="AC299" s="201">
        <v>289.42</v>
      </c>
      <c r="AD299" s="201">
        <v>1.07825696197</v>
      </c>
      <c r="AE299" s="201">
        <v>1.4219799</v>
      </c>
      <c r="AF299" s="201">
        <v>2.2392487438400002</v>
      </c>
      <c r="AG299" s="201">
        <v>5.8763092500000003</v>
      </c>
      <c r="AH299" s="201">
        <v>1.5147660000000001</v>
      </c>
      <c r="AI299" s="201" t="s">
        <v>314</v>
      </c>
      <c r="AJ299" s="201">
        <v>0.35291339199999999</v>
      </c>
      <c r="AK299" s="201">
        <v>0.83003943000000002</v>
      </c>
      <c r="AL299" s="201">
        <v>0.41777549000000003</v>
      </c>
      <c r="AM299" s="201">
        <v>5629.8666666666704</v>
      </c>
      <c r="AN299" s="201">
        <v>1.9069963000000001</v>
      </c>
      <c r="AO299" s="201">
        <v>152.5</v>
      </c>
      <c r="AP299" s="201">
        <v>522</v>
      </c>
      <c r="AQ299" s="201">
        <v>434.9</v>
      </c>
      <c r="AR299" s="201">
        <v>284.8</v>
      </c>
      <c r="AS299" s="201">
        <v>307</v>
      </c>
      <c r="AT299" s="201">
        <v>2564.54</v>
      </c>
      <c r="AU299" s="201">
        <v>10139.33</v>
      </c>
    </row>
    <row r="300" spans="1:47">
      <c r="A300" s="288" t="s">
        <v>8</v>
      </c>
      <c r="B300" s="201">
        <v>81.204999999999998</v>
      </c>
      <c r="C300" s="201">
        <v>82.555000000000007</v>
      </c>
      <c r="D300" s="201">
        <v>82.17</v>
      </c>
      <c r="E300" s="201">
        <v>78.89</v>
      </c>
      <c r="F300" s="201">
        <v>2.5123000000000002</v>
      </c>
      <c r="G300" s="201">
        <v>90.397278223409998</v>
      </c>
      <c r="H300" s="201">
        <v>8.2716899999999995</v>
      </c>
      <c r="I300" s="201">
        <v>5.4760556180000002</v>
      </c>
      <c r="J300" s="201">
        <v>4.5042591219999997</v>
      </c>
      <c r="K300" s="201">
        <v>1397.89</v>
      </c>
      <c r="L300" s="201">
        <v>1812.5</v>
      </c>
      <c r="M300" s="201">
        <v>1809.62</v>
      </c>
      <c r="N300" s="201">
        <v>873.67</v>
      </c>
      <c r="O300" s="201">
        <v>1155.53</v>
      </c>
      <c r="P300" s="201">
        <v>479.72</v>
      </c>
      <c r="Q300" s="201">
        <v>1010.68</v>
      </c>
      <c r="R300" s="201">
        <v>480.7</v>
      </c>
      <c r="S300" s="201">
        <v>1099.1199999999999</v>
      </c>
      <c r="T300" s="201">
        <v>1043.05</v>
      </c>
      <c r="U300" s="201" t="s">
        <v>313</v>
      </c>
      <c r="V300" s="201">
        <v>192.506708</v>
      </c>
      <c r="W300" s="201" t="s">
        <v>313</v>
      </c>
      <c r="X300" s="201">
        <v>632</v>
      </c>
      <c r="Y300" s="201">
        <v>595</v>
      </c>
      <c r="Z300" s="201">
        <v>613.29999999999995</v>
      </c>
      <c r="AA300" s="201">
        <v>561.63</v>
      </c>
      <c r="AB300" s="201">
        <v>230.606947287</v>
      </c>
      <c r="AC300" s="201">
        <v>265.55</v>
      </c>
      <c r="AD300" s="201">
        <v>1.06454165581</v>
      </c>
      <c r="AE300" s="201">
        <v>1.088531125</v>
      </c>
      <c r="AF300" s="201">
        <v>2.2644278613500002</v>
      </c>
      <c r="AG300" s="201">
        <v>5.8516947999999998</v>
      </c>
      <c r="AH300" s="201">
        <v>1.400868</v>
      </c>
      <c r="AI300" s="201" t="s">
        <v>314</v>
      </c>
      <c r="AJ300" s="201">
        <v>0.35137856000000001</v>
      </c>
      <c r="AK300" s="201">
        <v>0.82849619600000002</v>
      </c>
      <c r="AL300" s="201">
        <v>0.42527119800000002</v>
      </c>
      <c r="AM300" s="201">
        <v>5754.6083333333299</v>
      </c>
      <c r="AN300" s="201">
        <v>1.833802916</v>
      </c>
      <c r="AO300" s="201">
        <v>152.5</v>
      </c>
      <c r="AP300" s="201">
        <v>543</v>
      </c>
      <c r="AQ300" s="201">
        <v>473.75</v>
      </c>
      <c r="AR300" s="201">
        <v>336.25</v>
      </c>
      <c r="AS300" s="201">
        <v>310</v>
      </c>
      <c r="AT300" s="201">
        <v>2497.61</v>
      </c>
      <c r="AU300" s="201">
        <v>9648.17</v>
      </c>
    </row>
    <row r="301" spans="1:47">
      <c r="A301" s="288" t="s">
        <v>9</v>
      </c>
      <c r="B301" s="201">
        <v>83.258666666669995</v>
      </c>
      <c r="C301" s="201">
        <v>85.296000000000006</v>
      </c>
      <c r="D301" s="201">
        <v>83.94</v>
      </c>
      <c r="E301" s="201">
        <v>80.540000000000006</v>
      </c>
      <c r="F301" s="201">
        <v>2.0750999999999999</v>
      </c>
      <c r="G301" s="201">
        <v>82.849761136149993</v>
      </c>
      <c r="H301" s="201">
        <v>7.0891700000000002</v>
      </c>
      <c r="I301" s="201">
        <v>5.6680780200000003</v>
      </c>
      <c r="J301" s="201">
        <v>4.7337600640000002</v>
      </c>
      <c r="K301" s="201">
        <v>1474.35</v>
      </c>
      <c r="L301" s="201">
        <v>1840</v>
      </c>
      <c r="M301" s="201">
        <v>1850.74</v>
      </c>
      <c r="N301" s="201">
        <v>896.09</v>
      </c>
      <c r="O301" s="201">
        <v>1365</v>
      </c>
      <c r="P301" s="201">
        <v>469.63</v>
      </c>
      <c r="Q301" s="201">
        <v>1079.02</v>
      </c>
      <c r="R301" s="201">
        <v>472.46</v>
      </c>
      <c r="S301" s="201">
        <v>1118.33</v>
      </c>
      <c r="T301" s="201">
        <v>1068.51</v>
      </c>
      <c r="U301" s="201" t="s">
        <v>313</v>
      </c>
      <c r="V301" s="201">
        <v>177.42921392</v>
      </c>
      <c r="W301" s="201" t="s">
        <v>313</v>
      </c>
      <c r="X301" s="201">
        <v>590</v>
      </c>
      <c r="Y301" s="201">
        <v>557</v>
      </c>
      <c r="Z301" s="201">
        <v>570.87</v>
      </c>
      <c r="AA301" s="201">
        <v>552.42999999999995</v>
      </c>
      <c r="AB301" s="201">
        <v>218.837949786</v>
      </c>
      <c r="AC301" s="201">
        <v>260.26</v>
      </c>
      <c r="AD301" s="201">
        <v>1.0793915972100001</v>
      </c>
      <c r="AE301" s="201">
        <v>1.0265261875</v>
      </c>
      <c r="AF301" s="201">
        <v>2.30172046185</v>
      </c>
      <c r="AG301" s="201">
        <v>6.1882875000000004</v>
      </c>
      <c r="AH301" s="201">
        <v>1.3349599999999999</v>
      </c>
      <c r="AI301" s="201" t="s">
        <v>314</v>
      </c>
      <c r="AJ301" s="201">
        <v>0.35415432000000002</v>
      </c>
      <c r="AK301" s="201">
        <v>0.83466913200000004</v>
      </c>
      <c r="AL301" s="201">
        <v>0.425932584</v>
      </c>
      <c r="AM301" s="201">
        <v>6015.5333333333301</v>
      </c>
      <c r="AN301" s="201">
        <v>1.792796984</v>
      </c>
      <c r="AO301" s="201">
        <v>152.5</v>
      </c>
      <c r="AP301" s="201">
        <v>539.4</v>
      </c>
      <c r="AQ301" s="201">
        <v>505.75</v>
      </c>
      <c r="AR301" s="201">
        <v>342.5</v>
      </c>
      <c r="AS301" s="201">
        <v>300.63</v>
      </c>
      <c r="AT301" s="201">
        <v>2349.13</v>
      </c>
      <c r="AU301" s="201">
        <v>9385.31</v>
      </c>
    </row>
    <row r="302" spans="1:47">
      <c r="A302" s="288" t="s">
        <v>10</v>
      </c>
      <c r="B302" s="201">
        <v>78.120999999999995</v>
      </c>
      <c r="C302" s="201">
        <v>80.863</v>
      </c>
      <c r="D302" s="201">
        <v>77.95</v>
      </c>
      <c r="E302" s="201">
        <v>75.55</v>
      </c>
      <c r="F302" s="201">
        <v>1.9903</v>
      </c>
      <c r="G302" s="201">
        <v>92.021428441379996</v>
      </c>
      <c r="H302" s="201">
        <v>6.8780999999999999</v>
      </c>
      <c r="I302" s="201">
        <v>5.7637585280000003</v>
      </c>
      <c r="J302" s="201">
        <v>4.7328782159999996</v>
      </c>
      <c r="K302" s="201">
        <v>1618.64</v>
      </c>
      <c r="L302" s="201">
        <v>1687.5</v>
      </c>
      <c r="M302" s="201">
        <v>1757.94</v>
      </c>
      <c r="N302" s="201">
        <v>932.63</v>
      </c>
      <c r="O302" s="201">
        <v>1480</v>
      </c>
      <c r="P302" s="201">
        <v>400.13</v>
      </c>
      <c r="Q302" s="201">
        <v>1031.3800000000001</v>
      </c>
      <c r="R302" s="201">
        <v>436.03</v>
      </c>
      <c r="S302" s="201">
        <v>1080.0899999999999</v>
      </c>
      <c r="T302" s="201">
        <v>1048.56</v>
      </c>
      <c r="U302" s="201" t="s">
        <v>313</v>
      </c>
      <c r="V302" s="201">
        <v>170.32475727273001</v>
      </c>
      <c r="W302" s="201" t="s">
        <v>313</v>
      </c>
      <c r="X302" s="201">
        <v>589</v>
      </c>
      <c r="Y302" s="201">
        <v>560</v>
      </c>
      <c r="Z302" s="201">
        <v>566.70000000000005</v>
      </c>
      <c r="AA302" s="201">
        <v>535.25</v>
      </c>
      <c r="AB302" s="201">
        <v>205.76822636700001</v>
      </c>
      <c r="AC302" s="201">
        <v>250.85</v>
      </c>
      <c r="AD302" s="201">
        <v>1.0698740046499999</v>
      </c>
      <c r="AE302" s="201">
        <v>1.0141252000000001</v>
      </c>
      <c r="AF302" s="201">
        <v>2.40598105133</v>
      </c>
      <c r="AG302" s="201">
        <v>6.3351727999999996</v>
      </c>
      <c r="AH302" s="201">
        <v>1.383168</v>
      </c>
      <c r="AI302" s="201" t="s">
        <v>314</v>
      </c>
      <c r="AJ302" s="201">
        <v>0.35957521599999998</v>
      </c>
      <c r="AK302" s="201">
        <v>0.78550610600000004</v>
      </c>
      <c r="AL302" s="201">
        <v>0.40565008000000002</v>
      </c>
      <c r="AM302" s="201">
        <v>5998.6</v>
      </c>
      <c r="AN302" s="201">
        <v>1.7612709179999999</v>
      </c>
      <c r="AO302" s="201">
        <v>152.5</v>
      </c>
      <c r="AP302" s="201">
        <v>546</v>
      </c>
      <c r="AQ302" s="201">
        <v>507.2</v>
      </c>
      <c r="AR302" s="201">
        <v>342.5</v>
      </c>
      <c r="AS302" s="201">
        <v>294</v>
      </c>
      <c r="AT302" s="201">
        <v>2343.67</v>
      </c>
      <c r="AU302" s="201">
        <v>8971.9599999999991</v>
      </c>
    </row>
    <row r="303" spans="1:47">
      <c r="A303" s="288" t="s">
        <v>11</v>
      </c>
      <c r="B303" s="201">
        <v>72.424333333329997</v>
      </c>
      <c r="C303" s="201">
        <v>74.293000000000006</v>
      </c>
      <c r="D303" s="201">
        <v>73.430000000000007</v>
      </c>
      <c r="E303" s="201">
        <v>69.55</v>
      </c>
      <c r="F303" s="201">
        <v>2.2507999999999999</v>
      </c>
      <c r="G303" s="201">
        <v>92.14092086318</v>
      </c>
      <c r="H303" s="201">
        <v>6.5237600000000002</v>
      </c>
      <c r="I303" s="201">
        <v>6.1246548220000001</v>
      </c>
      <c r="J303" s="201">
        <v>5.330330236</v>
      </c>
      <c r="K303" s="201">
        <v>1735.75</v>
      </c>
      <c r="L303" s="201">
        <v>1525</v>
      </c>
      <c r="M303" s="201">
        <v>1770.68</v>
      </c>
      <c r="N303" s="201">
        <v>982.83</v>
      </c>
      <c r="O303" s="201">
        <v>1515</v>
      </c>
      <c r="P303" s="201">
        <v>391.31</v>
      </c>
      <c r="Q303" s="201">
        <v>1043.81</v>
      </c>
      <c r="R303" s="201">
        <v>435.74</v>
      </c>
      <c r="S303" s="201">
        <v>1082.78</v>
      </c>
      <c r="T303" s="201">
        <v>1068</v>
      </c>
      <c r="U303" s="201" t="s">
        <v>313</v>
      </c>
      <c r="V303" s="201">
        <v>184.96715420690001</v>
      </c>
      <c r="W303" s="201" t="s">
        <v>313</v>
      </c>
      <c r="X303" s="201">
        <v>580</v>
      </c>
      <c r="Y303" s="201">
        <v>556</v>
      </c>
      <c r="Z303" s="201">
        <v>564.25</v>
      </c>
      <c r="AA303" s="201">
        <v>540.46</v>
      </c>
      <c r="AB303" s="201">
        <v>219.20538648600001</v>
      </c>
      <c r="AC303" s="201">
        <v>269.69</v>
      </c>
      <c r="AD303" s="201">
        <v>1.0659262605099999</v>
      </c>
      <c r="AE303" s="201">
        <v>1.0334156249999999</v>
      </c>
      <c r="AF303" s="201">
        <v>2.5466878844299998</v>
      </c>
      <c r="AG303" s="201">
        <v>6.2960425000000004</v>
      </c>
      <c r="AH303" s="201">
        <v>1.453025</v>
      </c>
      <c r="AI303" s="201" t="s">
        <v>314</v>
      </c>
      <c r="AJ303" s="201">
        <v>0.36271019199999999</v>
      </c>
      <c r="AK303" s="201">
        <v>0.80071798400000005</v>
      </c>
      <c r="AL303" s="201">
        <v>0.44797878400000002</v>
      </c>
      <c r="AM303" s="201">
        <v>6078.9250000000002</v>
      </c>
      <c r="AN303" s="201">
        <v>1.818370576</v>
      </c>
      <c r="AO303" s="201">
        <v>152.5</v>
      </c>
      <c r="AP303" s="201">
        <v>554.75</v>
      </c>
      <c r="AQ303" s="201">
        <v>504.38</v>
      </c>
      <c r="AR303" s="201">
        <v>337.5</v>
      </c>
      <c r="AS303" s="201">
        <v>286.88</v>
      </c>
      <c r="AT303" s="201">
        <v>2449.92</v>
      </c>
      <c r="AU303" s="201">
        <v>9237.48</v>
      </c>
    </row>
    <row r="304" spans="1:47">
      <c r="A304" s="288" t="s">
        <v>12</v>
      </c>
      <c r="B304" s="201">
        <v>73.970666666669999</v>
      </c>
      <c r="C304" s="201">
        <v>75.662000000000006</v>
      </c>
      <c r="D304" s="201">
        <v>74.650000000000006</v>
      </c>
      <c r="E304" s="201">
        <v>71.599999999999994</v>
      </c>
      <c r="F304" s="201">
        <v>2.2077</v>
      </c>
      <c r="G304" s="201">
        <v>96.727319801289994</v>
      </c>
      <c r="H304" s="201">
        <v>6.6574400000000002</v>
      </c>
      <c r="I304" s="201">
        <v>6.1017267740000003</v>
      </c>
      <c r="J304" s="201">
        <v>4.8922722419999998</v>
      </c>
      <c r="K304" s="201">
        <v>1728.38</v>
      </c>
      <c r="L304" s="201">
        <v>1575</v>
      </c>
      <c r="M304" s="201">
        <v>1750.37</v>
      </c>
      <c r="N304" s="201">
        <v>1077.25</v>
      </c>
      <c r="O304" s="201">
        <v>1636.19</v>
      </c>
      <c r="P304" s="201">
        <v>442.1</v>
      </c>
      <c r="Q304" s="201">
        <v>1094.8900000000001</v>
      </c>
      <c r="R304" s="201">
        <v>421.63</v>
      </c>
      <c r="S304" s="201">
        <v>1142.1400000000001</v>
      </c>
      <c r="T304" s="201">
        <v>1205.71</v>
      </c>
      <c r="U304" s="201" t="s">
        <v>313</v>
      </c>
      <c r="V304" s="201">
        <v>190.33572173913001</v>
      </c>
      <c r="W304" s="201" t="s">
        <v>313</v>
      </c>
      <c r="X304" s="201">
        <v>515</v>
      </c>
      <c r="Y304" s="201">
        <v>499</v>
      </c>
      <c r="Z304" s="201">
        <v>504.81</v>
      </c>
      <c r="AA304" s="201">
        <v>529.84</v>
      </c>
      <c r="AB304" s="201">
        <v>233.34067633500001</v>
      </c>
      <c r="AC304" s="201">
        <v>272.85000000000002</v>
      </c>
      <c r="AD304" s="201">
        <v>1.0498333956899999</v>
      </c>
      <c r="AE304" s="201">
        <v>1.0334156249999999</v>
      </c>
      <c r="AF304" s="201">
        <v>2.6022300553900002</v>
      </c>
      <c r="AG304" s="201">
        <v>6.0597659999999998</v>
      </c>
      <c r="AH304" s="201">
        <v>1.4801280000000001</v>
      </c>
      <c r="AI304" s="201" t="s">
        <v>314</v>
      </c>
      <c r="AJ304" s="201">
        <v>0.35614633600000001</v>
      </c>
      <c r="AK304" s="201">
        <v>0.83621236600000004</v>
      </c>
      <c r="AL304" s="201">
        <v>0.46164742800000003</v>
      </c>
      <c r="AM304" s="201">
        <v>6166.2583333333296</v>
      </c>
      <c r="AN304" s="201">
        <v>1.843723706</v>
      </c>
      <c r="AO304" s="201">
        <v>152.5</v>
      </c>
      <c r="AP304" s="201">
        <v>573.44000000000005</v>
      </c>
      <c r="AQ304" s="201">
        <v>503.75</v>
      </c>
      <c r="AR304" s="201">
        <v>374.75</v>
      </c>
      <c r="AS304" s="201">
        <v>278.13</v>
      </c>
      <c r="AT304" s="201">
        <v>2595.58</v>
      </c>
      <c r="AU304" s="201">
        <v>9533.99</v>
      </c>
    </row>
    <row r="305" spans="1:47">
      <c r="A305" s="288" t="s">
        <v>13</v>
      </c>
      <c r="B305" s="201">
        <v>72.291666666669997</v>
      </c>
      <c r="C305" s="201">
        <v>74.394999999999996</v>
      </c>
      <c r="D305" s="201">
        <v>72.790000000000006</v>
      </c>
      <c r="E305" s="201">
        <v>69.69</v>
      </c>
      <c r="F305" s="201">
        <v>2.1044999999999998</v>
      </c>
      <c r="G305" s="201">
        <v>100.44877640894001</v>
      </c>
      <c r="H305" s="201">
        <v>7.8948099999999997</v>
      </c>
      <c r="I305" s="201">
        <v>6.7236500760000002</v>
      </c>
      <c r="J305" s="201">
        <v>4.9848662819999996</v>
      </c>
      <c r="K305" s="201">
        <v>1878.6739130434801</v>
      </c>
      <c r="L305" s="201">
        <v>1700</v>
      </c>
      <c r="M305" s="201">
        <v>1733.86</v>
      </c>
      <c r="N305" s="201">
        <v>1168.58791</v>
      </c>
      <c r="O305" s="201">
        <v>2015.3135400000001</v>
      </c>
      <c r="P305" s="201">
        <v>435.64075000000003</v>
      </c>
      <c r="Q305" s="201">
        <v>1145.17057</v>
      </c>
      <c r="R305" s="201">
        <v>384.87774999999999</v>
      </c>
      <c r="S305" s="201">
        <v>1242.9170588235299</v>
      </c>
      <c r="T305" s="201">
        <v>1267</v>
      </c>
      <c r="U305" s="201" t="s">
        <v>313</v>
      </c>
      <c r="V305" s="201">
        <v>201.33106000000001</v>
      </c>
      <c r="W305" s="201" t="s">
        <v>313</v>
      </c>
      <c r="X305" s="201">
        <v>511</v>
      </c>
      <c r="Y305" s="201">
        <v>487</v>
      </c>
      <c r="Z305" s="201">
        <v>489.6</v>
      </c>
      <c r="AA305" s="201">
        <v>509.69</v>
      </c>
      <c r="AB305" s="201">
        <v>229.02329510999999</v>
      </c>
      <c r="AC305" s="201">
        <v>253.75</v>
      </c>
      <c r="AD305" s="201">
        <v>1.0399699878199999</v>
      </c>
      <c r="AE305" s="201">
        <v>0.90940575000000001</v>
      </c>
      <c r="AF305" s="201">
        <v>2.5655193252499999</v>
      </c>
      <c r="AG305" s="201">
        <v>6.1830420000000004</v>
      </c>
      <c r="AH305" s="201">
        <v>1.5196860000000001</v>
      </c>
      <c r="AI305" s="201" t="s">
        <v>314</v>
      </c>
      <c r="AJ305" s="201">
        <v>0.347067968</v>
      </c>
      <c r="AK305" s="201">
        <v>0.84128299200000001</v>
      </c>
      <c r="AL305" s="201">
        <v>0.45040386599999999</v>
      </c>
      <c r="AM305" s="201">
        <v>6338.6333333333296</v>
      </c>
      <c r="AN305" s="201">
        <v>1.797206224</v>
      </c>
      <c r="AO305" s="201">
        <v>152.5</v>
      </c>
      <c r="AP305" s="201">
        <v>574.5</v>
      </c>
      <c r="AQ305" s="201">
        <v>491</v>
      </c>
      <c r="AR305" s="201">
        <v>352.3</v>
      </c>
      <c r="AS305" s="201">
        <v>281</v>
      </c>
      <c r="AT305" s="201">
        <v>2582.19</v>
      </c>
      <c r="AU305" s="201">
        <v>9075.73</v>
      </c>
    </row>
    <row r="306" spans="1:47">
      <c r="A306" s="288" t="s">
        <v>14</v>
      </c>
      <c r="B306" s="201">
        <v>72.311000000000007</v>
      </c>
      <c r="C306" s="201">
        <v>73.832999999999998</v>
      </c>
      <c r="D306" s="201">
        <v>73.31</v>
      </c>
      <c r="E306" s="201">
        <v>69.790000000000006</v>
      </c>
      <c r="F306" s="201">
        <v>3.0228999999999999</v>
      </c>
      <c r="G306" s="201">
        <v>111.2270203769</v>
      </c>
      <c r="H306" s="201">
        <v>10.320510000000001</v>
      </c>
      <c r="I306" s="201">
        <v>7.5693423080000004</v>
      </c>
      <c r="J306" s="201">
        <v>5.218996926</v>
      </c>
      <c r="K306" s="201">
        <v>1973.24251841871</v>
      </c>
      <c r="L306" s="201">
        <v>1700</v>
      </c>
      <c r="M306" s="201">
        <v>1687.54438377867</v>
      </c>
      <c r="N306" s="201">
        <v>1189.73</v>
      </c>
      <c r="O306" s="201">
        <v>2098.8462154650001</v>
      </c>
      <c r="P306" s="201">
        <v>409.26716703135997</v>
      </c>
      <c r="Q306" s="201">
        <v>1063.6310060149301</v>
      </c>
      <c r="R306" s="201">
        <v>376.39279078483003</v>
      </c>
      <c r="S306" s="201">
        <v>1180.8221033868101</v>
      </c>
      <c r="T306" s="201">
        <v>1222.5</v>
      </c>
      <c r="U306" s="201" t="s">
        <v>313</v>
      </c>
      <c r="V306" s="201">
        <v>202.59756999999999</v>
      </c>
      <c r="W306" s="201" t="s">
        <v>313</v>
      </c>
      <c r="X306" s="201">
        <v>527</v>
      </c>
      <c r="Y306" s="201">
        <v>500</v>
      </c>
      <c r="Z306" s="201">
        <v>501.94</v>
      </c>
      <c r="AA306" s="201">
        <v>495.67</v>
      </c>
      <c r="AB306" s="201">
        <v>230.27625425700001</v>
      </c>
      <c r="AC306" s="201">
        <v>252.17</v>
      </c>
      <c r="AD306" s="201">
        <v>1.03719386142</v>
      </c>
      <c r="AE306" s="201">
        <v>0.82673249999999998</v>
      </c>
      <c r="AF306" s="201">
        <v>2.6966517460200001</v>
      </c>
      <c r="AG306" s="201">
        <v>6.2332504999999996</v>
      </c>
      <c r="AH306" s="201">
        <v>1.4176420000000001</v>
      </c>
      <c r="AI306" s="201" t="s">
        <v>314</v>
      </c>
      <c r="AJ306" s="201">
        <v>0.34194097600000001</v>
      </c>
      <c r="AK306" s="201">
        <v>0.80843415399999996</v>
      </c>
      <c r="AL306" s="201">
        <v>0.43629429800000002</v>
      </c>
      <c r="AM306" s="201">
        <v>6458.25</v>
      </c>
      <c r="AN306" s="201">
        <v>1.762373228</v>
      </c>
      <c r="AO306" s="201">
        <v>152.5</v>
      </c>
      <c r="AP306" s="201">
        <v>568.33000000000004</v>
      </c>
      <c r="AQ306" s="201">
        <v>477.5</v>
      </c>
      <c r="AR306" s="201">
        <v>352</v>
      </c>
      <c r="AS306" s="201">
        <v>292.5</v>
      </c>
      <c r="AT306" s="201">
        <v>2541.02</v>
      </c>
      <c r="AU306" s="201">
        <v>8916.32</v>
      </c>
    </row>
    <row r="307" spans="1:47" s="291" customFormat="1" ht="15">
      <c r="A307" s="198" t="s">
        <v>1</v>
      </c>
      <c r="B307" s="241">
        <v>78.733722222222511</v>
      </c>
      <c r="C307" s="241">
        <v>80.698666666666668</v>
      </c>
      <c r="D307" s="241">
        <v>79.658333333333346</v>
      </c>
      <c r="E307" s="241">
        <v>75.844166666666652</v>
      </c>
      <c r="F307" s="241">
        <v>2.1911083333333328</v>
      </c>
      <c r="G307" s="241">
        <v>87.430581738210023</v>
      </c>
      <c r="H307" s="241">
        <v>7.3296458333333341</v>
      </c>
      <c r="I307" s="241">
        <v>5.6221484366666665</v>
      </c>
      <c r="J307" s="241">
        <v>4.4142922541666669</v>
      </c>
      <c r="K307" s="241">
        <v>1518.6588692885155</v>
      </c>
      <c r="L307" s="241">
        <v>1793.4166666666667</v>
      </c>
      <c r="M307" s="241">
        <v>1795.5153653148891</v>
      </c>
      <c r="N307" s="241">
        <v>963.36482583333338</v>
      </c>
      <c r="O307" s="241">
        <v>1411.7308129554167</v>
      </c>
      <c r="P307" s="241">
        <v>462.49482641928012</v>
      </c>
      <c r="Q307" s="241">
        <v>1021.9542980012443</v>
      </c>
      <c r="R307" s="241">
        <v>442.29171173206913</v>
      </c>
      <c r="S307" s="241">
        <v>1089.3890968508615</v>
      </c>
      <c r="T307" s="241">
        <v>1059.9750000000001</v>
      </c>
      <c r="U307" s="241" t="s">
        <v>313</v>
      </c>
      <c r="V307" s="241">
        <v>190.60477617364998</v>
      </c>
      <c r="W307" s="241" t="s">
        <v>313</v>
      </c>
      <c r="X307" s="241">
        <v>588.41666666666663</v>
      </c>
      <c r="Y307" s="241">
        <v>559.08333333333337</v>
      </c>
      <c r="Z307" s="241">
        <v>572.6975000000001</v>
      </c>
      <c r="AA307" s="241">
        <v>557.46999999999991</v>
      </c>
      <c r="AB307" s="241">
        <v>230.87885044499998</v>
      </c>
      <c r="AC307" s="241">
        <v>268.67333333333335</v>
      </c>
      <c r="AD307" s="241">
        <v>1.0664279585366667</v>
      </c>
      <c r="AE307" s="241">
        <v>1.2332667244791666</v>
      </c>
      <c r="AF307" s="241">
        <v>2.2598478362958332</v>
      </c>
      <c r="AG307" s="241">
        <v>5.9312988625000003</v>
      </c>
      <c r="AH307" s="241">
        <v>1.4628024166666667</v>
      </c>
      <c r="AI307" s="241" t="s">
        <v>314</v>
      </c>
      <c r="AJ307" s="241">
        <v>0.35331887066666673</v>
      </c>
      <c r="AK307" s="241">
        <v>0.84308343166666677</v>
      </c>
      <c r="AL307" s="241">
        <v>0.44860342633333333</v>
      </c>
      <c r="AM307" s="241">
        <v>5899.3506944444453</v>
      </c>
      <c r="AN307" s="241">
        <v>1.9108360131666666</v>
      </c>
      <c r="AO307" s="241">
        <v>152.5</v>
      </c>
      <c r="AP307" s="241">
        <v>563.66499999999996</v>
      </c>
      <c r="AQ307" s="241">
        <v>474.56166666666667</v>
      </c>
      <c r="AR307" s="241">
        <v>338.26916666666671</v>
      </c>
      <c r="AS307" s="241">
        <v>295.10583333333335</v>
      </c>
      <c r="AT307" s="241">
        <v>2419.0166666666669</v>
      </c>
      <c r="AU307" s="241">
        <v>9142.14</v>
      </c>
    </row>
    <row r="308" spans="1:47" s="291" customFormat="1" ht="15">
      <c r="A308" s="198" t="s">
        <v>172</v>
      </c>
      <c r="B308" s="241">
        <v>-2.5038138005376687</v>
      </c>
      <c r="C308" s="241">
        <v>-2.3210728317169194</v>
      </c>
      <c r="D308" s="241">
        <v>-2.8339669438288917</v>
      </c>
      <c r="E308" s="241">
        <v>-2.3497097732905758</v>
      </c>
      <c r="F308" s="241">
        <v>-13.661394181987752</v>
      </c>
      <c r="G308" s="241">
        <v>-15.037981816066603</v>
      </c>
      <c r="H308" s="241">
        <v>123.41940154440154</v>
      </c>
      <c r="I308" s="241">
        <v>23.834574295888622</v>
      </c>
      <c r="J308" s="241">
        <v>68.046803421433609</v>
      </c>
      <c r="K308" s="241">
        <v>41.246284991747075</v>
      </c>
      <c r="L308" s="241">
        <v>-5.2034792935168106</v>
      </c>
      <c r="M308" s="241">
        <v>-11.753325978365414</v>
      </c>
      <c r="N308" s="241">
        <v>8.676316012123241</v>
      </c>
      <c r="O308" s="241">
        <v>42.5279280246897</v>
      </c>
      <c r="P308" s="241">
        <v>-22.646577079278241</v>
      </c>
      <c r="Q308" s="241">
        <v>-8.6318484399893975</v>
      </c>
      <c r="R308" s="241">
        <v>-18.309573350764254</v>
      </c>
      <c r="S308" s="241">
        <v>2.2765312115247793</v>
      </c>
      <c r="T308" s="241">
        <v>5.2921304692977733</v>
      </c>
      <c r="U308" s="241" t="s">
        <v>267</v>
      </c>
      <c r="V308" s="241">
        <v>-24.559355226749137</v>
      </c>
      <c r="W308" s="241" t="s">
        <v>267</v>
      </c>
      <c r="X308" s="241">
        <v>6.2763395544852552</v>
      </c>
      <c r="Y308" s="241">
        <v>4.9100860046911832</v>
      </c>
      <c r="Z308" s="241">
        <v>6.8125053426691062</v>
      </c>
      <c r="AA308" s="241">
        <v>6.4519054961737154</v>
      </c>
      <c r="AB308" s="241">
        <v>-10.422431166205525</v>
      </c>
      <c r="AC308" s="241">
        <v>-21.078244181378448</v>
      </c>
      <c r="AD308" s="241">
        <v>-2.1624057110754213</v>
      </c>
      <c r="AE308" s="241">
        <v>-22.755223129202772</v>
      </c>
      <c r="AF308" s="241">
        <v>43.561991385934171</v>
      </c>
      <c r="AG308" s="241">
        <v>20.974024980462392</v>
      </c>
      <c r="AH308" s="241">
        <v>-4.5964566025087912</v>
      </c>
      <c r="AI308" s="241" t="s">
        <v>314</v>
      </c>
      <c r="AJ308" s="241">
        <v>1.6177240933035186E-2</v>
      </c>
      <c r="AK308" s="241">
        <v>-5.7932337001149525</v>
      </c>
      <c r="AL308" s="241">
        <v>-13.140295959021053</v>
      </c>
      <c r="AM308" s="241">
        <v>17.617906029619522</v>
      </c>
      <c r="AN308" s="241">
        <v>-8.789637996351928</v>
      </c>
      <c r="AO308" s="241">
        <v>-52.589556984384942</v>
      </c>
      <c r="AP308" s="241">
        <v>2.4755400283005491</v>
      </c>
      <c r="AQ308" s="241">
        <v>-1.1784508863109888</v>
      </c>
      <c r="AR308" s="241">
        <v>-5.5118458480174715</v>
      </c>
      <c r="AS308" s="241">
        <v>-22.993269763952462</v>
      </c>
      <c r="AT308" s="241">
        <v>7.2383147135436365</v>
      </c>
      <c r="AU308" s="241">
        <v>7.6775834828587186</v>
      </c>
    </row>
    <row r="309" spans="1:47" s="291" customFormat="1" ht="15">
      <c r="A309" s="198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  <c r="AP309" s="241"/>
      <c r="AQ309" s="241"/>
      <c r="AR309" s="241"/>
      <c r="AS309" s="241"/>
      <c r="AT309" s="241"/>
      <c r="AU309" s="241"/>
    </row>
    <row r="310" spans="1:47" s="291" customFormat="1" ht="15">
      <c r="A310" s="292">
        <v>2025</v>
      </c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  <c r="AP310" s="241"/>
      <c r="AQ310" s="241"/>
      <c r="AR310" s="241"/>
      <c r="AS310" s="241"/>
      <c r="AT310" s="241"/>
      <c r="AU310" s="241"/>
    </row>
    <row r="311" spans="1:47" s="291" customFormat="1" ht="15">
      <c r="A311" s="288" t="s">
        <v>3</v>
      </c>
      <c r="B311" s="201">
        <v>78.162000000000006</v>
      </c>
      <c r="C311" s="201">
        <v>79.206000000000003</v>
      </c>
      <c r="D311" s="201">
        <v>80.14</v>
      </c>
      <c r="E311" s="201">
        <v>75.14</v>
      </c>
      <c r="F311" s="201">
        <v>4.0991</v>
      </c>
      <c r="G311" s="201">
        <v>128.42508058688</v>
      </c>
      <c r="H311" s="201">
        <v>10.74511</v>
      </c>
      <c r="I311" s="201">
        <v>7.8147165139999997</v>
      </c>
      <c r="J311" s="201">
        <v>5.4077123980000001</v>
      </c>
      <c r="K311" s="201">
        <v>1978.4</v>
      </c>
      <c r="L311" s="201">
        <v>1687.5</v>
      </c>
      <c r="M311" s="201">
        <v>1660.81</v>
      </c>
      <c r="N311" s="201">
        <v>1070.31</v>
      </c>
      <c r="O311" s="201">
        <v>1961.53</v>
      </c>
      <c r="P311" s="201">
        <v>410.82956521738998</v>
      </c>
      <c r="Q311" s="201">
        <v>1047.6199999999999</v>
      </c>
      <c r="R311" s="201">
        <v>368</v>
      </c>
      <c r="S311" s="201">
        <v>1149.1290426032699</v>
      </c>
      <c r="T311" s="201">
        <v>1207</v>
      </c>
      <c r="U311" s="201" t="s">
        <v>313</v>
      </c>
      <c r="V311" s="201">
        <v>214.43704863636</v>
      </c>
      <c r="W311" s="201" t="s">
        <v>313</v>
      </c>
      <c r="X311" s="201">
        <v>478</v>
      </c>
      <c r="Y311" s="201">
        <v>459</v>
      </c>
      <c r="Z311" s="201">
        <v>464.17</v>
      </c>
      <c r="AA311" s="201">
        <v>447.27</v>
      </c>
      <c r="AB311" s="201">
        <v>230.57755235100001</v>
      </c>
      <c r="AC311" s="201">
        <v>254.09</v>
      </c>
      <c r="AD311" s="201">
        <v>1.01546621523</v>
      </c>
      <c r="AE311" s="201">
        <v>1.1078215499999999</v>
      </c>
      <c r="AF311" s="201">
        <v>2.5695395204799998</v>
      </c>
      <c r="AG311" s="201">
        <v>6.4641279999999997</v>
      </c>
      <c r="AH311" s="201">
        <v>1.5449269999999999</v>
      </c>
      <c r="AI311" s="201" t="s">
        <v>314</v>
      </c>
      <c r="AJ311" s="201">
        <v>0.338087568</v>
      </c>
      <c r="AK311" s="201">
        <v>0.79608828200000004</v>
      </c>
      <c r="AL311" s="201">
        <v>0.39617021400000002</v>
      </c>
      <c r="AM311" s="201">
        <v>6519.4</v>
      </c>
      <c r="AN311" s="201">
        <v>1.723571916</v>
      </c>
      <c r="AO311" s="201">
        <v>152.5</v>
      </c>
      <c r="AP311" s="201">
        <v>582.70000000000005</v>
      </c>
      <c r="AQ311" s="201">
        <v>478</v>
      </c>
      <c r="AR311" s="201">
        <v>380.5</v>
      </c>
      <c r="AS311" s="201">
        <v>302</v>
      </c>
      <c r="AT311" s="201">
        <v>2573.4</v>
      </c>
      <c r="AU311" s="201">
        <v>8991.41</v>
      </c>
    </row>
    <row r="312" spans="1:47" s="291" customFormat="1" ht="15">
      <c r="A312" s="288" t="s">
        <v>4</v>
      </c>
      <c r="B312" s="201">
        <v>73.819000000000003</v>
      </c>
      <c r="C312" s="201">
        <v>75.156999999999996</v>
      </c>
      <c r="D312" s="201">
        <v>74.97</v>
      </c>
      <c r="E312" s="201">
        <v>71.33</v>
      </c>
      <c r="F312" s="201">
        <v>4.2225999999999999</v>
      </c>
      <c r="G312" s="201">
        <v>132.86465426757999</v>
      </c>
      <c r="H312" s="201">
        <v>9.8558500000000002</v>
      </c>
      <c r="I312" s="201">
        <v>9.0493037140000006</v>
      </c>
      <c r="J312" s="201">
        <v>5.8124806299999996</v>
      </c>
      <c r="K312" s="201">
        <v>1990</v>
      </c>
      <c r="L312" s="201">
        <v>1650</v>
      </c>
      <c r="M312" s="201">
        <v>1664.06</v>
      </c>
      <c r="N312" s="201">
        <v>1067.27</v>
      </c>
      <c r="O312" s="201">
        <v>1947.45838521927</v>
      </c>
      <c r="P312" s="201">
        <v>412.15</v>
      </c>
      <c r="Q312" s="201">
        <v>1068.51</v>
      </c>
      <c r="R312" s="201">
        <v>358.125</v>
      </c>
      <c r="S312" s="201">
        <v>1159.09702139809</v>
      </c>
      <c r="T312" s="201">
        <v>1220</v>
      </c>
      <c r="U312" s="201" t="s">
        <v>313</v>
      </c>
      <c r="V312" s="201">
        <v>220.87520000000001</v>
      </c>
      <c r="W312" s="201" t="s">
        <v>313</v>
      </c>
      <c r="X312" s="201">
        <v>437</v>
      </c>
      <c r="Y312" s="201">
        <v>424</v>
      </c>
      <c r="Z312" s="201">
        <v>419.06</v>
      </c>
      <c r="AA312" s="201">
        <v>401.7</v>
      </c>
      <c r="AB312" s="201">
        <v>243.507649824</v>
      </c>
      <c r="AC312" s="201">
        <v>264.61</v>
      </c>
      <c r="AD312" s="201">
        <v>1.0294927792899999</v>
      </c>
      <c r="AE312" s="201">
        <v>1.2469881875</v>
      </c>
      <c r="AF312" s="201">
        <v>1.9121318055500001</v>
      </c>
      <c r="AG312" s="201">
        <v>6.6232810000000004</v>
      </c>
      <c r="AH312" s="201">
        <v>1.628226</v>
      </c>
      <c r="AI312" s="201" t="s">
        <v>314</v>
      </c>
      <c r="AJ312" s="201">
        <v>0.34004692800000003</v>
      </c>
      <c r="AK312" s="201">
        <v>0.82408695600000004</v>
      </c>
      <c r="AL312" s="201">
        <v>0.42284611599999999</v>
      </c>
      <c r="AM312" s="201">
        <v>6735.7666666666701</v>
      </c>
      <c r="AN312" s="201">
        <v>1.721146834</v>
      </c>
      <c r="AO312" s="201">
        <v>152.5</v>
      </c>
      <c r="AP312" s="201">
        <v>603.75</v>
      </c>
      <c r="AQ312" s="201">
        <v>480.63</v>
      </c>
      <c r="AR312" s="201">
        <v>436.5</v>
      </c>
      <c r="AS312" s="201">
        <v>318.75</v>
      </c>
      <c r="AT312" s="201">
        <v>2657.6</v>
      </c>
      <c r="AU312" s="201">
        <v>9330.6</v>
      </c>
    </row>
    <row r="313" spans="1:47" s="291" customFormat="1" ht="15">
      <c r="A313" s="288" t="s">
        <v>5</v>
      </c>
      <c r="B313" s="201">
        <v>70.701333333329998</v>
      </c>
      <c r="C313" s="201">
        <v>72.573999999999998</v>
      </c>
      <c r="D313" s="201">
        <v>71.709999999999994</v>
      </c>
      <c r="E313" s="201">
        <v>67.819999999999993</v>
      </c>
      <c r="F313" s="201">
        <v>4.1280999999999999</v>
      </c>
      <c r="G313" s="201">
        <v>121.54928429416999</v>
      </c>
      <c r="H313" s="201">
        <v>8.0838599999999996</v>
      </c>
      <c r="I313" s="201">
        <v>8.919451596</v>
      </c>
      <c r="J313" s="201">
        <v>5.6899037579999998</v>
      </c>
      <c r="K313" s="201">
        <v>2356</v>
      </c>
      <c r="L313" s="201">
        <v>1550</v>
      </c>
      <c r="M313" s="201">
        <v>1675.59</v>
      </c>
      <c r="N313" s="201">
        <v>1067.5999999999999</v>
      </c>
      <c r="O313" s="201">
        <v>2063.5936678971102</v>
      </c>
      <c r="P313" s="201">
        <v>401.11</v>
      </c>
      <c r="Q313" s="201">
        <v>1011.43</v>
      </c>
      <c r="R313" s="201">
        <v>368.75</v>
      </c>
      <c r="S313" s="201">
        <v>1193.0903849804399</v>
      </c>
      <c r="T313" s="201">
        <v>1232.5</v>
      </c>
      <c r="U313" s="201" t="s">
        <v>313</v>
      </c>
      <c r="V313" s="201">
        <v>207.41311999999999</v>
      </c>
      <c r="W313" s="201" t="s">
        <v>313</v>
      </c>
      <c r="X313" s="201">
        <v>425</v>
      </c>
      <c r="Y313" s="201">
        <v>410</v>
      </c>
      <c r="Z313" s="201">
        <v>404.11</v>
      </c>
      <c r="AA313" s="201">
        <v>378.42</v>
      </c>
      <c r="AB313" s="201">
        <v>227.54252520899999</v>
      </c>
      <c r="AC313" s="201">
        <v>255.37</v>
      </c>
      <c r="AD313" s="201">
        <v>1.08306266843</v>
      </c>
      <c r="AE313" s="201">
        <v>1.1849832499999999</v>
      </c>
      <c r="AF313" s="201">
        <v>1.43870091976</v>
      </c>
      <c r="AG313" s="201">
        <v>6.7705321999999999</v>
      </c>
      <c r="AH313" s="201">
        <v>1.6278349999999999</v>
      </c>
      <c r="AI313" s="201" t="s">
        <v>314</v>
      </c>
      <c r="AJ313" s="201">
        <v>0.35297870399999998</v>
      </c>
      <c r="AK313" s="201">
        <v>0.82474834200000002</v>
      </c>
      <c r="AL313" s="201">
        <v>0.416452718</v>
      </c>
      <c r="AM313" s="201">
        <v>6812.9750000000004</v>
      </c>
      <c r="AN313" s="201">
        <v>1.712548816</v>
      </c>
      <c r="AO313" s="201">
        <v>152.5</v>
      </c>
      <c r="AP313" s="201">
        <v>615.13</v>
      </c>
      <c r="AQ313" s="201">
        <v>478.5</v>
      </c>
      <c r="AR313" s="201">
        <v>394.5</v>
      </c>
      <c r="AS313" s="201">
        <v>336.25</v>
      </c>
      <c r="AT313" s="201">
        <v>2658.29</v>
      </c>
      <c r="AU313" s="201">
        <v>9739.68</v>
      </c>
    </row>
    <row r="314" spans="1:47" s="291" customFormat="1" ht="15">
      <c r="A314" s="288" t="s">
        <v>6</v>
      </c>
      <c r="B314" s="201">
        <v>65.905000000000001</v>
      </c>
      <c r="C314" s="201">
        <v>67.745000000000005</v>
      </c>
      <c r="D314" s="201">
        <v>66.89</v>
      </c>
      <c r="E314" s="201">
        <v>63.08</v>
      </c>
      <c r="F314" s="201">
        <v>3.3997999999999999</v>
      </c>
      <c r="G314" s="201">
        <v>104.97559855900001</v>
      </c>
      <c r="H314" s="201">
        <v>8.1497899999999994</v>
      </c>
      <c r="I314" s="201">
        <v>8.6359374639999995</v>
      </c>
      <c r="J314" s="201">
        <v>5.4251288960000004</v>
      </c>
      <c r="K314" s="201">
        <v>2483</v>
      </c>
      <c r="L314" s="201">
        <v>1375</v>
      </c>
      <c r="M314" s="201">
        <v>1679.03</v>
      </c>
      <c r="N314" s="201">
        <v>994.37</v>
      </c>
      <c r="O314" s="201">
        <v>2090.3898701298699</v>
      </c>
      <c r="P314" s="201">
        <v>407.6</v>
      </c>
      <c r="Q314" s="201">
        <v>1119.53</v>
      </c>
      <c r="R314" s="201">
        <v>369.38</v>
      </c>
      <c r="S314" s="201">
        <v>1256.4765065475201</v>
      </c>
      <c r="T314" s="201">
        <v>1225</v>
      </c>
      <c r="U314" s="201" t="s">
        <v>313</v>
      </c>
      <c r="V314" s="201">
        <v>215.00062956522001</v>
      </c>
      <c r="W314" s="201" t="s">
        <v>313</v>
      </c>
      <c r="X314" s="201">
        <v>415</v>
      </c>
      <c r="Y314" s="201">
        <v>401</v>
      </c>
      <c r="Z314" s="201">
        <v>396.89</v>
      </c>
      <c r="AA314" s="201">
        <v>377.75</v>
      </c>
      <c r="AB314" s="201">
        <v>219.583846287</v>
      </c>
      <c r="AC314" s="201">
        <v>249.58</v>
      </c>
      <c r="AD314" s="201">
        <v>1.1248693597499999</v>
      </c>
      <c r="AE314" s="201">
        <v>1.1023099999999999</v>
      </c>
      <c r="AF314" s="201">
        <v>1.4109827315800001</v>
      </c>
      <c r="AG314" s="201">
        <v>6.7119305000000002</v>
      </c>
      <c r="AH314" s="201">
        <v>1.739932</v>
      </c>
      <c r="AI314" s="201" t="s">
        <v>314</v>
      </c>
      <c r="AJ314" s="201">
        <v>0.366759536</v>
      </c>
      <c r="AK314" s="201">
        <v>0.82585065199999996</v>
      </c>
      <c r="AL314" s="201">
        <v>0.40102037800000001</v>
      </c>
      <c r="AM314" s="201">
        <v>6870.875</v>
      </c>
      <c r="AN314" s="201">
        <v>1.727540232</v>
      </c>
      <c r="AO314" s="201">
        <v>152.5</v>
      </c>
      <c r="AP314" s="201">
        <v>635</v>
      </c>
      <c r="AQ314" s="201">
        <v>496</v>
      </c>
      <c r="AR314" s="201">
        <v>386.88</v>
      </c>
      <c r="AS314" s="201">
        <v>351.88</v>
      </c>
      <c r="AT314" s="201">
        <v>2371.6</v>
      </c>
      <c r="AU314" s="201">
        <v>9176.7999999999993</v>
      </c>
    </row>
    <row r="315" spans="1:47" s="291" customFormat="1" ht="15">
      <c r="A315" s="288" t="s">
        <v>7</v>
      </c>
      <c r="B315" s="201">
        <v>62.748666666669997</v>
      </c>
      <c r="C315" s="201">
        <v>64.206000000000003</v>
      </c>
      <c r="D315" s="201">
        <v>63.01</v>
      </c>
      <c r="E315" s="201">
        <v>61.03</v>
      </c>
      <c r="F315" s="201">
        <v>3.1152000000000002</v>
      </c>
      <c r="G315" s="201">
        <v>101.62489124197</v>
      </c>
      <c r="H315" s="201">
        <v>8.9898399999999992</v>
      </c>
      <c r="I315" s="201">
        <v>8.7708602080000002</v>
      </c>
      <c r="J315" s="201">
        <v>5.2414840500000004</v>
      </c>
      <c r="K315" s="201">
        <v>2766.8</v>
      </c>
      <c r="L315" s="201">
        <v>1312.5</v>
      </c>
      <c r="M315" s="201">
        <v>1686.86235340338</v>
      </c>
      <c r="N315" s="201">
        <v>907.58</v>
      </c>
      <c r="O315" s="201">
        <v>2002.8414499999999</v>
      </c>
      <c r="P315" s="201">
        <v>414.11363636364001</v>
      </c>
      <c r="Q315" s="201">
        <v>1163.04675090909</v>
      </c>
      <c r="R315" s="201">
        <v>358</v>
      </c>
      <c r="S315" s="201">
        <v>1241.1411545554899</v>
      </c>
      <c r="T315" s="201">
        <v>1208</v>
      </c>
      <c r="U315" s="201" t="s">
        <v>313</v>
      </c>
      <c r="V315" s="201">
        <v>203.87293109647001</v>
      </c>
      <c r="W315" s="201" t="s">
        <v>313</v>
      </c>
      <c r="X315" s="201">
        <v>431</v>
      </c>
      <c r="Y315" s="201">
        <v>416</v>
      </c>
      <c r="Z315" s="201">
        <v>405.45</v>
      </c>
      <c r="AA315" s="201">
        <v>379.25</v>
      </c>
      <c r="AB315" s="201">
        <v>221.27038074000001</v>
      </c>
      <c r="AC315" s="201">
        <v>237</v>
      </c>
      <c r="AD315" s="201">
        <v>1.1361819745799999</v>
      </c>
      <c r="AE315" s="201">
        <v>1.08577535</v>
      </c>
      <c r="AF315" s="201">
        <v>1.3809899592599999</v>
      </c>
      <c r="AG315" s="201">
        <v>6.6163379999999998</v>
      </c>
      <c r="AH315" s="201">
        <v>1.778867</v>
      </c>
      <c r="AI315" s="201" t="s">
        <v>314</v>
      </c>
      <c r="AJ315" s="201">
        <v>0.36845764800000003</v>
      </c>
      <c r="AK315" s="201">
        <v>0.81262293200000002</v>
      </c>
      <c r="AL315" s="201">
        <v>0.389997278</v>
      </c>
      <c r="AM315" s="201">
        <v>6924.0416666666697</v>
      </c>
      <c r="AN315" s="201">
        <v>1.719824062</v>
      </c>
      <c r="AO315" s="201">
        <v>152.5</v>
      </c>
      <c r="AP315" s="201">
        <v>669.2</v>
      </c>
      <c r="AQ315" s="201">
        <v>541.5</v>
      </c>
      <c r="AR315" s="201">
        <v>392</v>
      </c>
      <c r="AS315" s="201">
        <v>362.5</v>
      </c>
      <c r="AT315" s="201">
        <v>2448.79</v>
      </c>
      <c r="AU315" s="201">
        <v>9532.98</v>
      </c>
    </row>
    <row r="316" spans="1:47" s="291" customFormat="1" ht="15">
      <c r="A316" s="288" t="s">
        <v>8</v>
      </c>
      <c r="B316" s="201">
        <v>69.146666666670001</v>
      </c>
      <c r="C316" s="201">
        <v>71.45</v>
      </c>
      <c r="D316" s="201">
        <v>68.5</v>
      </c>
      <c r="E316" s="201">
        <v>67.489999999999995</v>
      </c>
      <c r="F316" s="201">
        <v>3.0219999999999998</v>
      </c>
      <c r="G316" s="201">
        <v>103.73507325206999</v>
      </c>
      <c r="H316" s="201">
        <v>8.4019499999999994</v>
      </c>
      <c r="I316" s="201">
        <v>8.0062979920000004</v>
      </c>
      <c r="J316" s="201">
        <v>4.3256849019999999</v>
      </c>
      <c r="K316" s="201">
        <v>2698.75</v>
      </c>
      <c r="L316" s="201">
        <v>1300</v>
      </c>
      <c r="M316" s="201">
        <v>1697.45</v>
      </c>
      <c r="N316" s="201">
        <v>935.38894111861998</v>
      </c>
      <c r="O316" s="201">
        <v>1859.78134642857</v>
      </c>
      <c r="P316" s="201">
        <v>415.65733333332997</v>
      </c>
      <c r="Q316" s="201">
        <v>1177.97</v>
      </c>
      <c r="R316" s="201">
        <v>353.125</v>
      </c>
      <c r="S316" s="201">
        <v>1252.26050247117</v>
      </c>
      <c r="T316" s="201">
        <v>1196.25</v>
      </c>
      <c r="U316" s="201" t="s">
        <v>313</v>
      </c>
      <c r="V316" s="201">
        <v>196.07200262857</v>
      </c>
      <c r="W316" s="201" t="s">
        <v>313</v>
      </c>
      <c r="X316" s="201">
        <v>419</v>
      </c>
      <c r="Y316" s="201">
        <v>408</v>
      </c>
      <c r="Z316" s="201">
        <v>393.35</v>
      </c>
      <c r="AA316" s="201">
        <v>377.16</v>
      </c>
      <c r="AB316" s="201">
        <v>217.30573874699999</v>
      </c>
      <c r="AC316" s="201">
        <v>240.05</v>
      </c>
      <c r="AD316" s="201">
        <v>1.16228620484</v>
      </c>
      <c r="AE316" s="201">
        <v>0.92318462499999998</v>
      </c>
      <c r="AF316" s="201">
        <v>1.35782093938</v>
      </c>
      <c r="AG316" s="201">
        <v>6.6710884999999998</v>
      </c>
      <c r="AH316" s="201">
        <v>1.7815350000000001</v>
      </c>
      <c r="AI316" s="201" t="s">
        <v>314</v>
      </c>
      <c r="AJ316" s="201">
        <v>0.37613180800000001</v>
      </c>
      <c r="AK316" s="201">
        <v>0.77646716400000004</v>
      </c>
      <c r="AL316" s="201">
        <v>0.36883292600000001</v>
      </c>
      <c r="AM316" s="201">
        <v>6986.5083333333296</v>
      </c>
      <c r="AN316" s="201">
        <v>1.7257765359999999</v>
      </c>
      <c r="AO316" s="201">
        <v>152.5</v>
      </c>
      <c r="AP316" s="201">
        <v>715.38</v>
      </c>
      <c r="AQ316" s="201">
        <v>641.25</v>
      </c>
      <c r="AR316" s="201">
        <v>420.5</v>
      </c>
      <c r="AS316" s="201">
        <v>363.13</v>
      </c>
      <c r="AT316" s="201">
        <v>2525.96</v>
      </c>
      <c r="AU316" s="201">
        <v>9835.07</v>
      </c>
    </row>
    <row r="317" spans="1:47" s="291" customFormat="1" ht="15">
      <c r="A317" s="288" t="s">
        <v>9</v>
      </c>
      <c r="B317" s="201">
        <v>69.190333333330003</v>
      </c>
      <c r="C317" s="201">
        <v>70.950999999999993</v>
      </c>
      <c r="D317" s="201">
        <v>69.23</v>
      </c>
      <c r="E317" s="201">
        <v>67.39</v>
      </c>
      <c r="F317" s="201">
        <v>3.1922000000000001</v>
      </c>
      <c r="G317" s="201">
        <v>102.07949972941999</v>
      </c>
      <c r="H317" s="201">
        <v>7.3734599999999997</v>
      </c>
      <c r="I317" s="201">
        <v>7.1760381000000004</v>
      </c>
      <c r="J317" s="201">
        <v>3.6859041779999999</v>
      </c>
      <c r="K317" s="201">
        <v>2841</v>
      </c>
      <c r="L317" s="201">
        <v>1250</v>
      </c>
      <c r="M317" s="201">
        <v>1727.31</v>
      </c>
      <c r="N317" s="201">
        <v>976.38485453707995</v>
      </c>
      <c r="O317" s="201">
        <v>2096.8788184079599</v>
      </c>
      <c r="P317" s="201">
        <v>410.13</v>
      </c>
      <c r="Q317" s="201">
        <v>1306.5999999999999</v>
      </c>
      <c r="R317" s="201">
        <v>335</v>
      </c>
      <c r="S317" s="201">
        <v>1202.36964579901</v>
      </c>
      <c r="T317" s="201">
        <v>1213.75</v>
      </c>
      <c r="U317" s="201" t="s">
        <v>313</v>
      </c>
      <c r="V317" s="201">
        <v>191.99433954509999</v>
      </c>
      <c r="W317" s="201" t="s">
        <v>313</v>
      </c>
      <c r="X317" s="201">
        <v>392</v>
      </c>
      <c r="Y317" s="201">
        <v>382</v>
      </c>
      <c r="Z317" s="201">
        <v>376.05</v>
      </c>
      <c r="AA317" s="201">
        <v>370.63</v>
      </c>
      <c r="AB317" s="201">
        <v>210.59267023800001</v>
      </c>
      <c r="AC317" s="201">
        <v>234.96</v>
      </c>
      <c r="AD317" s="201">
        <v>1.1488996281899999</v>
      </c>
      <c r="AE317" s="201">
        <v>1.00861365</v>
      </c>
      <c r="AF317" s="201">
        <v>1.52455324687</v>
      </c>
      <c r="AG317" s="201">
        <v>6.7248912499999998</v>
      </c>
      <c r="AH317" s="201">
        <v>1.777264</v>
      </c>
      <c r="AI317" s="201" t="s">
        <v>314</v>
      </c>
      <c r="AJ317" s="201">
        <v>0.381520048</v>
      </c>
      <c r="AK317" s="201">
        <v>0.79807243999999999</v>
      </c>
      <c r="AL317" s="201">
        <v>0.36817154000000002</v>
      </c>
      <c r="AM317" s="201">
        <v>7025.29706788151</v>
      </c>
      <c r="AN317" s="201">
        <v>1.737461022</v>
      </c>
      <c r="AO317" s="201">
        <v>152.5</v>
      </c>
      <c r="AP317" s="201">
        <v>736</v>
      </c>
      <c r="AQ317" s="201">
        <v>655</v>
      </c>
      <c r="AR317" s="201">
        <v>496</v>
      </c>
      <c r="AS317" s="201">
        <v>362.5</v>
      </c>
      <c r="AT317" s="201">
        <v>2606.37</v>
      </c>
      <c r="AU317" s="201">
        <v>9770.58</v>
      </c>
    </row>
    <row r="318" spans="1:47" s="291" customFormat="1" ht="15">
      <c r="A318" s="288" t="s">
        <v>10</v>
      </c>
      <c r="B318" s="201">
        <v>66.717666666669999</v>
      </c>
      <c r="C318" s="201">
        <v>68.203000000000003</v>
      </c>
      <c r="D318" s="201">
        <v>67.87</v>
      </c>
      <c r="E318" s="201">
        <v>64.08</v>
      </c>
      <c r="F318" s="201">
        <v>2.9104999999999999</v>
      </c>
      <c r="G318" s="201">
        <v>96.330386762659998</v>
      </c>
      <c r="H318" s="201">
        <v>7.6020399999999997</v>
      </c>
      <c r="I318" s="201">
        <v>8.0759639839999995</v>
      </c>
      <c r="J318" s="201">
        <v>4.390059806</v>
      </c>
      <c r="K318" s="201">
        <v>2742.2</v>
      </c>
      <c r="L318" s="201">
        <v>1250</v>
      </c>
      <c r="M318" s="201">
        <v>1664.67</v>
      </c>
      <c r="N318" s="201">
        <v>1026.1171544461799</v>
      </c>
      <c r="O318" s="201">
        <v>2264.0045708955199</v>
      </c>
      <c r="P318" s="201">
        <v>407</v>
      </c>
      <c r="Q318" s="201">
        <v>1244.55</v>
      </c>
      <c r="R318" s="201">
        <v>354.38</v>
      </c>
      <c r="S318" s="201">
        <v>1212.5972714167999</v>
      </c>
      <c r="T318" s="201">
        <v>1273.75</v>
      </c>
      <c r="U318" s="201" t="s">
        <v>313</v>
      </c>
      <c r="V318" s="201">
        <v>185.48677677418999</v>
      </c>
      <c r="W318" s="201" t="s">
        <v>313</v>
      </c>
      <c r="X318" s="201">
        <v>375</v>
      </c>
      <c r="Y318" s="201">
        <v>363</v>
      </c>
      <c r="Z318" s="201">
        <v>357.85</v>
      </c>
      <c r="AA318" s="201">
        <v>378.8</v>
      </c>
      <c r="AB318" s="201">
        <v>200.34853504200001</v>
      </c>
      <c r="AC318" s="201">
        <v>231.14</v>
      </c>
      <c r="AD318" s="201">
        <v>1.12155064881</v>
      </c>
      <c r="AE318" s="201">
        <v>1.0196367500000001</v>
      </c>
      <c r="AF318" s="201">
        <v>1.2831828410699999</v>
      </c>
      <c r="AG318" s="201">
        <v>6.8581054000000004</v>
      </c>
      <c r="AH318" s="201">
        <v>1.67167</v>
      </c>
      <c r="AI318" s="201" t="s">
        <v>314</v>
      </c>
      <c r="AJ318" s="201">
        <v>0.37991990399999997</v>
      </c>
      <c r="AK318" s="201">
        <v>0.81394570399999999</v>
      </c>
      <c r="AL318" s="201">
        <v>0.36905338799999998</v>
      </c>
      <c r="AM318" s="201">
        <v>5893.4804312405004</v>
      </c>
      <c r="AN318" s="201">
        <v>1.7328313200000001</v>
      </c>
      <c r="AO318" s="201">
        <v>152.5</v>
      </c>
      <c r="AP318" s="201">
        <v>795.1</v>
      </c>
      <c r="AQ318" s="201">
        <v>662.9</v>
      </c>
      <c r="AR318" s="201">
        <v>507.7</v>
      </c>
      <c r="AS318" s="201">
        <v>356.5</v>
      </c>
      <c r="AT318" s="201">
        <v>2597.34</v>
      </c>
      <c r="AU318" s="201">
        <v>9669.56</v>
      </c>
    </row>
    <row r="319" spans="1:47" s="291" customFormat="1" ht="15">
      <c r="A319" s="288" t="s">
        <v>11</v>
      </c>
      <c r="B319" s="201">
        <v>66.456999999999994</v>
      </c>
      <c r="C319" s="201">
        <v>67.950999999999993</v>
      </c>
      <c r="D319" s="201">
        <v>67.75</v>
      </c>
      <c r="E319" s="201">
        <v>63.67</v>
      </c>
      <c r="F319" s="201">
        <v>2.9733000000000001</v>
      </c>
      <c r="G319" s="201">
        <v>96.722061240670001</v>
      </c>
      <c r="H319" s="201">
        <v>7.0250899999999996</v>
      </c>
      <c r="I319" s="201">
        <v>8.8314872579999992</v>
      </c>
      <c r="J319" s="201">
        <v>4.6574802120000003</v>
      </c>
      <c r="K319" s="201">
        <v>2596.75</v>
      </c>
      <c r="L319" s="201">
        <v>1235</v>
      </c>
      <c r="M319" s="201">
        <v>1609.75</v>
      </c>
      <c r="N319" s="201">
        <v>1036.74</v>
      </c>
      <c r="O319" s="201">
        <v>2414.1681384183698</v>
      </c>
      <c r="P319" s="201">
        <v>403.96</v>
      </c>
      <c r="Q319" s="201">
        <v>1159.27</v>
      </c>
      <c r="R319" s="201">
        <v>357.5</v>
      </c>
      <c r="S319" s="201">
        <v>1267.9761223229</v>
      </c>
      <c r="T319" s="201">
        <v>1312.09196637998</v>
      </c>
      <c r="U319" s="201" t="s">
        <v>313</v>
      </c>
      <c r="V319" s="201">
        <v>197.37534231110999</v>
      </c>
      <c r="W319" s="201" t="s">
        <v>313</v>
      </c>
      <c r="X319" s="201">
        <v>374</v>
      </c>
      <c r="Y319" s="201">
        <v>367</v>
      </c>
      <c r="Z319" s="201">
        <v>355.19</v>
      </c>
      <c r="AA319" s="201">
        <v>371.5</v>
      </c>
      <c r="AB319" s="201">
        <v>206.95872127499999</v>
      </c>
      <c r="AC319" s="201">
        <v>233.76</v>
      </c>
      <c r="AD319" s="201">
        <v>1.14542082739</v>
      </c>
      <c r="AE319" s="201">
        <v>1.0196367500000001</v>
      </c>
      <c r="AF319" s="201">
        <v>1.2939209941200001</v>
      </c>
      <c r="AG319" s="201">
        <v>6.9007589999999999</v>
      </c>
      <c r="AH319" s="201">
        <v>1.743768</v>
      </c>
      <c r="AI319" s="201" t="s">
        <v>314</v>
      </c>
      <c r="AJ319" s="201">
        <v>0.38315284799999999</v>
      </c>
      <c r="AK319" s="201">
        <v>0.79498597199999999</v>
      </c>
      <c r="AL319" s="201">
        <v>0.354061972</v>
      </c>
      <c r="AM319" s="201">
        <v>5995.8470445453904</v>
      </c>
      <c r="AN319" s="201">
        <v>1.7182808279999999</v>
      </c>
      <c r="AO319" s="201">
        <v>152.5</v>
      </c>
      <c r="AP319" s="201">
        <v>780.63</v>
      </c>
      <c r="AQ319" s="201">
        <v>664.38</v>
      </c>
      <c r="AR319" s="201">
        <v>461.13</v>
      </c>
      <c r="AS319" s="201">
        <v>352.5</v>
      </c>
      <c r="AT319" s="201">
        <v>2653.32</v>
      </c>
      <c r="AU319" s="201">
        <v>9983.7900000000009</v>
      </c>
    </row>
    <row r="320" spans="1:47" s="291" customFormat="1" ht="15">
      <c r="A320" s="288" t="s">
        <v>12</v>
      </c>
      <c r="B320" s="201">
        <v>63.040333333329997</v>
      </c>
      <c r="C320" s="201">
        <v>64.650999999999996</v>
      </c>
      <c r="D320" s="201">
        <v>64.3</v>
      </c>
      <c r="E320" s="201">
        <v>60.17</v>
      </c>
      <c r="F320" s="201">
        <v>3.1972999999999998</v>
      </c>
      <c r="G320" s="201">
        <v>98.111309172410003</v>
      </c>
      <c r="H320" s="201">
        <v>5.9535600000000004</v>
      </c>
      <c r="I320" s="201">
        <v>8.9020350980000007</v>
      </c>
      <c r="J320" s="201">
        <v>4.7412557719999997</v>
      </c>
      <c r="K320" s="201">
        <v>2547.1999999999998</v>
      </c>
      <c r="L320" s="201">
        <v>1200</v>
      </c>
      <c r="M320" s="201">
        <v>1628.32125872644</v>
      </c>
      <c r="N320" s="201">
        <v>1038.0938956366499</v>
      </c>
      <c r="O320" s="201">
        <v>2273.0428327705299</v>
      </c>
      <c r="P320" s="201">
        <v>403.75</v>
      </c>
      <c r="Q320" s="201">
        <v>1132.1483486956499</v>
      </c>
      <c r="R320" s="201">
        <v>356</v>
      </c>
      <c r="S320" s="201">
        <v>1264.23430807249</v>
      </c>
      <c r="T320" s="201">
        <v>1363</v>
      </c>
      <c r="U320" s="201" t="s">
        <v>313</v>
      </c>
      <c r="V320" s="201">
        <v>198.13039555556</v>
      </c>
      <c r="W320" s="201" t="s">
        <v>313</v>
      </c>
      <c r="X320" s="201">
        <v>356</v>
      </c>
      <c r="Y320" s="201">
        <v>351</v>
      </c>
      <c r="Z320" s="201">
        <v>335.91</v>
      </c>
      <c r="AA320" s="201">
        <v>365.6</v>
      </c>
      <c r="AB320" s="201">
        <v>209.32868798999999</v>
      </c>
      <c r="AC320" s="201">
        <v>230.78</v>
      </c>
      <c r="AD320" s="201">
        <v>1.1303025286199999</v>
      </c>
      <c r="AE320" s="201">
        <v>1.1298677500000001</v>
      </c>
      <c r="AF320" s="201">
        <v>1.05011731226</v>
      </c>
      <c r="AG320" s="201">
        <v>7.0934400000000002</v>
      </c>
      <c r="AH320" s="201">
        <v>1.718656</v>
      </c>
      <c r="AI320" s="201" t="s">
        <v>314</v>
      </c>
      <c r="AJ320" s="201">
        <v>0.380050528</v>
      </c>
      <c r="AK320" s="201">
        <v>0.76610544999999997</v>
      </c>
      <c r="AL320" s="201">
        <v>0.33532270199999997</v>
      </c>
      <c r="AM320" s="201">
        <v>6047.1403660799997</v>
      </c>
      <c r="AN320" s="201">
        <v>1.675070276</v>
      </c>
      <c r="AO320" s="201">
        <v>152.5</v>
      </c>
      <c r="AP320" s="201">
        <v>754</v>
      </c>
      <c r="AQ320" s="201">
        <v>658.5</v>
      </c>
      <c r="AR320" s="201">
        <v>394.4</v>
      </c>
      <c r="AS320" s="201">
        <v>352</v>
      </c>
      <c r="AT320" s="201">
        <v>2793.09</v>
      </c>
      <c r="AU320" s="201">
        <v>10739.91</v>
      </c>
    </row>
    <row r="321" spans="1:47" s="291" customFormat="1" ht="15">
      <c r="A321" s="288" t="s">
        <v>13</v>
      </c>
      <c r="B321" s="201">
        <v>62.336333333330003</v>
      </c>
      <c r="C321" s="201">
        <v>63.609000000000002</v>
      </c>
      <c r="D321" s="201">
        <v>63.83</v>
      </c>
      <c r="E321" s="201">
        <v>59.57</v>
      </c>
      <c r="F321" s="201">
        <v>3.7911999999999999</v>
      </c>
      <c r="G321" s="201">
        <v>103.13338689259</v>
      </c>
      <c r="H321" s="201">
        <v>5.6147299999999998</v>
      </c>
      <c r="I321" s="201">
        <v>9.045776322</v>
      </c>
      <c r="J321" s="201">
        <v>4.7379488419999998</v>
      </c>
      <c r="K321" s="201">
        <v>2439.5</v>
      </c>
      <c r="L321" s="201">
        <v>1200</v>
      </c>
      <c r="M321" s="201">
        <v>1678.18</v>
      </c>
      <c r="N321" s="201">
        <v>983.4</v>
      </c>
      <c r="O321" s="201">
        <v>2153.3478369753502</v>
      </c>
      <c r="P321" s="201">
        <v>445.83333333333002</v>
      </c>
      <c r="Q321" s="201">
        <v>1128.3699999999999</v>
      </c>
      <c r="R321" s="201">
        <v>411.25</v>
      </c>
      <c r="S321" s="201">
        <v>1260.49249382208</v>
      </c>
      <c r="T321" s="201">
        <v>1360</v>
      </c>
      <c r="U321" s="201" t="s">
        <v>313</v>
      </c>
      <c r="V321" s="201">
        <v>202.01642333333001</v>
      </c>
      <c r="W321" s="201" t="s">
        <v>313</v>
      </c>
      <c r="X321" s="201">
        <v>368</v>
      </c>
      <c r="Y321" s="201">
        <v>362</v>
      </c>
      <c r="Z321" s="201">
        <v>338.5</v>
      </c>
      <c r="AA321" s="201">
        <v>359.8</v>
      </c>
      <c r="AB321" s="201">
        <v>225.194604696</v>
      </c>
      <c r="AC321" s="201">
        <v>245.85</v>
      </c>
      <c r="AD321" s="201">
        <v>1.1084785612100001</v>
      </c>
      <c r="AE321" s="201">
        <v>1.1574255</v>
      </c>
      <c r="AF321" s="201">
        <v>0.86391879629000001</v>
      </c>
      <c r="AG321" s="201">
        <v>7.5073812000000002</v>
      </c>
      <c r="AH321" s="201">
        <v>1.7699849999999999</v>
      </c>
      <c r="AI321" s="201" t="s">
        <v>314</v>
      </c>
      <c r="AJ321" s="201">
        <v>0.37734008000000002</v>
      </c>
      <c r="AK321" s="201">
        <v>0.74163416800000004</v>
      </c>
      <c r="AL321" s="201">
        <v>0.315481122</v>
      </c>
      <c r="AM321" s="201" t="s">
        <v>314</v>
      </c>
      <c r="AN321" s="201">
        <v>1.656992392</v>
      </c>
      <c r="AO321" s="201">
        <v>152.5</v>
      </c>
      <c r="AP321" s="201">
        <v>708.25</v>
      </c>
      <c r="AQ321" s="201">
        <v>636.25</v>
      </c>
      <c r="AR321" s="201">
        <v>409.25</v>
      </c>
      <c r="AS321" s="201">
        <v>353.75</v>
      </c>
      <c r="AT321" s="201">
        <v>2819.06</v>
      </c>
      <c r="AU321" s="201">
        <v>10812.03</v>
      </c>
    </row>
    <row r="322" spans="1:47" s="291" customFormat="1" ht="15">
      <c r="A322" s="288" t="s">
        <v>14</v>
      </c>
      <c r="B322" s="201">
        <v>60.88</v>
      </c>
      <c r="C322" s="201">
        <v>62.72</v>
      </c>
      <c r="D322" s="201">
        <v>61.98</v>
      </c>
      <c r="E322" s="201">
        <v>57.94</v>
      </c>
      <c r="F322" s="201">
        <v>4.2514000000000003</v>
      </c>
      <c r="G322" s="201">
        <v>104.19993325038</v>
      </c>
      <c r="H322" s="201">
        <v>5.7815899999999996</v>
      </c>
      <c r="I322" s="201">
        <v>8.4046728260000005</v>
      </c>
      <c r="J322" s="201">
        <v>4.2013443339999998</v>
      </c>
      <c r="K322" s="201">
        <v>2323</v>
      </c>
      <c r="L322" s="201">
        <v>1200</v>
      </c>
      <c r="M322" s="201">
        <v>1621</v>
      </c>
      <c r="N322" s="201">
        <v>980.51</v>
      </c>
      <c r="O322" s="201">
        <v>2113.0621425976901</v>
      </c>
      <c r="P322" s="201">
        <v>440</v>
      </c>
      <c r="Q322" s="201">
        <v>1119.43</v>
      </c>
      <c r="R322" s="201">
        <v>398.75</v>
      </c>
      <c r="S322" s="201">
        <v>1258.9126166941201</v>
      </c>
      <c r="T322" s="201">
        <v>1343.33</v>
      </c>
      <c r="U322" s="201" t="s">
        <v>313</v>
      </c>
      <c r="V322" s="201">
        <v>205.69623777778</v>
      </c>
      <c r="W322" s="201" t="s">
        <v>313</v>
      </c>
      <c r="X322" s="201">
        <v>424</v>
      </c>
      <c r="Y322" s="201">
        <v>414</v>
      </c>
      <c r="Z322" s="201">
        <v>389.44</v>
      </c>
      <c r="AA322" s="201">
        <v>351.91</v>
      </c>
      <c r="AB322" s="201">
        <v>223.173702846</v>
      </c>
      <c r="AC322" s="201">
        <v>242.8</v>
      </c>
      <c r="AD322" s="201">
        <v>1.1048402148200001</v>
      </c>
      <c r="AE322" s="201">
        <v>1.1574255</v>
      </c>
      <c r="AF322" s="201">
        <v>0.92464490320000003</v>
      </c>
      <c r="AG322" s="201">
        <v>7.3785423999999997</v>
      </c>
      <c r="AH322" s="201">
        <v>1.7807040000000001</v>
      </c>
      <c r="AI322" s="201" t="s">
        <v>314</v>
      </c>
      <c r="AJ322" s="201">
        <v>0.38249972799999998</v>
      </c>
      <c r="AK322" s="201">
        <v>0.73127245399999996</v>
      </c>
      <c r="AL322" s="201">
        <v>0.32319729200000002</v>
      </c>
      <c r="AM322" s="201" t="s">
        <v>314</v>
      </c>
      <c r="AN322" s="201">
        <v>1.6325211100000001</v>
      </c>
      <c r="AO322" s="201">
        <v>152.5</v>
      </c>
      <c r="AP322" s="201">
        <v>627.5</v>
      </c>
      <c r="AQ322" s="201">
        <v>538.5</v>
      </c>
      <c r="AR322" s="201">
        <v>392.5</v>
      </c>
      <c r="AS322" s="201">
        <v>358.33</v>
      </c>
      <c r="AT322" s="201">
        <v>2875.53</v>
      </c>
      <c r="AU322" s="201">
        <v>11785.25</v>
      </c>
    </row>
    <row r="323" spans="1:47" s="291" customFormat="1" ht="15">
      <c r="A323" s="198" t="s">
        <v>1</v>
      </c>
      <c r="B323" s="241">
        <v>67.425361111110831</v>
      </c>
      <c r="C323" s="241">
        <v>69.035250000000005</v>
      </c>
      <c r="D323" s="241">
        <v>68.348333333333329</v>
      </c>
      <c r="E323" s="241">
        <v>64.892499999999998</v>
      </c>
      <c r="F323" s="241">
        <v>3.5252250000000003</v>
      </c>
      <c r="G323" s="241">
        <v>107.81259660414999</v>
      </c>
      <c r="H323" s="241">
        <v>7.7980724999999991</v>
      </c>
      <c r="I323" s="241">
        <v>8.4693784230000002</v>
      </c>
      <c r="J323" s="241">
        <v>4.8596989815000002</v>
      </c>
      <c r="K323" s="241">
        <v>2480.2166666666667</v>
      </c>
      <c r="L323" s="241">
        <v>1350.8333333333333</v>
      </c>
      <c r="M323" s="241">
        <v>1666.0861343441518</v>
      </c>
      <c r="N323" s="241">
        <v>1006.9804038115441</v>
      </c>
      <c r="O323" s="241">
        <v>2103.3415883116868</v>
      </c>
      <c r="P323" s="241">
        <v>414.34448902064082</v>
      </c>
      <c r="Q323" s="241">
        <v>1139.8729249670616</v>
      </c>
      <c r="R323" s="241">
        <v>365.68833333333333</v>
      </c>
      <c r="S323" s="241">
        <v>1226.4814225569482</v>
      </c>
      <c r="T323" s="241">
        <v>1262.8893305316649</v>
      </c>
      <c r="U323" s="241" t="s">
        <v>313</v>
      </c>
      <c r="V323" s="241">
        <v>203.19753726864084</v>
      </c>
      <c r="W323" s="241" t="s">
        <v>313</v>
      </c>
      <c r="X323" s="241">
        <v>407.83333333333331</v>
      </c>
      <c r="Y323" s="241">
        <v>396.41666666666669</v>
      </c>
      <c r="Z323" s="241">
        <v>386.33083333333326</v>
      </c>
      <c r="AA323" s="241">
        <v>379.98250000000002</v>
      </c>
      <c r="AB323" s="241">
        <v>219.61538460375004</v>
      </c>
      <c r="AC323" s="241">
        <v>243.33250000000007</v>
      </c>
      <c r="AD323" s="241">
        <v>1.1092376342633332</v>
      </c>
      <c r="AE323" s="241">
        <v>1.0953057385416669</v>
      </c>
      <c r="AF323" s="241">
        <v>1.4175419974850001</v>
      </c>
      <c r="AG323" s="241">
        <v>6.8600347874999992</v>
      </c>
      <c r="AH323" s="241">
        <v>1.7136140833333331</v>
      </c>
      <c r="AI323" s="241" t="s">
        <v>314</v>
      </c>
      <c r="AJ323" s="241">
        <v>0.36891211066666663</v>
      </c>
      <c r="AK323" s="241">
        <v>0.79215670966666674</v>
      </c>
      <c r="AL323" s="241">
        <v>0.37171730383333329</v>
      </c>
      <c r="AM323" s="241">
        <v>6581.1331576414086</v>
      </c>
      <c r="AN323" s="241">
        <v>1.7069637786666665</v>
      </c>
      <c r="AO323" s="241">
        <v>152.5</v>
      </c>
      <c r="AP323" s="241">
        <v>685.21999999999991</v>
      </c>
      <c r="AQ323" s="241">
        <v>577.61749999999995</v>
      </c>
      <c r="AR323" s="241">
        <v>422.65499999999997</v>
      </c>
      <c r="AS323" s="241">
        <v>347.50749999999999</v>
      </c>
      <c r="AT323" s="241">
        <v>2631.6958333333332</v>
      </c>
      <c r="AU323" s="241">
        <v>9947.3050000000003</v>
      </c>
    </row>
    <row r="324" spans="1:47" s="291" customFormat="1" ht="15">
      <c r="A324" s="198" t="s">
        <v>172</v>
      </c>
      <c r="B324" s="241">
        <v>-14.362792450221418</v>
      </c>
      <c r="C324" s="241">
        <v>-14.453047551384568</v>
      </c>
      <c r="D324" s="241">
        <v>-14.198137880531458</v>
      </c>
      <c r="E324" s="241">
        <v>-14.439695428125642</v>
      </c>
      <c r="F324" s="241">
        <v>60.887754675145423</v>
      </c>
      <c r="G324" s="241">
        <v>23.312226066354036</v>
      </c>
      <c r="H324" s="241">
        <v>6.3908499444322642</v>
      </c>
      <c r="I324" s="241">
        <v>50.64309522253447</v>
      </c>
      <c r="J324" s="241">
        <v>10.090105087920097</v>
      </c>
      <c r="K324" s="241">
        <v>63.316246776910234</v>
      </c>
      <c r="L324" s="241">
        <v>-24.678221272245725</v>
      </c>
      <c r="M324" s="241">
        <v>-7.2084724793228698</v>
      </c>
      <c r="N324" s="241">
        <v>4.5274206415500062</v>
      </c>
      <c r="O324" s="241">
        <v>48.990272721213991</v>
      </c>
      <c r="P324" s="241">
        <v>-10.411000220570688</v>
      </c>
      <c r="Q324" s="241">
        <v>11.538542104714921</v>
      </c>
      <c r="R324" s="241">
        <v>-17.319650440372826</v>
      </c>
      <c r="S324" s="241">
        <v>12.584330621848959</v>
      </c>
      <c r="T324" s="241">
        <v>19.143312864139684</v>
      </c>
      <c r="U324" s="241" t="s">
        <v>267</v>
      </c>
      <c r="V324" s="241">
        <v>6.6067395307650933</v>
      </c>
      <c r="W324" s="241" t="s">
        <v>267</v>
      </c>
      <c r="X324" s="241">
        <v>-30.689704007930885</v>
      </c>
      <c r="Y324" s="241">
        <v>-29.095245193024301</v>
      </c>
      <c r="Z324" s="241">
        <v>-32.54190330264526</v>
      </c>
      <c r="AA324" s="241">
        <v>-31.838036127504608</v>
      </c>
      <c r="AB324" s="241">
        <v>-4.8785178111986127</v>
      </c>
      <c r="AC324" s="241">
        <v>-9.4318379196545727</v>
      </c>
      <c r="AD324" s="241">
        <v>4.0143054562643998</v>
      </c>
      <c r="AE324" s="241">
        <v>-11.186630045156164</v>
      </c>
      <c r="AF324" s="241">
        <v>-37.272679393824824</v>
      </c>
      <c r="AG324" s="241">
        <v>15.658221690224238</v>
      </c>
      <c r="AH324" s="241">
        <v>17.145970215047825</v>
      </c>
      <c r="AI324" s="241" t="s">
        <v>314</v>
      </c>
      <c r="AJ324" s="241">
        <v>4.4133617801329184</v>
      </c>
      <c r="AK324" s="241">
        <v>-6.0405317062540931</v>
      </c>
      <c r="AL324" s="241">
        <v>-17.13899582275371</v>
      </c>
      <c r="AM324" s="241">
        <v>11.556906827712643</v>
      </c>
      <c r="AN324" s="241">
        <v>-10.669269005566829</v>
      </c>
      <c r="AO324" s="241">
        <v>0</v>
      </c>
      <c r="AP324" s="241">
        <v>21.565114030496837</v>
      </c>
      <c r="AQ324" s="241">
        <v>21.716004593712789</v>
      </c>
      <c r="AR324" s="241">
        <v>24.946356821367566</v>
      </c>
      <c r="AS324" s="241">
        <v>17.756906420577923</v>
      </c>
      <c r="AT324" s="241">
        <v>8.7919678106117338</v>
      </c>
      <c r="AU324" s="241">
        <v>8.8071830009166518</v>
      </c>
    </row>
    <row r="325" spans="1:47" ht="3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</row>
    <row r="326" spans="1:47" ht="20.25" customHeight="1">
      <c r="A326" s="225" t="s">
        <v>306</v>
      </c>
    </row>
  </sheetData>
  <mergeCells count="4">
    <mergeCell ref="A1:AT1"/>
    <mergeCell ref="A2:AT2"/>
    <mergeCell ref="A3:AT3"/>
    <mergeCell ref="A4:A5"/>
  </mergeCells>
  <pageMargins left="0.70866141732283472" right="0.70866141732283472" top="0.74803149606299213" bottom="0.74803149606299213" header="0.31496062992125984" footer="0.31496062992125984"/>
  <pageSetup scale="52" orientation="portrait" r:id="rId1"/>
  <colBreaks count="3" manualBreakCount="3">
    <brk id="12" max="292" man="1"/>
    <brk id="24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7195-4C9C-4880-9FA6-EE7188D65F1F}">
  <sheetPr transitionEvaluation="1"/>
  <dimension ref="A1:AV84"/>
  <sheetViews>
    <sheetView showGridLines="0" view="pageBreakPreview" zoomScaleNormal="100" zoomScaleSheetLayoutView="100" workbookViewId="0">
      <pane ySplit="6" topLeftCell="A55" activePane="bottomLeft" state="frozen"/>
      <selection activeCell="B31" sqref="B31"/>
      <selection pane="bottomLeft" activeCell="J59" sqref="J59"/>
    </sheetView>
  </sheetViews>
  <sheetFormatPr defaultColWidth="12" defaultRowHeight="14.25"/>
  <cols>
    <col min="1" max="1" width="8.7109375" style="10" customWidth="1"/>
    <col min="2" max="2" width="13.85546875" style="10" bestFit="1" customWidth="1"/>
    <col min="3" max="3" width="12.42578125" style="208" customWidth="1"/>
    <col min="4" max="4" width="13.5703125" style="208" customWidth="1"/>
    <col min="5" max="5" width="12.42578125" style="208" customWidth="1"/>
    <col min="6" max="6" width="13.5703125" style="10" customWidth="1"/>
    <col min="7" max="7" width="11.85546875" style="10" customWidth="1"/>
    <col min="8" max="8" width="13" style="10" customWidth="1"/>
    <col min="9" max="9" width="13.5703125" style="10" customWidth="1"/>
    <col min="10" max="10" width="14.140625" style="10" customWidth="1"/>
    <col min="11" max="11" width="12.140625" style="10" customWidth="1"/>
    <col min="12" max="14" width="12" style="10"/>
    <col min="15" max="15" width="22.7109375" style="10" customWidth="1"/>
    <col min="16" max="16" width="24.7109375" style="10" customWidth="1"/>
    <col min="17" max="259" width="12" style="10"/>
    <col min="260" max="260" width="6.85546875" style="10" customWidth="1"/>
    <col min="261" max="261" width="11.28515625" style="10" customWidth="1"/>
    <col min="262" max="262" width="12.42578125" style="10" customWidth="1"/>
    <col min="263" max="263" width="12.85546875" style="10" customWidth="1"/>
    <col min="264" max="264" width="14.42578125" style="10" customWidth="1"/>
    <col min="265" max="265" width="13.5703125" style="10" customWidth="1"/>
    <col min="266" max="266" width="14.5703125" style="10" customWidth="1"/>
    <col min="267" max="267" width="12.5703125" style="10" customWidth="1"/>
    <col min="268" max="268" width="12.140625" style="10" customWidth="1"/>
    <col min="269" max="515" width="12" style="10"/>
    <col min="516" max="516" width="6.85546875" style="10" customWidth="1"/>
    <col min="517" max="517" width="11.28515625" style="10" customWidth="1"/>
    <col min="518" max="518" width="12.42578125" style="10" customWidth="1"/>
    <col min="519" max="519" width="12.85546875" style="10" customWidth="1"/>
    <col min="520" max="520" width="14.42578125" style="10" customWidth="1"/>
    <col min="521" max="521" width="13.5703125" style="10" customWidth="1"/>
    <col min="522" max="522" width="14.5703125" style="10" customWidth="1"/>
    <col min="523" max="523" width="12.5703125" style="10" customWidth="1"/>
    <col min="524" max="524" width="12.140625" style="10" customWidth="1"/>
    <col min="525" max="771" width="12" style="10"/>
    <col min="772" max="772" width="6.85546875" style="10" customWidth="1"/>
    <col min="773" max="773" width="11.28515625" style="10" customWidth="1"/>
    <col min="774" max="774" width="12.42578125" style="10" customWidth="1"/>
    <col min="775" max="775" width="12.85546875" style="10" customWidth="1"/>
    <col min="776" max="776" width="14.42578125" style="10" customWidth="1"/>
    <col min="777" max="777" width="13.5703125" style="10" customWidth="1"/>
    <col min="778" max="778" width="14.5703125" style="10" customWidth="1"/>
    <col min="779" max="779" width="12.5703125" style="10" customWidth="1"/>
    <col min="780" max="780" width="12.140625" style="10" customWidth="1"/>
    <col min="781" max="1027" width="12" style="10"/>
    <col min="1028" max="1028" width="6.85546875" style="10" customWidth="1"/>
    <col min="1029" max="1029" width="11.28515625" style="10" customWidth="1"/>
    <col min="1030" max="1030" width="12.42578125" style="10" customWidth="1"/>
    <col min="1031" max="1031" width="12.85546875" style="10" customWidth="1"/>
    <col min="1032" max="1032" width="14.42578125" style="10" customWidth="1"/>
    <col min="1033" max="1033" width="13.5703125" style="10" customWidth="1"/>
    <col min="1034" max="1034" width="14.5703125" style="10" customWidth="1"/>
    <col min="1035" max="1035" width="12.5703125" style="10" customWidth="1"/>
    <col min="1036" max="1036" width="12.140625" style="10" customWidth="1"/>
    <col min="1037" max="1283" width="12" style="10"/>
    <col min="1284" max="1284" width="6.85546875" style="10" customWidth="1"/>
    <col min="1285" max="1285" width="11.28515625" style="10" customWidth="1"/>
    <col min="1286" max="1286" width="12.42578125" style="10" customWidth="1"/>
    <col min="1287" max="1287" width="12.85546875" style="10" customWidth="1"/>
    <col min="1288" max="1288" width="14.42578125" style="10" customWidth="1"/>
    <col min="1289" max="1289" width="13.5703125" style="10" customWidth="1"/>
    <col min="1290" max="1290" width="14.5703125" style="10" customWidth="1"/>
    <col min="1291" max="1291" width="12.5703125" style="10" customWidth="1"/>
    <col min="1292" max="1292" width="12.140625" style="10" customWidth="1"/>
    <col min="1293" max="1539" width="12" style="10"/>
    <col min="1540" max="1540" width="6.85546875" style="10" customWidth="1"/>
    <col min="1541" max="1541" width="11.28515625" style="10" customWidth="1"/>
    <col min="1542" max="1542" width="12.42578125" style="10" customWidth="1"/>
    <col min="1543" max="1543" width="12.85546875" style="10" customWidth="1"/>
    <col min="1544" max="1544" width="14.42578125" style="10" customWidth="1"/>
    <col min="1545" max="1545" width="13.5703125" style="10" customWidth="1"/>
    <col min="1546" max="1546" width="14.5703125" style="10" customWidth="1"/>
    <col min="1547" max="1547" width="12.5703125" style="10" customWidth="1"/>
    <col min="1548" max="1548" width="12.140625" style="10" customWidth="1"/>
    <col min="1549" max="1795" width="12" style="10"/>
    <col min="1796" max="1796" width="6.85546875" style="10" customWidth="1"/>
    <col min="1797" max="1797" width="11.28515625" style="10" customWidth="1"/>
    <col min="1798" max="1798" width="12.42578125" style="10" customWidth="1"/>
    <col min="1799" max="1799" width="12.85546875" style="10" customWidth="1"/>
    <col min="1800" max="1800" width="14.42578125" style="10" customWidth="1"/>
    <col min="1801" max="1801" width="13.5703125" style="10" customWidth="1"/>
    <col min="1802" max="1802" width="14.5703125" style="10" customWidth="1"/>
    <col min="1803" max="1803" width="12.5703125" style="10" customWidth="1"/>
    <col min="1804" max="1804" width="12.140625" style="10" customWidth="1"/>
    <col min="1805" max="2051" width="12" style="10"/>
    <col min="2052" max="2052" width="6.85546875" style="10" customWidth="1"/>
    <col min="2053" max="2053" width="11.28515625" style="10" customWidth="1"/>
    <col min="2054" max="2054" width="12.42578125" style="10" customWidth="1"/>
    <col min="2055" max="2055" width="12.85546875" style="10" customWidth="1"/>
    <col min="2056" max="2056" width="14.42578125" style="10" customWidth="1"/>
    <col min="2057" max="2057" width="13.5703125" style="10" customWidth="1"/>
    <col min="2058" max="2058" width="14.5703125" style="10" customWidth="1"/>
    <col min="2059" max="2059" width="12.5703125" style="10" customWidth="1"/>
    <col min="2060" max="2060" width="12.140625" style="10" customWidth="1"/>
    <col min="2061" max="2307" width="12" style="10"/>
    <col min="2308" max="2308" width="6.85546875" style="10" customWidth="1"/>
    <col min="2309" max="2309" width="11.28515625" style="10" customWidth="1"/>
    <col min="2310" max="2310" width="12.42578125" style="10" customWidth="1"/>
    <col min="2311" max="2311" width="12.85546875" style="10" customWidth="1"/>
    <col min="2312" max="2312" width="14.42578125" style="10" customWidth="1"/>
    <col min="2313" max="2313" width="13.5703125" style="10" customWidth="1"/>
    <col min="2314" max="2314" width="14.5703125" style="10" customWidth="1"/>
    <col min="2315" max="2315" width="12.5703125" style="10" customWidth="1"/>
    <col min="2316" max="2316" width="12.140625" style="10" customWidth="1"/>
    <col min="2317" max="2563" width="12" style="10"/>
    <col min="2564" max="2564" width="6.85546875" style="10" customWidth="1"/>
    <col min="2565" max="2565" width="11.28515625" style="10" customWidth="1"/>
    <col min="2566" max="2566" width="12.42578125" style="10" customWidth="1"/>
    <col min="2567" max="2567" width="12.85546875" style="10" customWidth="1"/>
    <col min="2568" max="2568" width="14.42578125" style="10" customWidth="1"/>
    <col min="2569" max="2569" width="13.5703125" style="10" customWidth="1"/>
    <col min="2570" max="2570" width="14.5703125" style="10" customWidth="1"/>
    <col min="2571" max="2571" width="12.5703125" style="10" customWidth="1"/>
    <col min="2572" max="2572" width="12.140625" style="10" customWidth="1"/>
    <col min="2573" max="2819" width="12" style="10"/>
    <col min="2820" max="2820" width="6.85546875" style="10" customWidth="1"/>
    <col min="2821" max="2821" width="11.28515625" style="10" customWidth="1"/>
    <col min="2822" max="2822" width="12.42578125" style="10" customWidth="1"/>
    <col min="2823" max="2823" width="12.85546875" style="10" customWidth="1"/>
    <col min="2824" max="2824" width="14.42578125" style="10" customWidth="1"/>
    <col min="2825" max="2825" width="13.5703125" style="10" customWidth="1"/>
    <col min="2826" max="2826" width="14.5703125" style="10" customWidth="1"/>
    <col min="2827" max="2827" width="12.5703125" style="10" customWidth="1"/>
    <col min="2828" max="2828" width="12.140625" style="10" customWidth="1"/>
    <col min="2829" max="3075" width="12" style="10"/>
    <col min="3076" max="3076" width="6.85546875" style="10" customWidth="1"/>
    <col min="3077" max="3077" width="11.28515625" style="10" customWidth="1"/>
    <col min="3078" max="3078" width="12.42578125" style="10" customWidth="1"/>
    <col min="3079" max="3079" width="12.85546875" style="10" customWidth="1"/>
    <col min="3080" max="3080" width="14.42578125" style="10" customWidth="1"/>
    <col min="3081" max="3081" width="13.5703125" style="10" customWidth="1"/>
    <col min="3082" max="3082" width="14.5703125" style="10" customWidth="1"/>
    <col min="3083" max="3083" width="12.5703125" style="10" customWidth="1"/>
    <col min="3084" max="3084" width="12.140625" style="10" customWidth="1"/>
    <col min="3085" max="3331" width="12" style="10"/>
    <col min="3332" max="3332" width="6.85546875" style="10" customWidth="1"/>
    <col min="3333" max="3333" width="11.28515625" style="10" customWidth="1"/>
    <col min="3334" max="3334" width="12.42578125" style="10" customWidth="1"/>
    <col min="3335" max="3335" width="12.85546875" style="10" customWidth="1"/>
    <col min="3336" max="3336" width="14.42578125" style="10" customWidth="1"/>
    <col min="3337" max="3337" width="13.5703125" style="10" customWidth="1"/>
    <col min="3338" max="3338" width="14.5703125" style="10" customWidth="1"/>
    <col min="3339" max="3339" width="12.5703125" style="10" customWidth="1"/>
    <col min="3340" max="3340" width="12.140625" style="10" customWidth="1"/>
    <col min="3341" max="3587" width="12" style="10"/>
    <col min="3588" max="3588" width="6.85546875" style="10" customWidth="1"/>
    <col min="3589" max="3589" width="11.28515625" style="10" customWidth="1"/>
    <col min="3590" max="3590" width="12.42578125" style="10" customWidth="1"/>
    <col min="3591" max="3591" width="12.85546875" style="10" customWidth="1"/>
    <col min="3592" max="3592" width="14.42578125" style="10" customWidth="1"/>
    <col min="3593" max="3593" width="13.5703125" style="10" customWidth="1"/>
    <col min="3594" max="3594" width="14.5703125" style="10" customWidth="1"/>
    <col min="3595" max="3595" width="12.5703125" style="10" customWidth="1"/>
    <col min="3596" max="3596" width="12.140625" style="10" customWidth="1"/>
    <col min="3597" max="3843" width="12" style="10"/>
    <col min="3844" max="3844" width="6.85546875" style="10" customWidth="1"/>
    <col min="3845" max="3845" width="11.28515625" style="10" customWidth="1"/>
    <col min="3846" max="3846" width="12.42578125" style="10" customWidth="1"/>
    <col min="3847" max="3847" width="12.85546875" style="10" customWidth="1"/>
    <col min="3848" max="3848" width="14.42578125" style="10" customWidth="1"/>
    <col min="3849" max="3849" width="13.5703125" style="10" customWidth="1"/>
    <col min="3850" max="3850" width="14.5703125" style="10" customWidth="1"/>
    <col min="3851" max="3851" width="12.5703125" style="10" customWidth="1"/>
    <col min="3852" max="3852" width="12.140625" style="10" customWidth="1"/>
    <col min="3853" max="4099" width="12" style="10"/>
    <col min="4100" max="4100" width="6.85546875" style="10" customWidth="1"/>
    <col min="4101" max="4101" width="11.28515625" style="10" customWidth="1"/>
    <col min="4102" max="4102" width="12.42578125" style="10" customWidth="1"/>
    <col min="4103" max="4103" width="12.85546875" style="10" customWidth="1"/>
    <col min="4104" max="4104" width="14.42578125" style="10" customWidth="1"/>
    <col min="4105" max="4105" width="13.5703125" style="10" customWidth="1"/>
    <col min="4106" max="4106" width="14.5703125" style="10" customWidth="1"/>
    <col min="4107" max="4107" width="12.5703125" style="10" customWidth="1"/>
    <col min="4108" max="4108" width="12.140625" style="10" customWidth="1"/>
    <col min="4109" max="4355" width="12" style="10"/>
    <col min="4356" max="4356" width="6.85546875" style="10" customWidth="1"/>
    <col min="4357" max="4357" width="11.28515625" style="10" customWidth="1"/>
    <col min="4358" max="4358" width="12.42578125" style="10" customWidth="1"/>
    <col min="4359" max="4359" width="12.85546875" style="10" customWidth="1"/>
    <col min="4360" max="4360" width="14.42578125" style="10" customWidth="1"/>
    <col min="4361" max="4361" width="13.5703125" style="10" customWidth="1"/>
    <col min="4362" max="4362" width="14.5703125" style="10" customWidth="1"/>
    <col min="4363" max="4363" width="12.5703125" style="10" customWidth="1"/>
    <col min="4364" max="4364" width="12.140625" style="10" customWidth="1"/>
    <col min="4365" max="4611" width="12" style="10"/>
    <col min="4612" max="4612" width="6.85546875" style="10" customWidth="1"/>
    <col min="4613" max="4613" width="11.28515625" style="10" customWidth="1"/>
    <col min="4614" max="4614" width="12.42578125" style="10" customWidth="1"/>
    <col min="4615" max="4615" width="12.85546875" style="10" customWidth="1"/>
    <col min="4616" max="4616" width="14.42578125" style="10" customWidth="1"/>
    <col min="4617" max="4617" width="13.5703125" style="10" customWidth="1"/>
    <col min="4618" max="4618" width="14.5703125" style="10" customWidth="1"/>
    <col min="4619" max="4619" width="12.5703125" style="10" customWidth="1"/>
    <col min="4620" max="4620" width="12.140625" style="10" customWidth="1"/>
    <col min="4621" max="4867" width="12" style="10"/>
    <col min="4868" max="4868" width="6.85546875" style="10" customWidth="1"/>
    <col min="4869" max="4869" width="11.28515625" style="10" customWidth="1"/>
    <col min="4870" max="4870" width="12.42578125" style="10" customWidth="1"/>
    <col min="4871" max="4871" width="12.85546875" style="10" customWidth="1"/>
    <col min="4872" max="4872" width="14.42578125" style="10" customWidth="1"/>
    <col min="4873" max="4873" width="13.5703125" style="10" customWidth="1"/>
    <col min="4874" max="4874" width="14.5703125" style="10" customWidth="1"/>
    <col min="4875" max="4875" width="12.5703125" style="10" customWidth="1"/>
    <col min="4876" max="4876" width="12.140625" style="10" customWidth="1"/>
    <col min="4877" max="5123" width="12" style="10"/>
    <col min="5124" max="5124" width="6.85546875" style="10" customWidth="1"/>
    <col min="5125" max="5125" width="11.28515625" style="10" customWidth="1"/>
    <col min="5126" max="5126" width="12.42578125" style="10" customWidth="1"/>
    <col min="5127" max="5127" width="12.85546875" style="10" customWidth="1"/>
    <col min="5128" max="5128" width="14.42578125" style="10" customWidth="1"/>
    <col min="5129" max="5129" width="13.5703125" style="10" customWidth="1"/>
    <col min="5130" max="5130" width="14.5703125" style="10" customWidth="1"/>
    <col min="5131" max="5131" width="12.5703125" style="10" customWidth="1"/>
    <col min="5132" max="5132" width="12.140625" style="10" customWidth="1"/>
    <col min="5133" max="5379" width="12" style="10"/>
    <col min="5380" max="5380" width="6.85546875" style="10" customWidth="1"/>
    <col min="5381" max="5381" width="11.28515625" style="10" customWidth="1"/>
    <col min="5382" max="5382" width="12.42578125" style="10" customWidth="1"/>
    <col min="5383" max="5383" width="12.85546875" style="10" customWidth="1"/>
    <col min="5384" max="5384" width="14.42578125" style="10" customWidth="1"/>
    <col min="5385" max="5385" width="13.5703125" style="10" customWidth="1"/>
    <col min="5386" max="5386" width="14.5703125" style="10" customWidth="1"/>
    <col min="5387" max="5387" width="12.5703125" style="10" customWidth="1"/>
    <col min="5388" max="5388" width="12.140625" style="10" customWidth="1"/>
    <col min="5389" max="5635" width="12" style="10"/>
    <col min="5636" max="5636" width="6.85546875" style="10" customWidth="1"/>
    <col min="5637" max="5637" width="11.28515625" style="10" customWidth="1"/>
    <col min="5638" max="5638" width="12.42578125" style="10" customWidth="1"/>
    <col min="5639" max="5639" width="12.85546875" style="10" customWidth="1"/>
    <col min="5640" max="5640" width="14.42578125" style="10" customWidth="1"/>
    <col min="5641" max="5641" width="13.5703125" style="10" customWidth="1"/>
    <col min="5642" max="5642" width="14.5703125" style="10" customWidth="1"/>
    <col min="5643" max="5643" width="12.5703125" style="10" customWidth="1"/>
    <col min="5644" max="5644" width="12.140625" style="10" customWidth="1"/>
    <col min="5645" max="5891" width="12" style="10"/>
    <col min="5892" max="5892" width="6.85546875" style="10" customWidth="1"/>
    <col min="5893" max="5893" width="11.28515625" style="10" customWidth="1"/>
    <col min="5894" max="5894" width="12.42578125" style="10" customWidth="1"/>
    <col min="5895" max="5895" width="12.85546875" style="10" customWidth="1"/>
    <col min="5896" max="5896" width="14.42578125" style="10" customWidth="1"/>
    <col min="5897" max="5897" width="13.5703125" style="10" customWidth="1"/>
    <col min="5898" max="5898" width="14.5703125" style="10" customWidth="1"/>
    <col min="5899" max="5899" width="12.5703125" style="10" customWidth="1"/>
    <col min="5900" max="5900" width="12.140625" style="10" customWidth="1"/>
    <col min="5901" max="6147" width="12" style="10"/>
    <col min="6148" max="6148" width="6.85546875" style="10" customWidth="1"/>
    <col min="6149" max="6149" width="11.28515625" style="10" customWidth="1"/>
    <col min="6150" max="6150" width="12.42578125" style="10" customWidth="1"/>
    <col min="6151" max="6151" width="12.85546875" style="10" customWidth="1"/>
    <col min="6152" max="6152" width="14.42578125" style="10" customWidth="1"/>
    <col min="6153" max="6153" width="13.5703125" style="10" customWidth="1"/>
    <col min="6154" max="6154" width="14.5703125" style="10" customWidth="1"/>
    <col min="6155" max="6155" width="12.5703125" style="10" customWidth="1"/>
    <col min="6156" max="6156" width="12.140625" style="10" customWidth="1"/>
    <col min="6157" max="6403" width="12" style="10"/>
    <col min="6404" max="6404" width="6.85546875" style="10" customWidth="1"/>
    <col min="6405" max="6405" width="11.28515625" style="10" customWidth="1"/>
    <col min="6406" max="6406" width="12.42578125" style="10" customWidth="1"/>
    <col min="6407" max="6407" width="12.85546875" style="10" customWidth="1"/>
    <col min="6408" max="6408" width="14.42578125" style="10" customWidth="1"/>
    <col min="6409" max="6409" width="13.5703125" style="10" customWidth="1"/>
    <col min="6410" max="6410" width="14.5703125" style="10" customWidth="1"/>
    <col min="6411" max="6411" width="12.5703125" style="10" customWidth="1"/>
    <col min="6412" max="6412" width="12.140625" style="10" customWidth="1"/>
    <col min="6413" max="6659" width="12" style="10"/>
    <col min="6660" max="6660" width="6.85546875" style="10" customWidth="1"/>
    <col min="6661" max="6661" width="11.28515625" style="10" customWidth="1"/>
    <col min="6662" max="6662" width="12.42578125" style="10" customWidth="1"/>
    <col min="6663" max="6663" width="12.85546875" style="10" customWidth="1"/>
    <col min="6664" max="6664" width="14.42578125" style="10" customWidth="1"/>
    <col min="6665" max="6665" width="13.5703125" style="10" customWidth="1"/>
    <col min="6666" max="6666" width="14.5703125" style="10" customWidth="1"/>
    <col min="6667" max="6667" width="12.5703125" style="10" customWidth="1"/>
    <col min="6668" max="6668" width="12.140625" style="10" customWidth="1"/>
    <col min="6669" max="6915" width="12" style="10"/>
    <col min="6916" max="6916" width="6.85546875" style="10" customWidth="1"/>
    <col min="6917" max="6917" width="11.28515625" style="10" customWidth="1"/>
    <col min="6918" max="6918" width="12.42578125" style="10" customWidth="1"/>
    <col min="6919" max="6919" width="12.85546875" style="10" customWidth="1"/>
    <col min="6920" max="6920" width="14.42578125" style="10" customWidth="1"/>
    <col min="6921" max="6921" width="13.5703125" style="10" customWidth="1"/>
    <col min="6922" max="6922" width="14.5703125" style="10" customWidth="1"/>
    <col min="6923" max="6923" width="12.5703125" style="10" customWidth="1"/>
    <col min="6924" max="6924" width="12.140625" style="10" customWidth="1"/>
    <col min="6925" max="7171" width="12" style="10"/>
    <col min="7172" max="7172" width="6.85546875" style="10" customWidth="1"/>
    <col min="7173" max="7173" width="11.28515625" style="10" customWidth="1"/>
    <col min="7174" max="7174" width="12.42578125" style="10" customWidth="1"/>
    <col min="7175" max="7175" width="12.85546875" style="10" customWidth="1"/>
    <col min="7176" max="7176" width="14.42578125" style="10" customWidth="1"/>
    <col min="7177" max="7177" width="13.5703125" style="10" customWidth="1"/>
    <col min="7178" max="7178" width="14.5703125" style="10" customWidth="1"/>
    <col min="7179" max="7179" width="12.5703125" style="10" customWidth="1"/>
    <col min="7180" max="7180" width="12.140625" style="10" customWidth="1"/>
    <col min="7181" max="7427" width="12" style="10"/>
    <col min="7428" max="7428" width="6.85546875" style="10" customWidth="1"/>
    <col min="7429" max="7429" width="11.28515625" style="10" customWidth="1"/>
    <col min="7430" max="7430" width="12.42578125" style="10" customWidth="1"/>
    <col min="7431" max="7431" width="12.85546875" style="10" customWidth="1"/>
    <col min="7432" max="7432" width="14.42578125" style="10" customWidth="1"/>
    <col min="7433" max="7433" width="13.5703125" style="10" customWidth="1"/>
    <col min="7434" max="7434" width="14.5703125" style="10" customWidth="1"/>
    <col min="7435" max="7435" width="12.5703125" style="10" customWidth="1"/>
    <col min="7436" max="7436" width="12.140625" style="10" customWidth="1"/>
    <col min="7437" max="7683" width="12" style="10"/>
    <col min="7684" max="7684" width="6.85546875" style="10" customWidth="1"/>
    <col min="7685" max="7685" width="11.28515625" style="10" customWidth="1"/>
    <col min="7686" max="7686" width="12.42578125" style="10" customWidth="1"/>
    <col min="7687" max="7687" width="12.85546875" style="10" customWidth="1"/>
    <col min="7688" max="7688" width="14.42578125" style="10" customWidth="1"/>
    <col min="7689" max="7689" width="13.5703125" style="10" customWidth="1"/>
    <col min="7690" max="7690" width="14.5703125" style="10" customWidth="1"/>
    <col min="7691" max="7691" width="12.5703125" style="10" customWidth="1"/>
    <col min="7692" max="7692" width="12.140625" style="10" customWidth="1"/>
    <col min="7693" max="7939" width="12" style="10"/>
    <col min="7940" max="7940" width="6.85546875" style="10" customWidth="1"/>
    <col min="7941" max="7941" width="11.28515625" style="10" customWidth="1"/>
    <col min="7942" max="7942" width="12.42578125" style="10" customWidth="1"/>
    <col min="7943" max="7943" width="12.85546875" style="10" customWidth="1"/>
    <col min="7944" max="7944" width="14.42578125" style="10" customWidth="1"/>
    <col min="7945" max="7945" width="13.5703125" style="10" customWidth="1"/>
    <col min="7946" max="7946" width="14.5703125" style="10" customWidth="1"/>
    <col min="7947" max="7947" width="12.5703125" style="10" customWidth="1"/>
    <col min="7948" max="7948" width="12.140625" style="10" customWidth="1"/>
    <col min="7949" max="8195" width="12" style="10"/>
    <col min="8196" max="8196" width="6.85546875" style="10" customWidth="1"/>
    <col min="8197" max="8197" width="11.28515625" style="10" customWidth="1"/>
    <col min="8198" max="8198" width="12.42578125" style="10" customWidth="1"/>
    <col min="8199" max="8199" width="12.85546875" style="10" customWidth="1"/>
    <col min="8200" max="8200" width="14.42578125" style="10" customWidth="1"/>
    <col min="8201" max="8201" width="13.5703125" style="10" customWidth="1"/>
    <col min="8202" max="8202" width="14.5703125" style="10" customWidth="1"/>
    <col min="8203" max="8203" width="12.5703125" style="10" customWidth="1"/>
    <col min="8204" max="8204" width="12.140625" style="10" customWidth="1"/>
    <col min="8205" max="8451" width="12" style="10"/>
    <col min="8452" max="8452" width="6.85546875" style="10" customWidth="1"/>
    <col min="8453" max="8453" width="11.28515625" style="10" customWidth="1"/>
    <col min="8454" max="8454" width="12.42578125" style="10" customWidth="1"/>
    <col min="8455" max="8455" width="12.85546875" style="10" customWidth="1"/>
    <col min="8456" max="8456" width="14.42578125" style="10" customWidth="1"/>
    <col min="8457" max="8457" width="13.5703125" style="10" customWidth="1"/>
    <col min="8458" max="8458" width="14.5703125" style="10" customWidth="1"/>
    <col min="8459" max="8459" width="12.5703125" style="10" customWidth="1"/>
    <col min="8460" max="8460" width="12.140625" style="10" customWidth="1"/>
    <col min="8461" max="8707" width="12" style="10"/>
    <col min="8708" max="8708" width="6.85546875" style="10" customWidth="1"/>
    <col min="8709" max="8709" width="11.28515625" style="10" customWidth="1"/>
    <col min="8710" max="8710" width="12.42578125" style="10" customWidth="1"/>
    <col min="8711" max="8711" width="12.85546875" style="10" customWidth="1"/>
    <col min="8712" max="8712" width="14.42578125" style="10" customWidth="1"/>
    <col min="8713" max="8713" width="13.5703125" style="10" customWidth="1"/>
    <col min="8714" max="8714" width="14.5703125" style="10" customWidth="1"/>
    <col min="8715" max="8715" width="12.5703125" style="10" customWidth="1"/>
    <col min="8716" max="8716" width="12.140625" style="10" customWidth="1"/>
    <col min="8717" max="8963" width="12" style="10"/>
    <col min="8964" max="8964" width="6.85546875" style="10" customWidth="1"/>
    <col min="8965" max="8965" width="11.28515625" style="10" customWidth="1"/>
    <col min="8966" max="8966" width="12.42578125" style="10" customWidth="1"/>
    <col min="8967" max="8967" width="12.85546875" style="10" customWidth="1"/>
    <col min="8968" max="8968" width="14.42578125" style="10" customWidth="1"/>
    <col min="8969" max="8969" width="13.5703125" style="10" customWidth="1"/>
    <col min="8970" max="8970" width="14.5703125" style="10" customWidth="1"/>
    <col min="8971" max="8971" width="12.5703125" style="10" customWidth="1"/>
    <col min="8972" max="8972" width="12.140625" style="10" customWidth="1"/>
    <col min="8973" max="9219" width="12" style="10"/>
    <col min="9220" max="9220" width="6.85546875" style="10" customWidth="1"/>
    <col min="9221" max="9221" width="11.28515625" style="10" customWidth="1"/>
    <col min="9222" max="9222" width="12.42578125" style="10" customWidth="1"/>
    <col min="9223" max="9223" width="12.85546875" style="10" customWidth="1"/>
    <col min="9224" max="9224" width="14.42578125" style="10" customWidth="1"/>
    <col min="9225" max="9225" width="13.5703125" style="10" customWidth="1"/>
    <col min="9226" max="9226" width="14.5703125" style="10" customWidth="1"/>
    <col min="9227" max="9227" width="12.5703125" style="10" customWidth="1"/>
    <col min="9228" max="9228" width="12.140625" style="10" customWidth="1"/>
    <col min="9229" max="9475" width="12" style="10"/>
    <col min="9476" max="9476" width="6.85546875" style="10" customWidth="1"/>
    <col min="9477" max="9477" width="11.28515625" style="10" customWidth="1"/>
    <col min="9478" max="9478" width="12.42578125" style="10" customWidth="1"/>
    <col min="9479" max="9479" width="12.85546875" style="10" customWidth="1"/>
    <col min="9480" max="9480" width="14.42578125" style="10" customWidth="1"/>
    <col min="9481" max="9481" width="13.5703125" style="10" customWidth="1"/>
    <col min="9482" max="9482" width="14.5703125" style="10" customWidth="1"/>
    <col min="9483" max="9483" width="12.5703125" style="10" customWidth="1"/>
    <col min="9484" max="9484" width="12.140625" style="10" customWidth="1"/>
    <col min="9485" max="9731" width="12" style="10"/>
    <col min="9732" max="9732" width="6.85546875" style="10" customWidth="1"/>
    <col min="9733" max="9733" width="11.28515625" style="10" customWidth="1"/>
    <col min="9734" max="9734" width="12.42578125" style="10" customWidth="1"/>
    <col min="9735" max="9735" width="12.85546875" style="10" customWidth="1"/>
    <col min="9736" max="9736" width="14.42578125" style="10" customWidth="1"/>
    <col min="9737" max="9737" width="13.5703125" style="10" customWidth="1"/>
    <col min="9738" max="9738" width="14.5703125" style="10" customWidth="1"/>
    <col min="9739" max="9739" width="12.5703125" style="10" customWidth="1"/>
    <col min="9740" max="9740" width="12.140625" style="10" customWidth="1"/>
    <col min="9741" max="9987" width="12" style="10"/>
    <col min="9988" max="9988" width="6.85546875" style="10" customWidth="1"/>
    <col min="9989" max="9989" width="11.28515625" style="10" customWidth="1"/>
    <col min="9990" max="9990" width="12.42578125" style="10" customWidth="1"/>
    <col min="9991" max="9991" width="12.85546875" style="10" customWidth="1"/>
    <col min="9992" max="9992" width="14.42578125" style="10" customWidth="1"/>
    <col min="9993" max="9993" width="13.5703125" style="10" customWidth="1"/>
    <col min="9994" max="9994" width="14.5703125" style="10" customWidth="1"/>
    <col min="9995" max="9995" width="12.5703125" style="10" customWidth="1"/>
    <col min="9996" max="9996" width="12.140625" style="10" customWidth="1"/>
    <col min="9997" max="10243" width="12" style="10"/>
    <col min="10244" max="10244" width="6.85546875" style="10" customWidth="1"/>
    <col min="10245" max="10245" width="11.28515625" style="10" customWidth="1"/>
    <col min="10246" max="10246" width="12.42578125" style="10" customWidth="1"/>
    <col min="10247" max="10247" width="12.85546875" style="10" customWidth="1"/>
    <col min="10248" max="10248" width="14.42578125" style="10" customWidth="1"/>
    <col min="10249" max="10249" width="13.5703125" style="10" customWidth="1"/>
    <col min="10250" max="10250" width="14.5703125" style="10" customWidth="1"/>
    <col min="10251" max="10251" width="12.5703125" style="10" customWidth="1"/>
    <col min="10252" max="10252" width="12.140625" style="10" customWidth="1"/>
    <col min="10253" max="10499" width="12" style="10"/>
    <col min="10500" max="10500" width="6.85546875" style="10" customWidth="1"/>
    <col min="10501" max="10501" width="11.28515625" style="10" customWidth="1"/>
    <col min="10502" max="10502" width="12.42578125" style="10" customWidth="1"/>
    <col min="10503" max="10503" width="12.85546875" style="10" customWidth="1"/>
    <col min="10504" max="10504" width="14.42578125" style="10" customWidth="1"/>
    <col min="10505" max="10505" width="13.5703125" style="10" customWidth="1"/>
    <col min="10506" max="10506" width="14.5703125" style="10" customWidth="1"/>
    <col min="10507" max="10507" width="12.5703125" style="10" customWidth="1"/>
    <col min="10508" max="10508" width="12.140625" style="10" customWidth="1"/>
    <col min="10509" max="10755" width="12" style="10"/>
    <col min="10756" max="10756" width="6.85546875" style="10" customWidth="1"/>
    <col min="10757" max="10757" width="11.28515625" style="10" customWidth="1"/>
    <col min="10758" max="10758" width="12.42578125" style="10" customWidth="1"/>
    <col min="10759" max="10759" width="12.85546875" style="10" customWidth="1"/>
    <col min="10760" max="10760" width="14.42578125" style="10" customWidth="1"/>
    <col min="10761" max="10761" width="13.5703125" style="10" customWidth="1"/>
    <col min="10762" max="10762" width="14.5703125" style="10" customWidth="1"/>
    <col min="10763" max="10763" width="12.5703125" style="10" customWidth="1"/>
    <col min="10764" max="10764" width="12.140625" style="10" customWidth="1"/>
    <col min="10765" max="11011" width="12" style="10"/>
    <col min="11012" max="11012" width="6.85546875" style="10" customWidth="1"/>
    <col min="11013" max="11013" width="11.28515625" style="10" customWidth="1"/>
    <col min="11014" max="11014" width="12.42578125" style="10" customWidth="1"/>
    <col min="11015" max="11015" width="12.85546875" style="10" customWidth="1"/>
    <col min="11016" max="11016" width="14.42578125" style="10" customWidth="1"/>
    <col min="11017" max="11017" width="13.5703125" style="10" customWidth="1"/>
    <col min="11018" max="11018" width="14.5703125" style="10" customWidth="1"/>
    <col min="11019" max="11019" width="12.5703125" style="10" customWidth="1"/>
    <col min="11020" max="11020" width="12.140625" style="10" customWidth="1"/>
    <col min="11021" max="11267" width="12" style="10"/>
    <col min="11268" max="11268" width="6.85546875" style="10" customWidth="1"/>
    <col min="11269" max="11269" width="11.28515625" style="10" customWidth="1"/>
    <col min="11270" max="11270" width="12.42578125" style="10" customWidth="1"/>
    <col min="11271" max="11271" width="12.85546875" style="10" customWidth="1"/>
    <col min="11272" max="11272" width="14.42578125" style="10" customWidth="1"/>
    <col min="11273" max="11273" width="13.5703125" style="10" customWidth="1"/>
    <col min="11274" max="11274" width="14.5703125" style="10" customWidth="1"/>
    <col min="11275" max="11275" width="12.5703125" style="10" customWidth="1"/>
    <col min="11276" max="11276" width="12.140625" style="10" customWidth="1"/>
    <col min="11277" max="11523" width="12" style="10"/>
    <col min="11524" max="11524" width="6.85546875" style="10" customWidth="1"/>
    <col min="11525" max="11525" width="11.28515625" style="10" customWidth="1"/>
    <col min="11526" max="11526" width="12.42578125" style="10" customWidth="1"/>
    <col min="11527" max="11527" width="12.85546875" style="10" customWidth="1"/>
    <col min="11528" max="11528" width="14.42578125" style="10" customWidth="1"/>
    <col min="11529" max="11529" width="13.5703125" style="10" customWidth="1"/>
    <col min="11530" max="11530" width="14.5703125" style="10" customWidth="1"/>
    <col min="11531" max="11531" width="12.5703125" style="10" customWidth="1"/>
    <col min="11532" max="11532" width="12.140625" style="10" customWidth="1"/>
    <col min="11533" max="11779" width="12" style="10"/>
    <col min="11780" max="11780" width="6.85546875" style="10" customWidth="1"/>
    <col min="11781" max="11781" width="11.28515625" style="10" customWidth="1"/>
    <col min="11782" max="11782" width="12.42578125" style="10" customWidth="1"/>
    <col min="11783" max="11783" width="12.85546875" style="10" customWidth="1"/>
    <col min="11784" max="11784" width="14.42578125" style="10" customWidth="1"/>
    <col min="11785" max="11785" width="13.5703125" style="10" customWidth="1"/>
    <col min="11786" max="11786" width="14.5703125" style="10" customWidth="1"/>
    <col min="11787" max="11787" width="12.5703125" style="10" customWidth="1"/>
    <col min="11788" max="11788" width="12.140625" style="10" customWidth="1"/>
    <col min="11789" max="12035" width="12" style="10"/>
    <col min="12036" max="12036" width="6.85546875" style="10" customWidth="1"/>
    <col min="12037" max="12037" width="11.28515625" style="10" customWidth="1"/>
    <col min="12038" max="12038" width="12.42578125" style="10" customWidth="1"/>
    <col min="12039" max="12039" width="12.85546875" style="10" customWidth="1"/>
    <col min="12040" max="12040" width="14.42578125" style="10" customWidth="1"/>
    <col min="12041" max="12041" width="13.5703125" style="10" customWidth="1"/>
    <col min="12042" max="12042" width="14.5703125" style="10" customWidth="1"/>
    <col min="12043" max="12043" width="12.5703125" style="10" customWidth="1"/>
    <col min="12044" max="12044" width="12.140625" style="10" customWidth="1"/>
    <col min="12045" max="12291" width="12" style="10"/>
    <col min="12292" max="12292" width="6.85546875" style="10" customWidth="1"/>
    <col min="12293" max="12293" width="11.28515625" style="10" customWidth="1"/>
    <col min="12294" max="12294" width="12.42578125" style="10" customWidth="1"/>
    <col min="12295" max="12295" width="12.85546875" style="10" customWidth="1"/>
    <col min="12296" max="12296" width="14.42578125" style="10" customWidth="1"/>
    <col min="12297" max="12297" width="13.5703125" style="10" customWidth="1"/>
    <col min="12298" max="12298" width="14.5703125" style="10" customWidth="1"/>
    <col min="12299" max="12299" width="12.5703125" style="10" customWidth="1"/>
    <col min="12300" max="12300" width="12.140625" style="10" customWidth="1"/>
    <col min="12301" max="12547" width="12" style="10"/>
    <col min="12548" max="12548" width="6.85546875" style="10" customWidth="1"/>
    <col min="12549" max="12549" width="11.28515625" style="10" customWidth="1"/>
    <col min="12550" max="12550" width="12.42578125" style="10" customWidth="1"/>
    <col min="12551" max="12551" width="12.85546875" style="10" customWidth="1"/>
    <col min="12552" max="12552" width="14.42578125" style="10" customWidth="1"/>
    <col min="12553" max="12553" width="13.5703125" style="10" customWidth="1"/>
    <col min="12554" max="12554" width="14.5703125" style="10" customWidth="1"/>
    <col min="12555" max="12555" width="12.5703125" style="10" customWidth="1"/>
    <col min="12556" max="12556" width="12.140625" style="10" customWidth="1"/>
    <col min="12557" max="12803" width="12" style="10"/>
    <col min="12804" max="12804" width="6.85546875" style="10" customWidth="1"/>
    <col min="12805" max="12805" width="11.28515625" style="10" customWidth="1"/>
    <col min="12806" max="12806" width="12.42578125" style="10" customWidth="1"/>
    <col min="12807" max="12807" width="12.85546875" style="10" customWidth="1"/>
    <col min="12808" max="12808" width="14.42578125" style="10" customWidth="1"/>
    <col min="12809" max="12809" width="13.5703125" style="10" customWidth="1"/>
    <col min="12810" max="12810" width="14.5703125" style="10" customWidth="1"/>
    <col min="12811" max="12811" width="12.5703125" style="10" customWidth="1"/>
    <col min="12812" max="12812" width="12.140625" style="10" customWidth="1"/>
    <col min="12813" max="13059" width="12" style="10"/>
    <col min="13060" max="13060" width="6.85546875" style="10" customWidth="1"/>
    <col min="13061" max="13061" width="11.28515625" style="10" customWidth="1"/>
    <col min="13062" max="13062" width="12.42578125" style="10" customWidth="1"/>
    <col min="13063" max="13063" width="12.85546875" style="10" customWidth="1"/>
    <col min="13064" max="13064" width="14.42578125" style="10" customWidth="1"/>
    <col min="13065" max="13065" width="13.5703125" style="10" customWidth="1"/>
    <col min="13066" max="13066" width="14.5703125" style="10" customWidth="1"/>
    <col min="13067" max="13067" width="12.5703125" style="10" customWidth="1"/>
    <col min="13068" max="13068" width="12.140625" style="10" customWidth="1"/>
    <col min="13069" max="13315" width="12" style="10"/>
    <col min="13316" max="13316" width="6.85546875" style="10" customWidth="1"/>
    <col min="13317" max="13317" width="11.28515625" style="10" customWidth="1"/>
    <col min="13318" max="13318" width="12.42578125" style="10" customWidth="1"/>
    <col min="13319" max="13319" width="12.85546875" style="10" customWidth="1"/>
    <col min="13320" max="13320" width="14.42578125" style="10" customWidth="1"/>
    <col min="13321" max="13321" width="13.5703125" style="10" customWidth="1"/>
    <col min="13322" max="13322" width="14.5703125" style="10" customWidth="1"/>
    <col min="13323" max="13323" width="12.5703125" style="10" customWidth="1"/>
    <col min="13324" max="13324" width="12.140625" style="10" customWidth="1"/>
    <col min="13325" max="13571" width="12" style="10"/>
    <col min="13572" max="13572" width="6.85546875" style="10" customWidth="1"/>
    <col min="13573" max="13573" width="11.28515625" style="10" customWidth="1"/>
    <col min="13574" max="13574" width="12.42578125" style="10" customWidth="1"/>
    <col min="13575" max="13575" width="12.85546875" style="10" customWidth="1"/>
    <col min="13576" max="13576" width="14.42578125" style="10" customWidth="1"/>
    <col min="13577" max="13577" width="13.5703125" style="10" customWidth="1"/>
    <col min="13578" max="13578" width="14.5703125" style="10" customWidth="1"/>
    <col min="13579" max="13579" width="12.5703125" style="10" customWidth="1"/>
    <col min="13580" max="13580" width="12.140625" style="10" customWidth="1"/>
    <col min="13581" max="13827" width="12" style="10"/>
    <col min="13828" max="13828" width="6.85546875" style="10" customWidth="1"/>
    <col min="13829" max="13829" width="11.28515625" style="10" customWidth="1"/>
    <col min="13830" max="13830" width="12.42578125" style="10" customWidth="1"/>
    <col min="13831" max="13831" width="12.85546875" style="10" customWidth="1"/>
    <col min="13832" max="13832" width="14.42578125" style="10" customWidth="1"/>
    <col min="13833" max="13833" width="13.5703125" style="10" customWidth="1"/>
    <col min="13834" max="13834" width="14.5703125" style="10" customWidth="1"/>
    <col min="13835" max="13835" width="12.5703125" style="10" customWidth="1"/>
    <col min="13836" max="13836" width="12.140625" style="10" customWidth="1"/>
    <col min="13837" max="14083" width="12" style="10"/>
    <col min="14084" max="14084" width="6.85546875" style="10" customWidth="1"/>
    <col min="14085" max="14085" width="11.28515625" style="10" customWidth="1"/>
    <col min="14086" max="14086" width="12.42578125" style="10" customWidth="1"/>
    <col min="14087" max="14087" width="12.85546875" style="10" customWidth="1"/>
    <col min="14088" max="14088" width="14.42578125" style="10" customWidth="1"/>
    <col min="14089" max="14089" width="13.5703125" style="10" customWidth="1"/>
    <col min="14090" max="14090" width="14.5703125" style="10" customWidth="1"/>
    <col min="14091" max="14091" width="12.5703125" style="10" customWidth="1"/>
    <col min="14092" max="14092" width="12.140625" style="10" customWidth="1"/>
    <col min="14093" max="14339" width="12" style="10"/>
    <col min="14340" max="14340" width="6.85546875" style="10" customWidth="1"/>
    <col min="14341" max="14341" width="11.28515625" style="10" customWidth="1"/>
    <col min="14342" max="14342" width="12.42578125" style="10" customWidth="1"/>
    <col min="14343" max="14343" width="12.85546875" style="10" customWidth="1"/>
    <col min="14344" max="14344" width="14.42578125" style="10" customWidth="1"/>
    <col min="14345" max="14345" width="13.5703125" style="10" customWidth="1"/>
    <col min="14346" max="14346" width="14.5703125" style="10" customWidth="1"/>
    <col min="14347" max="14347" width="12.5703125" style="10" customWidth="1"/>
    <col min="14348" max="14348" width="12.140625" style="10" customWidth="1"/>
    <col min="14349" max="14595" width="12" style="10"/>
    <col min="14596" max="14596" width="6.85546875" style="10" customWidth="1"/>
    <col min="14597" max="14597" width="11.28515625" style="10" customWidth="1"/>
    <col min="14598" max="14598" width="12.42578125" style="10" customWidth="1"/>
    <col min="14599" max="14599" width="12.85546875" style="10" customWidth="1"/>
    <col min="14600" max="14600" width="14.42578125" style="10" customWidth="1"/>
    <col min="14601" max="14601" width="13.5703125" style="10" customWidth="1"/>
    <col min="14602" max="14602" width="14.5703125" style="10" customWidth="1"/>
    <col min="14603" max="14603" width="12.5703125" style="10" customWidth="1"/>
    <col min="14604" max="14604" width="12.140625" style="10" customWidth="1"/>
    <col min="14605" max="14851" width="12" style="10"/>
    <col min="14852" max="14852" width="6.85546875" style="10" customWidth="1"/>
    <col min="14853" max="14853" width="11.28515625" style="10" customWidth="1"/>
    <col min="14854" max="14854" width="12.42578125" style="10" customWidth="1"/>
    <col min="14855" max="14855" width="12.85546875" style="10" customWidth="1"/>
    <col min="14856" max="14856" width="14.42578125" style="10" customWidth="1"/>
    <col min="14857" max="14857" width="13.5703125" style="10" customWidth="1"/>
    <col min="14858" max="14858" width="14.5703125" style="10" customWidth="1"/>
    <col min="14859" max="14859" width="12.5703125" style="10" customWidth="1"/>
    <col min="14860" max="14860" width="12.140625" style="10" customWidth="1"/>
    <col min="14861" max="15107" width="12" style="10"/>
    <col min="15108" max="15108" width="6.85546875" style="10" customWidth="1"/>
    <col min="15109" max="15109" width="11.28515625" style="10" customWidth="1"/>
    <col min="15110" max="15110" width="12.42578125" style="10" customWidth="1"/>
    <col min="15111" max="15111" width="12.85546875" style="10" customWidth="1"/>
    <col min="15112" max="15112" width="14.42578125" style="10" customWidth="1"/>
    <col min="15113" max="15113" width="13.5703125" style="10" customWidth="1"/>
    <col min="15114" max="15114" width="14.5703125" style="10" customWidth="1"/>
    <col min="15115" max="15115" width="12.5703125" style="10" customWidth="1"/>
    <col min="15116" max="15116" width="12.140625" style="10" customWidth="1"/>
    <col min="15117" max="15363" width="12" style="10"/>
    <col min="15364" max="15364" width="6.85546875" style="10" customWidth="1"/>
    <col min="15365" max="15365" width="11.28515625" style="10" customWidth="1"/>
    <col min="15366" max="15366" width="12.42578125" style="10" customWidth="1"/>
    <col min="15367" max="15367" width="12.85546875" style="10" customWidth="1"/>
    <col min="15368" max="15368" width="14.42578125" style="10" customWidth="1"/>
    <col min="15369" max="15369" width="13.5703125" style="10" customWidth="1"/>
    <col min="15370" max="15370" width="14.5703125" style="10" customWidth="1"/>
    <col min="15371" max="15371" width="12.5703125" style="10" customWidth="1"/>
    <col min="15372" max="15372" width="12.140625" style="10" customWidth="1"/>
    <col min="15373" max="15619" width="12" style="10"/>
    <col min="15620" max="15620" width="6.85546875" style="10" customWidth="1"/>
    <col min="15621" max="15621" width="11.28515625" style="10" customWidth="1"/>
    <col min="15622" max="15622" width="12.42578125" style="10" customWidth="1"/>
    <col min="15623" max="15623" width="12.85546875" style="10" customWidth="1"/>
    <col min="15624" max="15624" width="14.42578125" style="10" customWidth="1"/>
    <col min="15625" max="15625" width="13.5703125" style="10" customWidth="1"/>
    <col min="15626" max="15626" width="14.5703125" style="10" customWidth="1"/>
    <col min="15627" max="15627" width="12.5703125" style="10" customWidth="1"/>
    <col min="15628" max="15628" width="12.140625" style="10" customWidth="1"/>
    <col min="15629" max="15875" width="12" style="10"/>
    <col min="15876" max="15876" width="6.85546875" style="10" customWidth="1"/>
    <col min="15877" max="15877" width="11.28515625" style="10" customWidth="1"/>
    <col min="15878" max="15878" width="12.42578125" style="10" customWidth="1"/>
    <col min="15879" max="15879" width="12.85546875" style="10" customWidth="1"/>
    <col min="15880" max="15880" width="14.42578125" style="10" customWidth="1"/>
    <col min="15881" max="15881" width="13.5703125" style="10" customWidth="1"/>
    <col min="15882" max="15882" width="14.5703125" style="10" customWidth="1"/>
    <col min="15883" max="15883" width="12.5703125" style="10" customWidth="1"/>
    <col min="15884" max="15884" width="12.140625" style="10" customWidth="1"/>
    <col min="15885" max="16131" width="12" style="10"/>
    <col min="16132" max="16132" width="6.85546875" style="10" customWidth="1"/>
    <col min="16133" max="16133" width="11.28515625" style="10" customWidth="1"/>
    <col min="16134" max="16134" width="12.42578125" style="10" customWidth="1"/>
    <col min="16135" max="16135" width="12.85546875" style="10" customWidth="1"/>
    <col min="16136" max="16136" width="14.42578125" style="10" customWidth="1"/>
    <col min="16137" max="16137" width="13.5703125" style="10" customWidth="1"/>
    <col min="16138" max="16138" width="14.5703125" style="10" customWidth="1"/>
    <col min="16139" max="16139" width="12.5703125" style="10" customWidth="1"/>
    <col min="16140" max="16140" width="12.140625" style="10" customWidth="1"/>
    <col min="16141" max="16384" width="12" style="10"/>
  </cols>
  <sheetData>
    <row r="1" spans="1:48" ht="15">
      <c r="A1" s="371" t="s">
        <v>262</v>
      </c>
      <c r="B1" s="371"/>
      <c r="C1" s="371"/>
      <c r="D1" s="371"/>
      <c r="E1" s="371"/>
      <c r="F1" s="371"/>
      <c r="G1" s="371"/>
      <c r="H1" s="371"/>
      <c r="I1" s="371"/>
      <c r="J1" s="371"/>
      <c r="K1" s="9"/>
      <c r="L1" s="9"/>
    </row>
    <row r="2" spans="1:48" s="13" customFormat="1" ht="15.75" customHeight="1">
      <c r="A2" s="322" t="s">
        <v>986</v>
      </c>
      <c r="B2" s="322"/>
      <c r="C2" s="322"/>
      <c r="D2" s="322"/>
      <c r="E2" s="322"/>
      <c r="F2" s="322"/>
      <c r="G2" s="322"/>
      <c r="H2" s="322"/>
      <c r="I2" s="322"/>
      <c r="J2" s="322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s="13" customFormat="1" ht="15.75" customHeight="1">
      <c r="A3" s="322" t="s">
        <v>263</v>
      </c>
      <c r="B3" s="322"/>
      <c r="C3" s="322"/>
      <c r="D3" s="322"/>
      <c r="E3" s="322"/>
      <c r="F3" s="322"/>
      <c r="G3" s="322"/>
      <c r="H3" s="322"/>
      <c r="I3" s="322"/>
      <c r="J3" s="322"/>
      <c r="K3" s="1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s="13" customFormat="1" ht="8.25" customHeight="1" thickBot="1">
      <c r="B4" s="211"/>
      <c r="C4" s="212"/>
      <c r="D4" s="212"/>
      <c r="E4" s="212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3"/>
      <c r="AO4" s="213"/>
      <c r="AP4" s="213"/>
    </row>
    <row r="5" spans="1:48" s="13" customFormat="1" ht="36" customHeight="1" thickTop="1" thickBot="1">
      <c r="A5" s="385" t="s">
        <v>22</v>
      </c>
      <c r="B5" s="385"/>
      <c r="C5" s="337" t="s">
        <v>264</v>
      </c>
      <c r="D5" s="337"/>
      <c r="E5" s="387" t="s">
        <v>304</v>
      </c>
      <c r="F5" s="387"/>
      <c r="G5" s="387"/>
      <c r="H5" s="387" t="s">
        <v>298</v>
      </c>
      <c r="I5" s="387"/>
      <c r="J5" s="387"/>
    </row>
    <row r="6" spans="1:48" s="13" customFormat="1" ht="36" customHeight="1" thickTop="1" thickBot="1">
      <c r="A6" s="386"/>
      <c r="B6" s="386"/>
      <c r="C6" s="278" t="s">
        <v>265</v>
      </c>
      <c r="D6" s="274" t="s">
        <v>352</v>
      </c>
      <c r="E6" s="277" t="s">
        <v>265</v>
      </c>
      <c r="F6" s="234" t="s">
        <v>352</v>
      </c>
      <c r="G6" s="234" t="s">
        <v>148</v>
      </c>
      <c r="H6" s="277" t="s">
        <v>265</v>
      </c>
      <c r="I6" s="234" t="s">
        <v>352</v>
      </c>
      <c r="J6" s="234" t="s">
        <v>148</v>
      </c>
    </row>
    <row r="7" spans="1:48" ht="18" customHeight="1" thickTop="1">
      <c r="A7" s="202">
        <v>2020</v>
      </c>
      <c r="B7" s="10" t="s">
        <v>12</v>
      </c>
      <c r="C7" s="203">
        <v>103.276</v>
      </c>
      <c r="D7" s="204">
        <v>0.66279999999999994</v>
      </c>
      <c r="E7" s="205">
        <v>103.00962</v>
      </c>
      <c r="F7" s="203">
        <v>0.77524000000000004</v>
      </c>
      <c r="G7" s="204">
        <v>0.64319000000000004</v>
      </c>
      <c r="H7" s="205">
        <v>104.60227999999999</v>
      </c>
      <c r="I7" s="203">
        <v>0.11514000000000001</v>
      </c>
      <c r="J7" s="203">
        <v>1.9609999999999999E-2</v>
      </c>
    </row>
    <row r="8" spans="1:48" ht="14.1" customHeight="1">
      <c r="A8" s="202"/>
      <c r="B8" s="10" t="s">
        <v>13</v>
      </c>
      <c r="C8" s="132">
        <v>103.892</v>
      </c>
      <c r="D8" s="134">
        <v>0.59645997133892514</v>
      </c>
      <c r="E8" s="206">
        <v>103.60039999999999</v>
      </c>
      <c r="F8" s="132">
        <v>0.57351924994966108</v>
      </c>
      <c r="G8" s="134">
        <v>0.47636000000000001</v>
      </c>
      <c r="H8" s="206">
        <v>105.34927</v>
      </c>
      <c r="I8" s="132">
        <v>0.71412401335804176</v>
      </c>
      <c r="J8" s="132">
        <v>0.12098</v>
      </c>
    </row>
    <row r="9" spans="1:48" ht="14.1" customHeight="1">
      <c r="A9" s="202"/>
      <c r="B9" s="10" t="s">
        <v>14</v>
      </c>
      <c r="C9" s="132">
        <v>104.39400000000001</v>
      </c>
      <c r="D9" s="134">
        <v>0.48319408616641635</v>
      </c>
      <c r="E9" s="206">
        <v>103.75736999999999</v>
      </c>
      <c r="F9" s="132">
        <v>0.15151485901598871</v>
      </c>
      <c r="G9" s="134">
        <v>0.12581999999999999</v>
      </c>
      <c r="H9" s="206">
        <v>107.56563</v>
      </c>
      <c r="I9" s="132">
        <v>2.1038209377245654</v>
      </c>
      <c r="J9" s="132">
        <v>0.35682000000000003</v>
      </c>
    </row>
    <row r="10" spans="1:48" ht="14.1" customHeight="1">
      <c r="A10" s="202"/>
      <c r="C10" s="132"/>
      <c r="D10" s="134"/>
      <c r="E10" s="206"/>
      <c r="F10" s="132"/>
      <c r="G10" s="134"/>
      <c r="H10" s="206"/>
      <c r="I10" s="132"/>
      <c r="J10" s="132"/>
    </row>
    <row r="11" spans="1:48" ht="14.1" customHeight="1">
      <c r="A11" s="202">
        <v>2021</v>
      </c>
      <c r="B11" s="10" t="s">
        <v>3</v>
      </c>
      <c r="C11" s="132">
        <v>105.404</v>
      </c>
      <c r="D11" s="134">
        <v>0.96748855298196546</v>
      </c>
      <c r="E11" s="206">
        <v>104.36264</v>
      </c>
      <c r="F11" s="132">
        <v>0.58335133205478229</v>
      </c>
      <c r="G11" s="134">
        <v>0.48282000000000003</v>
      </c>
      <c r="H11" s="206">
        <v>110.58953</v>
      </c>
      <c r="I11" s="132">
        <v>2.8112139537508352</v>
      </c>
      <c r="J11" s="132">
        <v>0.48448000000000002</v>
      </c>
    </row>
    <row r="12" spans="1:48" ht="14.1" customHeight="1">
      <c r="A12" s="202"/>
      <c r="B12" s="10" t="s">
        <v>4</v>
      </c>
      <c r="C12" s="132">
        <v>106.124</v>
      </c>
      <c r="D12" s="134">
        <v>0.68308603089066722</v>
      </c>
      <c r="E12" s="206">
        <v>104.71399</v>
      </c>
      <c r="F12" s="132">
        <v>0.33666262179645745</v>
      </c>
      <c r="G12" s="134">
        <v>0.27757999999999999</v>
      </c>
      <c r="H12" s="206">
        <v>113.14503000000001</v>
      </c>
      <c r="I12" s="132">
        <v>2.3107974145472943</v>
      </c>
      <c r="J12" s="132">
        <v>0.40551999999999999</v>
      </c>
    </row>
    <row r="13" spans="1:48" ht="14.1" customHeight="1">
      <c r="A13" s="202"/>
      <c r="B13" s="10" t="s">
        <v>5</v>
      </c>
      <c r="C13" s="132">
        <v>106.76300000000001</v>
      </c>
      <c r="D13" s="134">
        <v>0.60212581508425345</v>
      </c>
      <c r="E13" s="206">
        <v>104.97868</v>
      </c>
      <c r="F13" s="132">
        <v>0.25277424726151132</v>
      </c>
      <c r="G13" s="134">
        <v>0.2077</v>
      </c>
      <c r="H13" s="206">
        <v>115.64985</v>
      </c>
      <c r="I13" s="132">
        <v>2.2138135453231955</v>
      </c>
      <c r="J13" s="132">
        <v>0.39478000000000002</v>
      </c>
    </row>
    <row r="14" spans="1:48" ht="14.1" customHeight="1">
      <c r="A14" s="202"/>
      <c r="B14" s="10" t="s">
        <v>6</v>
      </c>
      <c r="C14" s="132">
        <v>107.205</v>
      </c>
      <c r="D14" s="134">
        <v>0.41400110525180445</v>
      </c>
      <c r="E14" s="206">
        <v>105.38791000000001</v>
      </c>
      <c r="F14" s="132">
        <v>0.38982200957375923</v>
      </c>
      <c r="G14" s="134">
        <v>0.31918999999999997</v>
      </c>
      <c r="H14" s="206">
        <v>116.25614</v>
      </c>
      <c r="I14" s="132">
        <v>0.52424624848195212</v>
      </c>
      <c r="J14" s="132">
        <v>9.4979999999999995E-2</v>
      </c>
    </row>
    <row r="15" spans="1:48" ht="14.1" customHeight="1">
      <c r="A15" s="202"/>
      <c r="B15" s="10" t="s">
        <v>7</v>
      </c>
      <c r="C15" s="132">
        <v>107.901</v>
      </c>
      <c r="D15" s="134">
        <v>0.64922345039877261</v>
      </c>
      <c r="E15" s="206">
        <v>105.90948</v>
      </c>
      <c r="F15" s="132">
        <v>0.49490496585424815</v>
      </c>
      <c r="G15" s="134">
        <v>0.40514</v>
      </c>
      <c r="H15" s="206">
        <v>117.81722000000001</v>
      </c>
      <c r="I15" s="132">
        <v>1.3427935935254709</v>
      </c>
      <c r="J15" s="132">
        <v>0.24356</v>
      </c>
    </row>
    <row r="16" spans="1:48" ht="14.1" customHeight="1">
      <c r="A16" s="202"/>
      <c r="B16" s="10" t="s">
        <v>8</v>
      </c>
      <c r="C16" s="132">
        <v>108.58499999999999</v>
      </c>
      <c r="D16" s="134">
        <v>0.63391442155309452</v>
      </c>
      <c r="E16" s="206">
        <v>106.63408</v>
      </c>
      <c r="F16" s="132">
        <v>0.68416916030555885</v>
      </c>
      <c r="G16" s="134">
        <v>0.55922000000000005</v>
      </c>
      <c r="H16" s="206">
        <v>118.30088000000001</v>
      </c>
      <c r="I16" s="132">
        <v>0.41051724017933111</v>
      </c>
      <c r="J16" s="132">
        <v>7.4969999999999995E-2</v>
      </c>
    </row>
    <row r="17" spans="1:16" ht="14.1" customHeight="1">
      <c r="A17" s="202"/>
      <c r="B17" s="10" t="s">
        <v>9</v>
      </c>
      <c r="C17" s="132">
        <v>109.16800000000001</v>
      </c>
      <c r="D17" s="134">
        <v>0.53690657088918403</v>
      </c>
      <c r="E17" s="206">
        <v>107.25471</v>
      </c>
      <c r="F17" s="132">
        <v>0.58201843163085965</v>
      </c>
      <c r="G17" s="134">
        <v>0.47595999999999999</v>
      </c>
      <c r="H17" s="206">
        <v>118.69521</v>
      </c>
      <c r="I17" s="132">
        <v>0.33332803610590656</v>
      </c>
      <c r="J17" s="132">
        <v>6.0740000000000002E-2</v>
      </c>
    </row>
    <row r="18" spans="1:16" ht="14.1" customHeight="1">
      <c r="A18" s="202"/>
      <c r="B18" s="10" t="s">
        <v>10</v>
      </c>
      <c r="C18" s="132">
        <v>110.039</v>
      </c>
      <c r="D18" s="134">
        <v>0.79785285065219202</v>
      </c>
      <c r="E18" s="206">
        <v>108.08225</v>
      </c>
      <c r="F18" s="132">
        <v>0.77156518347771819</v>
      </c>
      <c r="G18" s="134">
        <v>0.63124999999999998</v>
      </c>
      <c r="H18" s="206">
        <v>119.78372</v>
      </c>
      <c r="I18" s="132">
        <v>0.91706312327177741</v>
      </c>
      <c r="J18" s="132">
        <v>0.16677</v>
      </c>
    </row>
    <row r="19" spans="1:16" ht="14.1" customHeight="1">
      <c r="A19" s="202"/>
      <c r="B19" s="10" t="s">
        <v>11</v>
      </c>
      <c r="C19" s="132">
        <v>110.535</v>
      </c>
      <c r="D19" s="134">
        <v>0.45074927980079948</v>
      </c>
      <c r="E19" s="206">
        <v>108.67498000000001</v>
      </c>
      <c r="F19" s="132">
        <v>0.54840642196105627</v>
      </c>
      <c r="G19" s="134">
        <v>0.44856000000000001</v>
      </c>
      <c r="H19" s="206">
        <v>119.79705</v>
      </c>
      <c r="I19" s="132">
        <v>1.1128390402292965E-2</v>
      </c>
      <c r="J19" s="132">
        <v>2.0300000000000001E-3</v>
      </c>
    </row>
    <row r="20" spans="1:16" ht="14.1" customHeight="1">
      <c r="A20" s="202"/>
      <c r="B20" s="10" t="s">
        <v>12</v>
      </c>
      <c r="C20" s="132">
        <v>111.24299999999999</v>
      </c>
      <c r="D20" s="134">
        <v>0.64052110191341605</v>
      </c>
      <c r="E20" s="206">
        <v>109.20180999999999</v>
      </c>
      <c r="F20" s="132">
        <v>0.48477579660008985</v>
      </c>
      <c r="G20" s="134">
        <v>0.39689999999999998</v>
      </c>
      <c r="H20" s="206">
        <v>121.40984</v>
      </c>
      <c r="I20" s="132">
        <v>1.3462685433405897</v>
      </c>
      <c r="J20" s="132">
        <v>0.24404000000000001</v>
      </c>
    </row>
    <row r="21" spans="1:16" ht="14.1" customHeight="1">
      <c r="A21" s="202"/>
      <c r="B21" s="10" t="s">
        <v>13</v>
      </c>
      <c r="C21" s="132">
        <v>112.44499999999999</v>
      </c>
      <c r="D21" s="134">
        <v>1.0805174258155636</v>
      </c>
      <c r="E21" s="206">
        <v>109.88343999999999</v>
      </c>
      <c r="F21" s="132">
        <v>0.62419295064797264</v>
      </c>
      <c r="G21" s="134">
        <v>0.51024999999999998</v>
      </c>
      <c r="H21" s="206">
        <v>125.20162000000001</v>
      </c>
      <c r="I21" s="132">
        <v>3.1231241223940387</v>
      </c>
      <c r="J21" s="132">
        <v>0.57011000000000001</v>
      </c>
    </row>
    <row r="22" spans="1:16">
      <c r="A22" s="202"/>
      <c r="B22" s="10" t="s">
        <v>14</v>
      </c>
      <c r="C22" s="132">
        <v>113.26300000000001</v>
      </c>
      <c r="D22" s="134">
        <v>0.72746676152786183</v>
      </c>
      <c r="E22" s="206">
        <v>110.61295</v>
      </c>
      <c r="F22" s="132">
        <v>0.66389439573424358</v>
      </c>
      <c r="G22" s="134">
        <v>0.54025999999999996</v>
      </c>
      <c r="H22" s="206">
        <v>126.45774</v>
      </c>
      <c r="I22" s="132">
        <v>1.0032777531153281</v>
      </c>
      <c r="J22" s="132">
        <v>0.18684000000000001</v>
      </c>
    </row>
    <row r="23" spans="1:16">
      <c r="A23" s="202"/>
      <c r="C23" s="132"/>
      <c r="D23" s="132"/>
      <c r="E23" s="206"/>
      <c r="F23" s="132"/>
      <c r="G23" s="132"/>
      <c r="H23" s="206"/>
      <c r="I23" s="132"/>
      <c r="J23" s="132"/>
    </row>
    <row r="24" spans="1:16">
      <c r="A24" s="202">
        <v>2022</v>
      </c>
      <c r="B24" s="10" t="s">
        <v>3</v>
      </c>
      <c r="C24" s="273">
        <v>114.602</v>
      </c>
      <c r="D24" s="273">
        <v>1.1822042502847241</v>
      </c>
      <c r="E24" s="206">
        <v>111.49026000000001</v>
      </c>
      <c r="F24" s="132">
        <v>0.79313498103070756</v>
      </c>
      <c r="G24" s="132">
        <v>0.64502000000000004</v>
      </c>
      <c r="H24" s="206">
        <v>130.09493000000001</v>
      </c>
      <c r="I24" s="132">
        <v>2.8762098705860106</v>
      </c>
      <c r="J24" s="132">
        <v>0.53710999999999998</v>
      </c>
      <c r="O24" s="259"/>
      <c r="P24" s="259"/>
    </row>
    <row r="25" spans="1:16">
      <c r="A25" s="202"/>
      <c r="B25" s="10" t="s">
        <v>4</v>
      </c>
      <c r="C25" s="273">
        <v>115.658</v>
      </c>
      <c r="D25" s="273">
        <v>0.92144988743652068</v>
      </c>
      <c r="E25" s="206">
        <v>112.21265</v>
      </c>
      <c r="F25" s="132">
        <v>0.64794000839174526</v>
      </c>
      <c r="G25" s="132">
        <v>0.52492000000000005</v>
      </c>
      <c r="H25" s="206">
        <v>132.81151</v>
      </c>
      <c r="I25" s="132">
        <v>2.0881520901698369</v>
      </c>
      <c r="J25" s="132">
        <v>0.39648</v>
      </c>
      <c r="O25" s="259"/>
      <c r="P25" s="259"/>
    </row>
    <row r="26" spans="1:16">
      <c r="A26" s="202"/>
      <c r="B26" s="10" t="s">
        <v>5</v>
      </c>
      <c r="C26" s="273">
        <v>116.431</v>
      </c>
      <c r="D26" s="273">
        <v>0.66834978989780414</v>
      </c>
      <c r="E26" s="206">
        <v>112.90449</v>
      </c>
      <c r="F26" s="132">
        <v>0.61654367845336289</v>
      </c>
      <c r="G26" s="132">
        <v>0.49813000000000002</v>
      </c>
      <c r="H26" s="206">
        <v>133.98837</v>
      </c>
      <c r="I26" s="132">
        <v>0.88611295813141311</v>
      </c>
      <c r="J26" s="132">
        <v>0.17019000000000001</v>
      </c>
      <c r="O26" s="259"/>
      <c r="P26" s="259"/>
    </row>
    <row r="27" spans="1:16">
      <c r="A27" s="202"/>
      <c r="B27" s="10" t="s">
        <v>6</v>
      </c>
      <c r="C27" s="273">
        <v>117.544</v>
      </c>
      <c r="D27" s="273">
        <v>0.95593098058077697</v>
      </c>
      <c r="E27" s="206">
        <v>113.819</v>
      </c>
      <c r="F27" s="132">
        <v>0.80998550190520824</v>
      </c>
      <c r="G27" s="132">
        <v>0.65400000000000003</v>
      </c>
      <c r="H27" s="206">
        <v>136.08699999999999</v>
      </c>
      <c r="I27" s="132">
        <v>1.5662777299253472</v>
      </c>
      <c r="J27" s="132">
        <v>0.30199999999999999</v>
      </c>
      <c r="O27" s="259"/>
      <c r="P27" s="259"/>
    </row>
    <row r="28" spans="1:16">
      <c r="A28" s="202"/>
      <c r="B28" s="10" t="s">
        <v>7</v>
      </c>
      <c r="C28" s="273">
        <v>118.122</v>
      </c>
      <c r="D28" s="273">
        <v>0.49173075614237227</v>
      </c>
      <c r="E28" s="206">
        <v>114.512</v>
      </c>
      <c r="F28" s="132">
        <v>0.60886143789700142</v>
      </c>
      <c r="G28" s="132">
        <v>0.49043999999999999</v>
      </c>
      <c r="H28" s="206">
        <v>136.1</v>
      </c>
      <c r="I28" s="132">
        <v>9.5527126029670839E-3</v>
      </c>
      <c r="J28" s="132">
        <v>1.8600000000000001E-3</v>
      </c>
      <c r="O28" s="259"/>
      <c r="P28" s="259"/>
    </row>
    <row r="29" spans="1:16">
      <c r="A29" s="202"/>
      <c r="B29" s="10" t="s">
        <v>8</v>
      </c>
      <c r="C29" s="273">
        <v>118.877</v>
      </c>
      <c r="D29" s="273">
        <v>0.63916967203399011</v>
      </c>
      <c r="E29" s="206">
        <v>115.318</v>
      </c>
      <c r="F29" s="132">
        <v>0.70385636439849186</v>
      </c>
      <c r="G29" s="132">
        <v>0.56799999999999995</v>
      </c>
      <c r="H29" s="206">
        <v>136.59700000000001</v>
      </c>
      <c r="I29" s="132">
        <v>0.36517266715652141</v>
      </c>
      <c r="J29" s="132">
        <v>7.0000000000000007E-2</v>
      </c>
      <c r="O29" s="259"/>
      <c r="P29" s="259"/>
    </row>
    <row r="30" spans="1:16">
      <c r="A30" s="202"/>
      <c r="B30" s="10" t="s">
        <v>9</v>
      </c>
      <c r="C30" s="273">
        <v>119.468</v>
      </c>
      <c r="D30" s="273">
        <v>0.49715251899022928</v>
      </c>
      <c r="E30" s="206">
        <v>115.89100000000001</v>
      </c>
      <c r="F30" s="132">
        <v>0.4968868693525863</v>
      </c>
      <c r="G30" s="132">
        <v>0.40200000000000002</v>
      </c>
      <c r="H30" s="206">
        <v>137.27600000000001</v>
      </c>
      <c r="I30" s="132">
        <v>0.49708265920920258</v>
      </c>
      <c r="J30" s="132">
        <v>9.6000000000000002E-2</v>
      </c>
      <c r="O30" s="259"/>
      <c r="P30" s="259"/>
    </row>
    <row r="31" spans="1:16">
      <c r="A31" s="202"/>
      <c r="B31" s="10" t="s">
        <v>10</v>
      </c>
      <c r="C31" s="273">
        <v>119.718</v>
      </c>
      <c r="D31" s="273">
        <v>0.20926105735425971</v>
      </c>
      <c r="E31" s="206">
        <v>116.184</v>
      </c>
      <c r="F31" s="132">
        <v>0.25282377406354861</v>
      </c>
      <c r="G31" s="132">
        <v>0.20399999999999999</v>
      </c>
      <c r="H31" s="206">
        <v>137.31399999999999</v>
      </c>
      <c r="I31" s="132">
        <v>2.7681459249961904E-2</v>
      </c>
      <c r="J31" s="132">
        <v>5.4000000000000003E-3</v>
      </c>
      <c r="O31" s="259"/>
      <c r="P31" s="259"/>
    </row>
    <row r="32" spans="1:16">
      <c r="A32" s="202"/>
      <c r="B32" s="10" t="s">
        <v>11</v>
      </c>
      <c r="C32" s="273">
        <v>120.07</v>
      </c>
      <c r="D32" s="273">
        <v>0.29402429041580636</v>
      </c>
      <c r="E32" s="206">
        <v>116.69799999999999</v>
      </c>
      <c r="F32" s="132">
        <v>0.44240170763616415</v>
      </c>
      <c r="G32" s="132">
        <v>0.35799999999999998</v>
      </c>
      <c r="H32" s="206">
        <v>136.857</v>
      </c>
      <c r="I32" s="132">
        <v>-0.33281384272543235</v>
      </c>
      <c r="J32" s="132">
        <v>-6.4000000000000001E-2</v>
      </c>
      <c r="O32" s="259"/>
      <c r="P32" s="259"/>
    </row>
    <row r="33" spans="1:16">
      <c r="A33" s="202"/>
      <c r="B33" s="10" t="s">
        <v>12</v>
      </c>
      <c r="C33" s="273">
        <v>120.405</v>
      </c>
      <c r="D33" s="273">
        <v>0.2790039143832912</v>
      </c>
      <c r="E33" s="206">
        <v>117.05500000000001</v>
      </c>
      <c r="F33" s="132">
        <v>0.30591783920890236</v>
      </c>
      <c r="G33" s="132">
        <v>0.248</v>
      </c>
      <c r="H33" s="206">
        <v>137.07900000000001</v>
      </c>
      <c r="I33" s="132">
        <v>0.16221311295732121</v>
      </c>
      <c r="J33" s="132">
        <v>3.1E-2</v>
      </c>
      <c r="O33" s="259"/>
      <c r="P33" s="259"/>
    </row>
    <row r="34" spans="1:16">
      <c r="A34" s="202"/>
      <c r="B34" s="10" t="s">
        <v>13</v>
      </c>
      <c r="C34" s="273">
        <v>120.96599999999999</v>
      </c>
      <c r="D34" s="273">
        <v>0.46592749470535377</v>
      </c>
      <c r="E34" s="206">
        <v>117.669</v>
      </c>
      <c r="F34" s="132">
        <v>0.52453974627311162</v>
      </c>
      <c r="G34" s="132">
        <v>0.42499999999999999</v>
      </c>
      <c r="H34" s="206">
        <v>137.38200000000001</v>
      </c>
      <c r="I34" s="132">
        <v>0.22104042194646123</v>
      </c>
      <c r="J34" s="132">
        <v>4.2000000000000003E-2</v>
      </c>
      <c r="O34" s="259"/>
      <c r="P34" s="259"/>
    </row>
    <row r="35" spans="1:16">
      <c r="A35" s="132"/>
      <c r="B35" s="207" t="s">
        <v>14</v>
      </c>
      <c r="C35" s="273">
        <v>122.128</v>
      </c>
      <c r="D35" s="273">
        <v>0.96060049931385727</v>
      </c>
      <c r="E35" s="206">
        <v>118.947</v>
      </c>
      <c r="F35" s="132">
        <v>1.0860974428269277</v>
      </c>
      <c r="G35" s="132">
        <v>0.88</v>
      </c>
      <c r="H35" s="206">
        <v>137.96799999999999</v>
      </c>
      <c r="I35" s="132">
        <v>0.42654787381168902</v>
      </c>
      <c r="J35" s="132">
        <v>0.08</v>
      </c>
      <c r="O35" s="259"/>
      <c r="P35" s="259"/>
    </row>
    <row r="36" spans="1:16">
      <c r="A36" s="132"/>
      <c r="B36" s="207"/>
      <c r="C36" s="273"/>
      <c r="D36" s="273"/>
      <c r="E36" s="206"/>
      <c r="F36" s="132"/>
      <c r="G36" s="132"/>
      <c r="H36" s="206"/>
      <c r="I36" s="132"/>
      <c r="J36" s="132"/>
      <c r="O36" s="259"/>
      <c r="P36" s="259"/>
    </row>
    <row r="37" spans="1:16">
      <c r="A37" s="202">
        <v>2023</v>
      </c>
      <c r="B37" s="10" t="s">
        <v>3</v>
      </c>
      <c r="C37" s="273">
        <v>122.90300000000001</v>
      </c>
      <c r="D37" s="273">
        <v>0.6345801126686812</v>
      </c>
      <c r="E37" s="206">
        <v>120.00700000000001</v>
      </c>
      <c r="F37" s="132">
        <v>0.89115320268691178</v>
      </c>
      <c r="G37" s="132">
        <v>0.72299999999999998</v>
      </c>
      <c r="H37" s="206">
        <v>137.322</v>
      </c>
      <c r="I37" s="132">
        <v>-0.46822451582975155</v>
      </c>
      <c r="J37" s="132">
        <v>-8.7999999999999995E-2</v>
      </c>
      <c r="O37" s="259"/>
      <c r="P37" s="259"/>
    </row>
    <row r="38" spans="1:16">
      <c r="A38" s="202"/>
      <c r="B38" s="10" t="s">
        <v>4</v>
      </c>
      <c r="C38" s="273">
        <v>123.035</v>
      </c>
      <c r="D38" s="273">
        <v>0.10740177212922308</v>
      </c>
      <c r="E38" s="206">
        <v>120.13200000000001</v>
      </c>
      <c r="F38" s="132">
        <v>0.10416059063220739</v>
      </c>
      <c r="G38" s="132">
        <v>8.5000000000000006E-2</v>
      </c>
      <c r="H38" s="206">
        <v>137.48599999999999</v>
      </c>
      <c r="I38" s="132">
        <v>0.11942733138170514</v>
      </c>
      <c r="J38" s="132">
        <v>2.1999999999999999E-2</v>
      </c>
      <c r="O38" s="259"/>
      <c r="P38" s="259"/>
    </row>
    <row r="39" spans="1:16">
      <c r="A39" s="202"/>
      <c r="B39" s="10" t="s">
        <v>5</v>
      </c>
      <c r="C39" s="273">
        <v>123.29949999999999</v>
      </c>
      <c r="D39" s="273">
        <v>0.21497947738449152</v>
      </c>
      <c r="E39" s="206">
        <v>120.422</v>
      </c>
      <c r="F39" s="132">
        <v>0.24140112542869741</v>
      </c>
      <c r="G39" s="132">
        <v>0.19600000000000001</v>
      </c>
      <c r="H39" s="206">
        <v>137.62700000000001</v>
      </c>
      <c r="I39" s="132">
        <v>0.1025558966003981</v>
      </c>
      <c r="J39" s="132">
        <v>1.9E-2</v>
      </c>
      <c r="O39" s="259"/>
      <c r="P39" s="259"/>
    </row>
    <row r="40" spans="1:16">
      <c r="A40" s="202"/>
      <c r="B40" s="10" t="s">
        <v>6</v>
      </c>
      <c r="C40" s="273">
        <v>123.6</v>
      </c>
      <c r="D40" s="273">
        <v>0.24371550574009415</v>
      </c>
      <c r="E40" s="206">
        <v>120.85299999999999</v>
      </c>
      <c r="F40" s="132">
        <v>0.35790802345085915</v>
      </c>
      <c r="G40" s="132">
        <v>0.29099999999999998</v>
      </c>
      <c r="H40" s="206">
        <v>137.27600000000001</v>
      </c>
      <c r="I40" s="132">
        <v>-0.25503716567243373</v>
      </c>
      <c r="J40" s="132">
        <v>-4.8000000000000001E-2</v>
      </c>
      <c r="O40" s="259"/>
      <c r="P40" s="259"/>
    </row>
    <row r="41" spans="1:16">
      <c r="A41" s="202"/>
      <c r="B41" s="10" t="s">
        <v>7</v>
      </c>
      <c r="C41" s="273">
        <v>123.35599999999999</v>
      </c>
      <c r="D41" s="273">
        <v>-0.1974110032362475</v>
      </c>
      <c r="E41" s="206">
        <v>120.761</v>
      </c>
      <c r="F41" s="132">
        <v>-7.6125540946436754E-2</v>
      </c>
      <c r="G41" s="132">
        <v>-6.2E-2</v>
      </c>
      <c r="H41" s="206">
        <v>136.27199999999999</v>
      </c>
      <c r="I41" s="132">
        <v>-0.73137329176259369</v>
      </c>
      <c r="J41" s="132">
        <v>-0.13600000000000001</v>
      </c>
      <c r="O41" s="259"/>
      <c r="P41" s="259"/>
    </row>
    <row r="42" spans="1:16">
      <c r="A42" s="202"/>
      <c r="B42" s="10" t="s">
        <v>8</v>
      </c>
      <c r="C42" s="273">
        <v>123.627</v>
      </c>
      <c r="D42" s="273">
        <v>0.2196893543889189</v>
      </c>
      <c r="E42" s="206">
        <v>121.319</v>
      </c>
      <c r="F42" s="132">
        <v>0.4620697079355196</v>
      </c>
      <c r="G42" s="132">
        <v>0.376</v>
      </c>
      <c r="H42" s="206">
        <v>135.12100000000001</v>
      </c>
      <c r="I42" s="132">
        <v>-0.84463426088997595</v>
      </c>
      <c r="J42" s="132">
        <v>-0.156</v>
      </c>
      <c r="O42" s="259"/>
      <c r="P42" s="259"/>
    </row>
    <row r="43" spans="1:16">
      <c r="A43" s="202"/>
      <c r="B43" s="10" t="s">
        <v>9</v>
      </c>
      <c r="C43" s="273">
        <v>124.1884</v>
      </c>
      <c r="D43" s="273">
        <v>0.45410792140876399</v>
      </c>
      <c r="E43" s="206">
        <v>122.0301</v>
      </c>
      <c r="F43" s="132">
        <v>0.58614067046383056</v>
      </c>
      <c r="G43" s="132">
        <v>0.47920000000000001</v>
      </c>
      <c r="H43" s="206">
        <v>134.93440000000001</v>
      </c>
      <c r="I43" s="132">
        <v>-0.13809844509735658</v>
      </c>
      <c r="J43" s="132">
        <v>-2.53E-2</v>
      </c>
      <c r="O43" s="259"/>
      <c r="P43" s="259"/>
    </row>
    <row r="44" spans="1:16">
      <c r="A44" s="202"/>
      <c r="B44" s="10" t="s">
        <v>10</v>
      </c>
      <c r="C44" s="273">
        <v>124.8282</v>
      </c>
      <c r="D44" s="273">
        <v>0.51518499312335209</v>
      </c>
      <c r="E44" s="206">
        <v>122.80370000000001</v>
      </c>
      <c r="F44" s="132">
        <v>0.63394195366552886</v>
      </c>
      <c r="G44" s="132">
        <v>0.51880000000000004</v>
      </c>
      <c r="H44" s="206">
        <v>134.90770000000001</v>
      </c>
      <c r="I44" s="132">
        <v>-1.9787392985037844E-2</v>
      </c>
      <c r="J44" s="132">
        <v>-3.5999999999999999E-3</v>
      </c>
      <c r="O44" s="259"/>
      <c r="P44" s="259"/>
    </row>
    <row r="45" spans="1:16">
      <c r="A45" s="202"/>
      <c r="B45" s="10" t="s">
        <v>11</v>
      </c>
      <c r="C45" s="273">
        <v>125.36539999999999</v>
      </c>
      <c r="D45" s="273">
        <v>0.43035147506733651</v>
      </c>
      <c r="E45" s="206">
        <v>123.5089</v>
      </c>
      <c r="F45" s="132">
        <v>0.57424979866240733</v>
      </c>
      <c r="G45" s="132">
        <v>0.47049999999999997</v>
      </c>
      <c r="H45" s="206">
        <v>134.608</v>
      </c>
      <c r="I45" s="132">
        <v>-0.22215188606728997</v>
      </c>
      <c r="J45" s="132">
        <v>-4.02E-2</v>
      </c>
      <c r="O45" s="259"/>
      <c r="P45" s="259"/>
    </row>
    <row r="46" spans="1:16">
      <c r="A46" s="202"/>
      <c r="B46" s="10" t="s">
        <v>12</v>
      </c>
      <c r="C46" s="273">
        <v>125.63760000000001</v>
      </c>
      <c r="D46" s="273">
        <v>0.21712529932502722</v>
      </c>
      <c r="E46" s="206">
        <v>123.7608</v>
      </c>
      <c r="F46" s="132">
        <v>0.20395291351473777</v>
      </c>
      <c r="G46" s="132">
        <v>0.16728246199999999</v>
      </c>
      <c r="H46" s="206">
        <v>134.9819</v>
      </c>
      <c r="I46" s="132">
        <v>0.2777695233566968</v>
      </c>
      <c r="J46" s="132">
        <v>4.9875865999999998E-2</v>
      </c>
      <c r="O46" s="259"/>
      <c r="P46" s="259"/>
    </row>
    <row r="47" spans="1:16">
      <c r="A47" s="202"/>
      <c r="B47" s="10" t="s">
        <v>13</v>
      </c>
      <c r="C47" s="273">
        <v>125.8094</v>
      </c>
      <c r="D47" s="273">
        <v>0.13674250383641784</v>
      </c>
      <c r="E47" s="206">
        <v>123.898</v>
      </c>
      <c r="F47" s="132">
        <v>0.11085901190037717</v>
      </c>
      <c r="G47" s="132">
        <v>9.0899999999999995E-2</v>
      </c>
      <c r="H47" s="206">
        <v>135.32560000000001</v>
      </c>
      <c r="I47" s="132">
        <v>0.25462673143585857</v>
      </c>
      <c r="J47" s="132">
        <v>4.58E-2</v>
      </c>
      <c r="O47" s="259"/>
      <c r="P47" s="259"/>
    </row>
    <row r="48" spans="1:16">
      <c r="A48" s="132"/>
      <c r="B48" s="207" t="s">
        <v>14</v>
      </c>
      <c r="C48" s="273">
        <v>126.4866</v>
      </c>
      <c r="D48" s="273">
        <v>0.53827456453969802</v>
      </c>
      <c r="E48" s="206">
        <v>124.6857</v>
      </c>
      <c r="F48" s="132">
        <v>0.63576490338828062</v>
      </c>
      <c r="G48" s="132">
        <v>0.52139999999999997</v>
      </c>
      <c r="H48" s="206">
        <v>135.45320000000001</v>
      </c>
      <c r="I48" s="132">
        <v>9.4291102348709188E-2</v>
      </c>
      <c r="J48" s="132">
        <v>1.7000000000000001E-2</v>
      </c>
      <c r="O48" s="259"/>
      <c r="P48" s="259"/>
    </row>
    <row r="49" spans="1:16">
      <c r="A49" s="132"/>
      <c r="B49" s="207"/>
      <c r="C49" s="273"/>
      <c r="D49" s="273"/>
      <c r="E49" s="206"/>
      <c r="F49" s="132"/>
      <c r="G49" s="132"/>
      <c r="H49" s="206"/>
      <c r="I49" s="132"/>
      <c r="J49" s="132"/>
      <c r="O49" s="259"/>
      <c r="P49" s="259"/>
    </row>
    <row r="50" spans="1:16">
      <c r="A50" s="202">
        <v>2024</v>
      </c>
      <c r="B50" s="10" t="s">
        <v>3</v>
      </c>
      <c r="C50" s="273">
        <v>126.9796</v>
      </c>
      <c r="D50" s="273">
        <v>0.38976460747621733</v>
      </c>
      <c r="E50" s="206">
        <v>125.4332</v>
      </c>
      <c r="F50" s="132">
        <v>0.59950740141010428</v>
      </c>
      <c r="G50" s="132">
        <v>0.49209999999999998</v>
      </c>
      <c r="H50" s="206">
        <v>134.6788</v>
      </c>
      <c r="I50" s="132">
        <v>-0.5717103767205356</v>
      </c>
      <c r="J50" s="132">
        <v>-0.1024</v>
      </c>
      <c r="O50" s="259"/>
      <c r="P50" s="259"/>
    </row>
    <row r="51" spans="1:16">
      <c r="A51" s="202"/>
      <c r="B51" s="10" t="s">
        <v>4</v>
      </c>
      <c r="C51" s="273">
        <v>127.0946</v>
      </c>
      <c r="D51" s="273">
        <v>9.0565728668212664E-2</v>
      </c>
      <c r="E51" s="206">
        <v>125.5133</v>
      </c>
      <c r="F51" s="132">
        <v>6.3858691319373939E-2</v>
      </c>
      <c r="G51" s="132">
        <v>5.2600000000000001E-2</v>
      </c>
      <c r="H51" s="206">
        <v>134.96729999999999</v>
      </c>
      <c r="I51" s="132">
        <v>0.21421337285452147</v>
      </c>
      <c r="J51" s="132">
        <v>3.7999999999999999E-2</v>
      </c>
      <c r="O51" s="259"/>
      <c r="P51" s="259"/>
    </row>
    <row r="52" spans="1:16">
      <c r="A52" s="202"/>
      <c r="B52" s="10" t="s">
        <v>5</v>
      </c>
      <c r="C52" s="273">
        <v>127.47280000000001</v>
      </c>
      <c r="D52" s="273">
        <v>0.29757361839135577</v>
      </c>
      <c r="E52" s="206">
        <v>125.8887</v>
      </c>
      <c r="F52" s="132">
        <v>0.29909180939391433</v>
      </c>
      <c r="G52" s="132">
        <v>0.246</v>
      </c>
      <c r="H52" s="206">
        <v>135.35980000000001</v>
      </c>
      <c r="I52" s="132">
        <v>0.29081118167142428</v>
      </c>
      <c r="J52" s="132">
        <v>5.1700000000000003E-2</v>
      </c>
      <c r="O52" s="259"/>
      <c r="P52" s="259"/>
    </row>
    <row r="53" spans="1:16">
      <c r="A53" s="202"/>
      <c r="B53" s="10" t="s">
        <v>6</v>
      </c>
      <c r="C53" s="273">
        <v>127.34780000000001</v>
      </c>
      <c r="D53" s="273">
        <v>-9.8060135181776698E-2</v>
      </c>
      <c r="E53" s="206">
        <v>125.81489999999999</v>
      </c>
      <c r="F53" s="132">
        <v>-5.86232124090591E-2</v>
      </c>
      <c r="G53" s="132">
        <v>-4.82E-2</v>
      </c>
      <c r="H53" s="206">
        <v>134.97999999999999</v>
      </c>
      <c r="I53" s="132">
        <v>-0.28058552095970857</v>
      </c>
      <c r="J53" s="132">
        <v>-4.9799999999999997E-2</v>
      </c>
      <c r="O53" s="259"/>
      <c r="P53" s="259"/>
    </row>
    <row r="54" spans="1:16">
      <c r="A54" s="202"/>
      <c r="B54" s="10" t="s">
        <v>7</v>
      </c>
      <c r="C54" s="273">
        <v>127.2987</v>
      </c>
      <c r="D54" s="273">
        <v>-3.8555828997444141E-2</v>
      </c>
      <c r="E54" s="206">
        <v>125.7145</v>
      </c>
      <c r="F54" s="132">
        <v>-7.9799769343691374E-2</v>
      </c>
      <c r="G54" s="132">
        <v>-6.5699999999999995E-2</v>
      </c>
      <c r="H54" s="206">
        <v>135.18610000000001</v>
      </c>
      <c r="I54" s="132">
        <v>0.15268928730183262</v>
      </c>
      <c r="J54" s="132">
        <v>2.7099999999999999E-2</v>
      </c>
      <c r="O54" s="259"/>
      <c r="P54" s="259"/>
    </row>
    <row r="55" spans="1:16">
      <c r="A55" s="202"/>
      <c r="B55" s="10" t="s">
        <v>8</v>
      </c>
      <c r="C55" s="273">
        <v>127.9079</v>
      </c>
      <c r="D55" s="273">
        <v>0.47855948253987535</v>
      </c>
      <c r="E55" s="206">
        <v>126.3212</v>
      </c>
      <c r="F55" s="132">
        <v>0.48260145011116418</v>
      </c>
      <c r="G55" s="132">
        <v>0.39689999999999998</v>
      </c>
      <c r="H55" s="206">
        <v>135.8074</v>
      </c>
      <c r="I55" s="132">
        <v>0.45958867072870557</v>
      </c>
      <c r="J55" s="132">
        <v>8.1600000000000006E-2</v>
      </c>
      <c r="O55" s="259"/>
      <c r="P55" s="259"/>
    </row>
    <row r="56" spans="1:16">
      <c r="A56" s="202"/>
      <c r="B56" s="10" t="s">
        <v>9</v>
      </c>
      <c r="C56" s="273">
        <v>128.5831</v>
      </c>
      <c r="D56" s="273">
        <v>0.52787982603108574</v>
      </c>
      <c r="E56" s="206">
        <v>127.11409999999999</v>
      </c>
      <c r="F56" s="132">
        <v>0.62768561413284463</v>
      </c>
      <c r="G56" s="132">
        <v>0.51619999999999999</v>
      </c>
      <c r="H56" s="206">
        <v>135.89689999999999</v>
      </c>
      <c r="I56" s="132">
        <v>6.5902152607288933E-2</v>
      </c>
      <c r="J56" s="132">
        <v>1.17E-2</v>
      </c>
      <c r="O56" s="259"/>
      <c r="P56" s="259"/>
    </row>
    <row r="57" spans="1:16">
      <c r="A57" s="202"/>
      <c r="B57" s="10" t="s">
        <v>10</v>
      </c>
      <c r="C57" s="273">
        <v>129.10210000000001</v>
      </c>
      <c r="D57" s="273">
        <v>0.40363002602985532</v>
      </c>
      <c r="E57" s="206">
        <v>127.7324</v>
      </c>
      <c r="F57" s="132">
        <v>0.48641338765722519</v>
      </c>
      <c r="G57" s="132">
        <v>0.40039999999999998</v>
      </c>
      <c r="H57" s="206">
        <v>135.92140000000001</v>
      </c>
      <c r="I57" s="132">
        <v>1.8028372979816965E-2</v>
      </c>
      <c r="J57" s="132">
        <v>3.2000000000000002E-3</v>
      </c>
      <c r="O57" s="259"/>
      <c r="P57" s="259"/>
    </row>
    <row r="58" spans="1:16">
      <c r="A58" s="202"/>
      <c r="B58" s="10" t="s">
        <v>11</v>
      </c>
      <c r="C58" s="273">
        <v>129.4854</v>
      </c>
      <c r="D58" s="273">
        <v>0.29689679718609696</v>
      </c>
      <c r="E58" s="206">
        <v>128.23859999999999</v>
      </c>
      <c r="F58" s="132">
        <v>0.3962972589570013</v>
      </c>
      <c r="G58" s="132">
        <v>0.32650000000000001</v>
      </c>
      <c r="H58" s="206">
        <v>135.6927</v>
      </c>
      <c r="I58" s="132">
        <v>-0.16825900851521469</v>
      </c>
      <c r="J58" s="132">
        <v>-2.9600000000000001E-2</v>
      </c>
      <c r="O58" s="259"/>
      <c r="P58" s="259"/>
    </row>
    <row r="59" spans="1:16">
      <c r="A59" s="202"/>
      <c r="B59" s="10" t="s">
        <v>12</v>
      </c>
      <c r="C59" s="273">
        <v>129.60560000000001</v>
      </c>
      <c r="D59" s="273">
        <v>9.2828998481686575E-2</v>
      </c>
      <c r="E59" s="206">
        <v>128.3357</v>
      </c>
      <c r="F59" s="132">
        <v>7.5718231484134257E-2</v>
      </c>
      <c r="G59" s="132">
        <v>6.2399999999999997E-2</v>
      </c>
      <c r="H59" s="206">
        <v>135.92769999999999</v>
      </c>
      <c r="I59" s="132">
        <v>0.17318544033686489</v>
      </c>
      <c r="J59" s="132">
        <v>3.04E-2</v>
      </c>
      <c r="O59" s="259"/>
      <c r="P59" s="259"/>
    </row>
    <row r="60" spans="1:16">
      <c r="A60" s="202"/>
      <c r="B60" s="10" t="s">
        <v>13</v>
      </c>
      <c r="C60" s="273">
        <v>129.8098</v>
      </c>
      <c r="D60" s="273">
        <v>0.15755492046638508</v>
      </c>
      <c r="E60" s="206">
        <v>128.48089999999999</v>
      </c>
      <c r="F60" s="132">
        <v>0.11314077065072148</v>
      </c>
      <c r="G60" s="132">
        <v>9.3299999999999994E-2</v>
      </c>
      <c r="H60" s="206">
        <v>136.42599999999999</v>
      </c>
      <c r="I60" s="132">
        <v>0.36659194557107089</v>
      </c>
      <c r="J60" s="132">
        <v>6.4299999999999996E-2</v>
      </c>
      <c r="O60" s="259"/>
      <c r="P60" s="259"/>
    </row>
    <row r="61" spans="1:16">
      <c r="A61" s="132"/>
      <c r="B61" s="207" t="s">
        <v>14</v>
      </c>
      <c r="C61" s="273">
        <v>130.72200000000001</v>
      </c>
      <c r="D61" s="273">
        <v>0.70272044175401227</v>
      </c>
      <c r="E61" s="307">
        <v>129.58260000000001</v>
      </c>
      <c r="F61" s="132">
        <v>0.85748154005771404</v>
      </c>
      <c r="G61" s="309">
        <v>0.70679999999999998</v>
      </c>
      <c r="H61" s="132">
        <v>136.39439999999999</v>
      </c>
      <c r="I61" s="132">
        <v>-2.3162740240123547E-2</v>
      </c>
      <c r="J61" s="132">
        <v>-4.1000000000000003E-3</v>
      </c>
      <c r="O61" s="259"/>
      <c r="P61" s="259"/>
    </row>
    <row r="62" spans="1:16">
      <c r="A62" s="132"/>
      <c r="B62" s="207"/>
      <c r="C62" s="273"/>
      <c r="D62" s="273"/>
      <c r="E62" s="307"/>
      <c r="F62" s="132"/>
      <c r="G62" s="309"/>
      <c r="H62" s="132"/>
      <c r="I62" s="132"/>
      <c r="J62" s="132"/>
      <c r="O62" s="259"/>
      <c r="P62" s="259"/>
    </row>
    <row r="63" spans="1:16">
      <c r="A63" s="202">
        <v>2025</v>
      </c>
      <c r="B63" s="10" t="s">
        <v>3</v>
      </c>
      <c r="C63" s="273">
        <v>131.2004</v>
      </c>
      <c r="D63" s="273">
        <v>0.36596747295787324</v>
      </c>
      <c r="E63" s="307">
        <v>130.27549999999999</v>
      </c>
      <c r="F63" s="132">
        <v>0.53471685241690547</v>
      </c>
      <c r="G63" s="309">
        <v>0.44140000000000001</v>
      </c>
      <c r="H63" s="132">
        <v>135.8049</v>
      </c>
      <c r="I63" s="132">
        <v>-0.43220249511709552</v>
      </c>
      <c r="J63" s="132">
        <v>-7.5399999999999995E-2</v>
      </c>
      <c r="O63" s="259"/>
      <c r="P63" s="259"/>
    </row>
    <row r="64" spans="1:16">
      <c r="A64" s="202"/>
      <c r="B64" s="10" t="s">
        <v>4</v>
      </c>
      <c r="C64" s="273">
        <v>131.62440000000001</v>
      </c>
      <c r="D64" s="273">
        <v>0.32316974643371577</v>
      </c>
      <c r="E64" s="307">
        <v>130.76349999999999</v>
      </c>
      <c r="F64" s="132">
        <v>0.37459077109662786</v>
      </c>
      <c r="G64" s="309">
        <v>0.30969999999999998</v>
      </c>
      <c r="H64" s="132">
        <v>135.91069999999999</v>
      </c>
      <c r="I64" s="132">
        <v>7.7905878212036761E-2</v>
      </c>
      <c r="J64" s="132">
        <v>1.35E-2</v>
      </c>
      <c r="O64" s="259"/>
      <c r="P64" s="259"/>
    </row>
    <row r="65" spans="1:16">
      <c r="A65" s="202"/>
      <c r="B65" s="10" t="s">
        <v>5</v>
      </c>
      <c r="C65" s="273">
        <v>132.03729999999999</v>
      </c>
      <c r="D65" s="273">
        <v>0.31369563697913883</v>
      </c>
      <c r="E65" s="307">
        <v>131.16849999999999</v>
      </c>
      <c r="F65" s="132">
        <v>0.30971945535260836</v>
      </c>
      <c r="G65" s="309">
        <v>0.25619999999999998</v>
      </c>
      <c r="H65" s="132">
        <v>136.36269999999999</v>
      </c>
      <c r="I65" s="132">
        <v>0.33257131336972279</v>
      </c>
      <c r="J65" s="132">
        <v>5.74E-2</v>
      </c>
      <c r="O65" s="259"/>
      <c r="P65" s="259"/>
    </row>
    <row r="66" spans="1:16">
      <c r="A66" s="202"/>
      <c r="B66" s="10" t="s">
        <v>6</v>
      </c>
      <c r="C66" s="273">
        <v>132.07040000000001</v>
      </c>
      <c r="D66" s="273">
        <v>2.506867377629618E-2</v>
      </c>
      <c r="E66" s="307">
        <v>131.1842</v>
      </c>
      <c r="F66" s="132">
        <v>1.1969337150308235E-2</v>
      </c>
      <c r="G66" s="309">
        <v>9.9000000000000008E-3</v>
      </c>
      <c r="H66" s="132">
        <v>136.4829</v>
      </c>
      <c r="I66" s="132">
        <v>8.8147271944616357E-2</v>
      </c>
      <c r="J66" s="132">
        <v>1.52E-2</v>
      </c>
      <c r="O66" s="259"/>
      <c r="P66" s="259"/>
    </row>
    <row r="67" spans="1:16">
      <c r="A67" s="202"/>
      <c r="B67" s="10" t="s">
        <v>7</v>
      </c>
      <c r="C67" s="273">
        <v>132.1823</v>
      </c>
      <c r="D67" s="273">
        <v>8.4727539251794326E-2</v>
      </c>
      <c r="E67" s="307">
        <v>131.28710000000001</v>
      </c>
      <c r="F67" s="132">
        <v>7.8439324247892017E-2</v>
      </c>
      <c r="G67" s="309">
        <v>6.4899999999999999E-2</v>
      </c>
      <c r="H67" s="132">
        <v>136.63890000000001</v>
      </c>
      <c r="I67" s="132">
        <v>0.11430003319097271</v>
      </c>
      <c r="J67" s="132">
        <v>1.9800000000000002E-2</v>
      </c>
      <c r="O67" s="259"/>
      <c r="P67" s="259"/>
    </row>
    <row r="68" spans="1:16">
      <c r="A68" s="202"/>
      <c r="B68" s="10" t="s">
        <v>8</v>
      </c>
      <c r="C68" s="273">
        <v>132.45519999999999</v>
      </c>
      <c r="D68" s="273">
        <v>0.20645729420656345</v>
      </c>
      <c r="E68" s="307">
        <v>131.53270000000001</v>
      </c>
      <c r="F68" s="132">
        <v>0.18707093080736481</v>
      </c>
      <c r="G68" s="309">
        <v>0.1547</v>
      </c>
      <c r="H68" s="132">
        <v>137.048</v>
      </c>
      <c r="I68" s="132">
        <v>0.2994022931976037</v>
      </c>
      <c r="J68" s="132">
        <v>5.1799999999999999E-2</v>
      </c>
      <c r="O68" s="259"/>
      <c r="P68" s="259"/>
    </row>
    <row r="69" spans="1:16">
      <c r="A69" s="202"/>
      <c r="B69" s="10" t="s">
        <v>9</v>
      </c>
      <c r="C69" s="273">
        <v>132.95480000000001</v>
      </c>
      <c r="D69" s="273">
        <v>0.37718413471121703</v>
      </c>
      <c r="E69" s="307">
        <v>131.9804</v>
      </c>
      <c r="F69" s="132">
        <v>0.34037163382185653</v>
      </c>
      <c r="G69" s="309">
        <v>0.28149999999999997</v>
      </c>
      <c r="H69" s="132">
        <v>137.80600000000001</v>
      </c>
      <c r="I69" s="132">
        <v>0.55309088786410499</v>
      </c>
      <c r="J69" s="132">
        <v>9.5699999999999993E-2</v>
      </c>
      <c r="O69" s="259"/>
      <c r="P69" s="259"/>
    </row>
    <row r="70" spans="1:16">
      <c r="A70" s="202"/>
      <c r="B70" s="10" t="s">
        <v>10</v>
      </c>
      <c r="C70" s="273">
        <v>133.8965</v>
      </c>
      <c r="D70" s="273">
        <v>0.70828582345277002</v>
      </c>
      <c r="E70" s="307">
        <v>133.06129999999999</v>
      </c>
      <c r="F70" s="132">
        <v>0.81898524326338151</v>
      </c>
      <c r="G70" s="309">
        <v>0.67700000000000005</v>
      </c>
      <c r="H70" s="132">
        <v>138.0547</v>
      </c>
      <c r="I70" s="132">
        <v>0.18047109704946163</v>
      </c>
      <c r="J70" s="132">
        <v>3.1300000000000001E-2</v>
      </c>
      <c r="O70" s="259"/>
      <c r="P70" s="259"/>
    </row>
    <row r="71" spans="1:16">
      <c r="A71" s="202"/>
      <c r="B71" s="10" t="s">
        <v>11</v>
      </c>
      <c r="C71" s="273">
        <v>134.34829999999999</v>
      </c>
      <c r="D71" s="273">
        <v>0.33742480199256963</v>
      </c>
      <c r="E71" s="307">
        <v>133.65889999999999</v>
      </c>
      <c r="F71" s="132">
        <v>0.44911630955055681</v>
      </c>
      <c r="G71" s="309">
        <v>0.37169999999999997</v>
      </c>
      <c r="H71" s="132">
        <v>137.78030000000001</v>
      </c>
      <c r="I71" s="132">
        <v>-0.19876179514350945</v>
      </c>
      <c r="J71" s="132">
        <v>-3.4299999999999997E-2</v>
      </c>
      <c r="O71" s="259"/>
      <c r="P71" s="259"/>
    </row>
    <row r="72" spans="1:16">
      <c r="A72" s="202"/>
      <c r="B72" s="10" t="s">
        <v>12</v>
      </c>
      <c r="C72" s="273">
        <v>135.0898</v>
      </c>
      <c r="D72" s="273">
        <v>0.5519236194280186</v>
      </c>
      <c r="E72" s="307">
        <v>134.51329999999999</v>
      </c>
      <c r="F72" s="132">
        <v>0.63923913783519026</v>
      </c>
      <c r="G72" s="309">
        <v>0.52959999999999996</v>
      </c>
      <c r="H72" s="132">
        <v>137.96010000000001</v>
      </c>
      <c r="I72" s="132">
        <v>0.13049761105179414</v>
      </c>
      <c r="J72" s="132">
        <v>2.24E-2</v>
      </c>
      <c r="O72" s="259"/>
      <c r="P72" s="259"/>
    </row>
    <row r="73" spans="1:16">
      <c r="A73" s="202"/>
      <c r="B73" s="10" t="s">
        <v>13</v>
      </c>
      <c r="C73" s="273">
        <v>136.05510000000001</v>
      </c>
      <c r="D73" s="273">
        <v>0.71456172116621808</v>
      </c>
      <c r="E73" s="307">
        <v>135.47579999999999</v>
      </c>
      <c r="F73" s="132">
        <v>0.71554262663990897</v>
      </c>
      <c r="G73" s="309">
        <v>0.59330000000000005</v>
      </c>
      <c r="H73" s="132">
        <v>138.93950000000001</v>
      </c>
      <c r="I73" s="132">
        <v>0.70991540307667744</v>
      </c>
      <c r="J73" s="132">
        <v>0.12130000000000001</v>
      </c>
      <c r="O73" s="259"/>
      <c r="P73" s="259"/>
    </row>
    <row r="74" spans="1:16">
      <c r="A74" s="132"/>
      <c r="B74" s="207" t="s">
        <v>14</v>
      </c>
      <c r="C74" s="273">
        <v>137.19550000000001</v>
      </c>
      <c r="D74" s="273">
        <v>0.83818982162373601</v>
      </c>
      <c r="E74" s="307">
        <v>136.7696</v>
      </c>
      <c r="F74" s="132">
        <v>0.95500451003058817</v>
      </c>
      <c r="G74" s="309">
        <v>0.79190000000000005</v>
      </c>
      <c r="H74" s="132">
        <v>139.31610000000001</v>
      </c>
      <c r="I74" s="132">
        <v>0.27105322820364375</v>
      </c>
      <c r="J74" s="132">
        <v>4.6300000000000001E-2</v>
      </c>
      <c r="O74" s="259"/>
      <c r="P74" s="259"/>
    </row>
    <row r="75" spans="1:16" ht="4.5" customHeight="1">
      <c r="A75" s="133"/>
      <c r="B75" s="133"/>
      <c r="C75" s="133"/>
      <c r="D75" s="133"/>
      <c r="E75" s="308"/>
      <c r="F75" s="133"/>
      <c r="G75" s="310"/>
      <c r="H75" s="133"/>
      <c r="I75" s="133"/>
      <c r="J75" s="133"/>
    </row>
    <row r="76" spans="1:16" ht="16.5">
      <c r="A76" s="226" t="s">
        <v>311</v>
      </c>
      <c r="B76" s="214"/>
      <c r="C76" s="214"/>
      <c r="D76" s="214"/>
      <c r="E76" s="214"/>
      <c r="F76" s="214"/>
      <c r="G76" s="214"/>
    </row>
    <row r="77" spans="1:16" ht="17.25" customHeight="1">
      <c r="A77" s="226" t="s">
        <v>308</v>
      </c>
    </row>
    <row r="78" spans="1:16">
      <c r="F78" s="160"/>
    </row>
    <row r="79" spans="1:16" ht="15">
      <c r="F79" s="209"/>
    </row>
    <row r="80" spans="1:16">
      <c r="F80" s="210"/>
    </row>
    <row r="81" spans="6:6">
      <c r="F81" s="210"/>
    </row>
    <row r="82" spans="6:6">
      <c r="F82" s="210"/>
    </row>
    <row r="83" spans="6:6">
      <c r="F83" s="210"/>
    </row>
    <row r="84" spans="6:6">
      <c r="F84" s="210"/>
    </row>
  </sheetData>
  <mergeCells count="7">
    <mergeCell ref="A1:J1"/>
    <mergeCell ref="A2:J2"/>
    <mergeCell ref="A3:J3"/>
    <mergeCell ref="A5:B6"/>
    <mergeCell ref="C5:D5"/>
    <mergeCell ref="E5:G5"/>
    <mergeCell ref="H5:J5"/>
  </mergeCells>
  <printOptions horizontalCentered="1" gridLinesSet="0"/>
  <pageMargins left="3.9370078740157501E-2" right="0.15748031496063" top="0.78740157480314998" bottom="0.43307086614173201" header="0" footer="0.23622047244094499"/>
  <pageSetup scale="6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F1A132B841946AC1A4A2D16E370AC" ma:contentTypeVersion="14" ma:contentTypeDescription="Create a new document." ma:contentTypeScope="" ma:versionID="9b97e0cba1736d2fc6bfbf4a16288522">
  <xsd:schema xmlns:xsd="http://www.w3.org/2001/XMLSchema" xmlns:xs="http://www.w3.org/2001/XMLSchema" xmlns:p="http://schemas.microsoft.com/office/2006/metadata/properties" xmlns:ns3="83ae75cf-cdf6-4665-a46d-4172f7a4cad3" xmlns:ns4="c009f900-f273-40bd-bea3-1612d8534800" targetNamespace="http://schemas.microsoft.com/office/2006/metadata/properties" ma:root="true" ma:fieldsID="85bba217faee2a0e6f5ef8468c368453" ns3:_="" ns4:_="">
    <xsd:import namespace="83ae75cf-cdf6-4665-a46d-4172f7a4cad3"/>
    <xsd:import namespace="c009f900-f273-40bd-bea3-1612d8534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e75cf-cdf6-4665-a46d-4172f7a4c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9f900-f273-40bd-bea3-1612d8534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ae75cf-cdf6-4665-a46d-4172f7a4cad3" xsi:nil="true"/>
  </documentManagement>
</p:properties>
</file>

<file path=customXml/itemProps1.xml><?xml version="1.0" encoding="utf-8"?>
<ds:datastoreItem xmlns:ds="http://schemas.openxmlformats.org/officeDocument/2006/customXml" ds:itemID="{5671B8A6-C8EA-40F8-8B41-95030D40C4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E79151-24F0-4C8C-9866-82E827CC2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ae75cf-cdf6-4665-a46d-4172f7a4cad3"/>
    <ds:schemaRef ds:uri="c009f900-f273-40bd-bea3-1612d8534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10C3C6-6665-4382-B4A7-1B20E10A20E4}">
  <ds:schemaRefs>
    <ds:schemaRef ds:uri="http://purl.org/dc/terms/"/>
    <ds:schemaRef ds:uri="83ae75cf-cdf6-4665-a46d-4172f7a4cad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c009f900-f273-40bd-bea3-1612d853480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37</vt:i4>
      </vt:variant>
    </vt:vector>
  </HeadingPairs>
  <TitlesOfParts>
    <vt:vector size="57" baseType="lpstr">
      <vt:lpstr>Portada</vt:lpstr>
      <vt:lpstr>CUADRO 3.1</vt:lpstr>
      <vt:lpstr>CUADRO 3.2</vt:lpstr>
      <vt:lpstr>CUADRO 3.3</vt:lpstr>
      <vt:lpstr>CUADRO 3.4</vt:lpstr>
      <vt:lpstr>CUADRO 3.5</vt:lpstr>
      <vt:lpstr>CUADRO 3.6</vt:lpstr>
      <vt:lpstr>CUADRO 3.7</vt:lpstr>
      <vt:lpstr>CUADRO 3.8</vt:lpstr>
      <vt:lpstr>CUADRO 3.9</vt:lpstr>
      <vt:lpstr>CUADRO 3.10</vt:lpstr>
      <vt:lpstr>CUADRO 3.11</vt:lpstr>
      <vt:lpstr>CUADRO 3.12</vt:lpstr>
      <vt:lpstr>CUADRO 3.13</vt:lpstr>
      <vt:lpstr>CUADRO 3.14.1 </vt:lpstr>
      <vt:lpstr>CUADRO 3.14.2</vt:lpstr>
      <vt:lpstr>CUADRO 3.15</vt:lpstr>
      <vt:lpstr>CUADRO 3.16</vt:lpstr>
      <vt:lpstr>CUADRO 3.17</vt:lpstr>
      <vt:lpstr>CUADRO 3.18</vt:lpstr>
      <vt:lpstr>'CUADRO 3.1'!Print_Area</vt:lpstr>
      <vt:lpstr>'CUADRO 3.10'!Print_Area</vt:lpstr>
      <vt:lpstr>'CUADRO 3.11'!Print_Area</vt:lpstr>
      <vt:lpstr>'CUADRO 3.12'!Print_Area</vt:lpstr>
      <vt:lpstr>'CUADRO 3.13'!Print_Area</vt:lpstr>
      <vt:lpstr>'CUADRO 3.14.1 '!Print_Area</vt:lpstr>
      <vt:lpstr>'CUADRO 3.14.2'!Print_Area</vt:lpstr>
      <vt:lpstr>'CUADRO 3.15'!Print_Area</vt:lpstr>
      <vt:lpstr>'CUADRO 3.16'!Print_Area</vt:lpstr>
      <vt:lpstr>'CUADRO 3.17'!Print_Area</vt:lpstr>
      <vt:lpstr>'CUADRO 3.18'!Print_Area</vt:lpstr>
      <vt:lpstr>'CUADRO 3.2'!Print_Area</vt:lpstr>
      <vt:lpstr>'CUADRO 3.3'!Print_Area</vt:lpstr>
      <vt:lpstr>'CUADRO 3.4'!Print_Area</vt:lpstr>
      <vt:lpstr>'CUADRO 3.5'!Print_Area</vt:lpstr>
      <vt:lpstr>'CUADRO 3.6'!Print_Area</vt:lpstr>
      <vt:lpstr>'CUADRO 3.7'!Print_Area</vt:lpstr>
      <vt:lpstr>'CUADRO 3.8'!Print_Area</vt:lpstr>
      <vt:lpstr>'CUADRO 3.9'!Print_Area</vt:lpstr>
      <vt:lpstr>'CUADRO 3.1'!Print_Titles</vt:lpstr>
      <vt:lpstr>'CUADRO 3.10'!Print_Titles</vt:lpstr>
      <vt:lpstr>'CUADRO 3.11'!Print_Titles</vt:lpstr>
      <vt:lpstr>'CUADRO 3.12'!Print_Titles</vt:lpstr>
      <vt:lpstr>'CUADRO 3.13'!Print_Titles</vt:lpstr>
      <vt:lpstr>'CUADRO 3.14.1 '!Print_Titles</vt:lpstr>
      <vt:lpstr>'CUADRO 3.14.2'!Print_Titles</vt:lpstr>
      <vt:lpstr>'CUADRO 3.15'!Print_Titles</vt:lpstr>
      <vt:lpstr>'CUADRO 3.16'!Print_Titles</vt:lpstr>
      <vt:lpstr>'CUADRO 3.2'!Print_Titles</vt:lpstr>
      <vt:lpstr>'CUADRO 3.3'!Print_Titles</vt:lpstr>
      <vt:lpstr>'CUADRO 3.4'!Print_Titles</vt:lpstr>
      <vt:lpstr>'CUADRO 3.5'!Print_Titles</vt:lpstr>
      <vt:lpstr>'CUADRO 3.6'!Print_Titles</vt:lpstr>
      <vt:lpstr>'CUADRO 3.7'!Print_Titles</vt:lpstr>
      <vt:lpstr>'CUADRO 3.8'!Print_Titles</vt:lpstr>
      <vt:lpstr>'CUADRO 3.9'!Print_Titles</vt:lpstr>
      <vt:lpstr>'CUADRO 3.18'!Print_Titles_MI</vt:lpstr>
    </vt:vector>
  </TitlesOfParts>
  <Company>Banco Central De La Rep. Dom.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1998045</dc:creator>
  <cp:lastModifiedBy>Hari Rafael Grullon Santana</cp:lastModifiedBy>
  <cp:lastPrinted>2023-05-19T20:35:53Z</cp:lastPrinted>
  <dcterms:created xsi:type="dcterms:W3CDTF">2012-02-07T21:14:18Z</dcterms:created>
  <dcterms:modified xsi:type="dcterms:W3CDTF">2026-04-30T20:08:34Z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m.manzano@bancentral.gov.do</vt:lpwstr>
  </property>
  <property fmtid="{D5CDD505-2E9C-101B-9397-08002B2CF9AE}" pid="5" name="MSIP_Label_b374117e-0e4c-4686-a7d7-10af5af37635_SetDate">
    <vt:lpwstr>2019-07-29T22:52:17.2603028Z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0x01010066BF1A132B841946AC1A4A2D16E370AC</vt:lpwstr>
  </property>
</Properties>
</file>